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omments5.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trlProps/ctrlProp1.xml" ContentType="application/vnd.ms-excel.controlproperties+xml"/>
  <Override PartName="/xl/comments6.xml" ContentType="application/vnd.openxmlformats-officedocument.spreadsheetml.comments+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3.xml" ContentType="application/vnd.openxmlformats-officedocument.drawing+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theme/themeOverride1.xml" ContentType="application/vnd.openxmlformats-officedocument.themeOverrid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omments7.xml" ContentType="application/vnd.openxmlformats-officedocument.spreadsheetml.comments+xml"/>
  <Override PartName="/xl/drawings/drawing4.xml" ContentType="application/vnd.openxmlformats-officedocument.drawing+xml"/>
  <Override PartName="/xl/comments8.xml" ContentType="application/vnd.openxmlformats-officedocument.spreadsheetml.comments+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hidePivotFieldList="1" defaultThemeVersion="153222"/>
  <mc:AlternateContent xmlns:mc="http://schemas.openxmlformats.org/markup-compatibility/2006">
    <mc:Choice Requires="x15">
      <x15ac:absPath xmlns:x15ac="http://schemas.microsoft.com/office/spreadsheetml/2010/11/ac" url="C:\Users\jkern\Documents\GitHub\BETO\MOEA\"/>
    </mc:Choice>
  </mc:AlternateContent>
  <bookViews>
    <workbookView xWindow="390" yWindow="390" windowWidth="38700" windowHeight="15440" activeTab="5"/>
  </bookViews>
  <sheets>
    <sheet name="Control Panel" sheetId="4" r:id="rId1"/>
    <sheet name="Inputs" sheetId="2" r:id="rId2"/>
    <sheet name="Outputs" sheetId="3" r:id="rId3"/>
    <sheet name="Process Model" sheetId="1" r:id="rId4"/>
    <sheet name="LCA" sheetId="9" r:id="rId5"/>
    <sheet name="TEA" sheetId="8" r:id="rId6"/>
    <sheet name="Sensitivity Analysis" sheetId="10" r:id="rId7"/>
    <sheet name="Conversions Page" sheetId="5" r:id="rId8"/>
    <sheet name="Mat'l &amp; Handl Enrgy" sheetId="6" r:id="rId9"/>
  </sheets>
  <externalReferences>
    <externalReference r:id="rId10"/>
  </externalReferences>
  <definedNames>
    <definedName name="_xlchart.v1.0" hidden="1">LCA!$S$114</definedName>
    <definedName name="_xlchart.v1.1" hidden="1">LCA!$T$101</definedName>
    <definedName name="_xlchart.v1.2" hidden="1">LCA!$T$102:$T$109</definedName>
    <definedName name="_xlchart.v1.3" hidden="1">LCA!$T$114</definedName>
    <definedName name="Acid_Per_ha">'Process Model'!$H$23</definedName>
    <definedName name="Acre_Ft_Irr_Input">Inputs!$K$10</definedName>
    <definedName name="Acre_Ft_Irr_Inut">Inputs!$K$10</definedName>
    <definedName name="Ammon_DAH_I">Inputs!$A$22</definedName>
    <definedName name="Ammon_EP_I">Inputs!$A$25</definedName>
    <definedName name="Ammon_Sulfate_EP">Inputs!$A$29</definedName>
    <definedName name="Annual_Loan_Payment">TEA!$D$107</definedName>
    <definedName name="Approx_Gal_Diesel_Per_Acre">'Process Model'!$C$90</definedName>
    <definedName name="Approx_Stover_Per_ha">'Process Model'!$C$132</definedName>
    <definedName name="Ash_After_DAH">'Process Model'!$H$91</definedName>
    <definedName name="Ash_After_EH">'Process Model'!$H$102</definedName>
    <definedName name="Ash_DAH">'Process Model'!$H$59</definedName>
    <definedName name="Ash_Ratio">'Process Model'!$H$46</definedName>
    <definedName name="Avg_Dist_Bioprocc_Plant_Input">Inputs!#REF!</definedName>
    <definedName name="Avg_km_To_Biorefinery">'Process Model'!$C$151</definedName>
    <definedName name="Avg_Miles_To_Biorefinery">'Process Model'!$C$150</definedName>
    <definedName name="Base_Per_ha">'Process Model'!$H$24</definedName>
    <definedName name="Biomass_Input_To_BP">'Process Model'!$H$4</definedName>
    <definedName name="Biomass_Input_To_DAH">'Process Model'!$H$21</definedName>
    <definedName name="Bu_Per_Acre_Yield">'Process Model'!$C$8</definedName>
    <definedName name="Burnable_BM_kgs">'Process Model'!$M$17</definedName>
    <definedName name="C_P_H2so4">'Process Model'!$H$36</definedName>
    <definedName name="C_P_Slurry">'Process Model'!$H$35</definedName>
    <definedName name="C_P_Stover">'Process Model'!$H$35</definedName>
    <definedName name="C_P_Stover_">'Process Model'!$H$35</definedName>
    <definedName name="C_P_Water">'Process Model'!$H$34</definedName>
    <definedName name="Carbon_in_BM_kg">'Process Model'!$C$125</definedName>
    <definedName name="Cellulase_Density">'Process Model'!$H$137</definedName>
    <definedName name="Cellulase_Enzyme_EH_I">Inputs!#REF!</definedName>
    <definedName name="Cellulase_Produced">'Process Model'!$H$141</definedName>
    <definedName name="Cellulase_Required_For_EH">'Process Model'!$H$73</definedName>
    <definedName name="Cellulose_After_DAH">'Process Model'!$H$86</definedName>
    <definedName name="Cellulose_After_EH">'Process Model'!$H$97</definedName>
    <definedName name="Cellulose_Ratio">'Process Model'!$H$42</definedName>
    <definedName name="Cellulose_Unconverted">'Process Model'!$H$54</definedName>
    <definedName name="CO_2_Output_Vent">'Process Model'!$M$18</definedName>
    <definedName name="CO2_O">Outputs!$J$16</definedName>
    <definedName name="CO2_Reqd_For_BM_kg">'Process Model'!$C$126</definedName>
    <definedName name="Conv_Cell_Gluc_DAH_I">Inputs!#REF!</definedName>
    <definedName name="Conv_Hemi_to_Xylose_DAH_I">Inputs!#REF!</definedName>
    <definedName name="Conv_Total_Mass_DAH_I">Inputs!#REF!</definedName>
    <definedName name="Corn_beer_Input_to_DD">'Process Model'!$M$3</definedName>
    <definedName name="Corn_Oil_EP_I">Inputs!$A$28</definedName>
    <definedName name="Corn_Stover_Tield_From_Harvest_Input">Inputs!#REF!</definedName>
    <definedName name="Corn_Yield_Input">Inputs!#REF!</definedName>
    <definedName name="CornBeer_Per_ha_700">'Mat''l &amp; Handl Enrgy'!$B$43</definedName>
    <definedName name="CSL_EP_I">Inputs!$A$27</definedName>
    <definedName name="DAH_Dilution_Water_I">Inputs!$A$20</definedName>
    <definedName name="DAH_Stover_Content">'Process Model'!$H$62</definedName>
    <definedName name="DDG_Prod_O">Outputs!#REF!</definedName>
    <definedName name="Diesel_Use_Crop_Input">Inputs!$F$5</definedName>
    <definedName name="Dilution_Water_Added">'Process Model'!$H$22</definedName>
    <definedName name="EH_Dilution_Water_Input">Inputs!$A$23</definedName>
    <definedName name="Elec_Enz_Prod">'Process Model'!$H$110</definedName>
    <definedName name="Elec_EP_I">Inputs!$F$26</definedName>
    <definedName name="Elec_Handling_BM_Input">'Process Model'!$H$5</definedName>
    <definedName name="Elec_Reqd_Comminution">'Process Model'!$H$6</definedName>
    <definedName name="Elect_DD_I">Inputs!$F$41</definedName>
    <definedName name="Electricity_Per_kg_Cell">'Process Model'!$H$124</definedName>
    <definedName name="Equity">TEA!$D$104</definedName>
    <definedName name="Est_Lime_Per_Acre">'Process Model'!$C$62</definedName>
    <definedName name="Ethanol_Per_kg_BM">'Process Model'!$H$159</definedName>
    <definedName name="Extract_After_DAH">'Process Model'!$H$90</definedName>
    <definedName name="Extractives_After_EH">'Process Model'!$H$101</definedName>
    <definedName name="Extractives_DAH">'Process Model'!$H$58</definedName>
    <definedName name="Extractives_Ratio">'Process Model'!$H$45</definedName>
    <definedName name="FCI">TEA!$I$94</definedName>
    <definedName name="FCI_Restate">TEA!$I$99</definedName>
    <definedName name="Fertilizer_Use_Input">Inputs!$A$14</definedName>
    <definedName name="Final_Anhydrous_Eth_Mass">'Process Model'!$M$19</definedName>
    <definedName name="Final_Gal_EtOH">'Process Model'!$R$4</definedName>
    <definedName name="Final_MJ_Output">'Process Model'!$R$9</definedName>
    <definedName name="Final_Slurry_temp_ForEH">'Process Model'!$H$81</definedName>
    <definedName name="Final_Temp">'Process Model'!$H$37</definedName>
    <definedName name="Fixed_OPEX_Total">TEA!$I$93</definedName>
    <definedName name="Full_Prod_Rate">TEA!$D$112</definedName>
    <definedName name="Gal_Diesel_Per_ha">'Process Model'!$C$91</definedName>
    <definedName name="Gal_Water_Per_Acre">'Process Model'!#REF!</definedName>
    <definedName name="Gal_Water_Per_ha">'Process Model'!#REF!</definedName>
    <definedName name="Gas_Denaturant">'Process Model'!$M$6</definedName>
    <definedName name="General_Plant_Cost">TEA!$E$74</definedName>
    <definedName name="Gluc_per_ha">'Process Model'!$H$127</definedName>
    <definedName name="Gluc_to_Eth_Yield_I">Inputs!#REF!</definedName>
    <definedName name="Glucose_After_DAH">'Process Model'!$H$85</definedName>
    <definedName name="Glucose_After_EH">'Process Model'!$H$96</definedName>
    <definedName name="Glucose_DAH">'Process Model'!$H$53</definedName>
    <definedName name="Glucose_EP_I">Inputs!$A$24</definedName>
    <definedName name="Glucose_Proportion">'Process Model'!$H$157</definedName>
    <definedName name="Glucose_Reqd_Per_kg_Cellulase">'Process Model'!$H$126</definedName>
    <definedName name="Glucose_To_Ethanol_Conv">'Process Model'!$H$153</definedName>
    <definedName name="H2O_Evap_Drying_kg">'Process Model'!$C$127</definedName>
    <definedName name="H2O_Removed_Distillation_kg">'Process Model'!$M$16</definedName>
    <definedName name="H2O_Reqd_BM_kg">'Process Model'!$C$130</definedName>
    <definedName name="ha_Seeded_Lan">'Process Model'!$C$14</definedName>
    <definedName name="ha_Seeded_Land">'Process Model'!$C$14</definedName>
    <definedName name="Heat_Energy_DAH_I">Inputs!$F$22</definedName>
    <definedName name="Heat_energy_EH_I">Inputs!$F$24</definedName>
    <definedName name="Heat_Power_DD_I">Inputs!$F$42</definedName>
    <definedName name="Helpful_name">'Process Model'!$E$7</definedName>
    <definedName name="HemiCell_After_DAH">'Process Model'!$H$88</definedName>
    <definedName name="HemiCell_After_EH">'Process Model'!$H$99</definedName>
    <definedName name="Hemicellulose_Ratio">'Process Model'!$H$43</definedName>
    <definedName name="Hemicellulose_Unconverted">'Process Model'!$H$56</definedName>
    <definedName name="Hours_Labor_Per_Acre">'Process Model'!$C$88</definedName>
    <definedName name="Hydr_Per_ha_400">'Mat''l &amp; Handl Enrgy'!$J$19</definedName>
    <definedName name="Hydrolysate">'Process Model'!$H$146</definedName>
    <definedName name="Hydrolysate_Post_EH">'Process Model'!$H$106</definedName>
    <definedName name="In_Water_Per_ha">'Process Model'!#REF!</definedName>
    <definedName name="Inital_Slurry_temp_PostDAH">'Process Model'!$H$80</definedName>
    <definedName name="Initial_Temp">'Process Model'!$H$38</definedName>
    <definedName name="Input_Acres">'Process Model'!$C$5</definedName>
    <definedName name="Input_Hectares">'Process Model'!$C$4</definedName>
    <definedName name="IRR">TEA!$G$104</definedName>
    <definedName name="kg_Atrazine_Per_Acre">'Process Model'!$C$75</definedName>
    <definedName name="kg_CO2_Vent_By_Dist">'Process Model'!#REF!</definedName>
    <definedName name="kg_Corn_Beer">'Process Model'!$H$163</definedName>
    <definedName name="kg_DDG_From_Dist">'Process Model'!#REF!</definedName>
    <definedName name="kg_eth_to_L_eth">'Conversions Page'!$D$4</definedName>
    <definedName name="Kg_Ethanol_Per_ha">'Process Model'!$H$162</definedName>
    <definedName name="kg_Fertilizer_Per_ha">'Process Model'!$C$76</definedName>
    <definedName name="kg_Lignin_Per_ha">'Process Model'!$M$13</definedName>
    <definedName name="kg_Water_Dist">'Process Model'!#REF!</definedName>
    <definedName name="kW_Sub_For_200_mat">'Mat''l &amp; Handl Enrgy'!$B$17</definedName>
    <definedName name="kW_Subtotal_300">'Mat''l &amp; Handl Enrgy'!$F$17</definedName>
    <definedName name="kW_Subtotal_400">'Mat''l &amp; Handl Enrgy'!$J$17</definedName>
    <definedName name="kW_Subtotal_700">'Mat''l &amp; Handl Enrgy'!$B$41</definedName>
    <definedName name="kWh_Elec_Per_tonne_stover">'Process Model'!$H$9</definedName>
    <definedName name="kWh_Per_ha_200">'Mat''l &amp; Handl Enrgy'!$B$21</definedName>
    <definedName name="kWh_per_ha_300">'Mat''l &amp; Handl Enrgy'!$F$21</definedName>
    <definedName name="kWh_Per_ha_400">'Mat''l &amp; Handl Enrgy'!$J$21</definedName>
    <definedName name="kWh_Per_ha_700">'Mat''l &amp; Handl Enrgy'!$B$45</definedName>
    <definedName name="kWh_per_kg_CornBeer_700">'Mat''l &amp; Handl Enrgy'!$B$44</definedName>
    <definedName name="kWh_Per_kg_hydr_400">'Mat''l &amp; Handl Enrgy'!$J$20</definedName>
    <definedName name="kWh_per_kg_phydr_300">'Mat''l &amp; Handl Enrgy'!$F$20</definedName>
    <definedName name="kWh_Per_kgBM_200">'Mat''l &amp; Handl Enrgy'!$B$20</definedName>
    <definedName name="L_eth_Per_kWh_Elec">'Process Model'!$M$9</definedName>
    <definedName name="L_Fuel_Eth_Prod_O">Outputs!$J$14</definedName>
    <definedName name="Labor_h_Input">Inputs!$F$7</definedName>
    <definedName name="Land_Cap">TEA!$I$95</definedName>
    <definedName name="Land_Cap_Restate">TEA!$I$102</definedName>
    <definedName name="Lbs_Fert_Per_Acre">'Process Model'!$C$74</definedName>
    <definedName name="Lbs_Fertilizer_Per_Acre">'Process Model'!$C$74</definedName>
    <definedName name="Lignin_After_DAH">'Process Model'!$H$89</definedName>
    <definedName name="Lignin_After_EH">'Process Model'!$H$100</definedName>
    <definedName name="Lignin_DAH">'Process Model'!$H$57</definedName>
    <definedName name="Lignin_O">Outputs!$J$17</definedName>
    <definedName name="Lignin_Per_ha_coprod">'Process Model'!$M$17</definedName>
    <definedName name="Lignin_Ratio">'Process Model'!$H$44</definedName>
    <definedName name="Lime_Treat_Input">Inputs!$A$13</definedName>
    <definedName name="Loan_Interest">TEA!$D$105</definedName>
    <definedName name="Loan_Term">TEA!$D$106</definedName>
    <definedName name="Mass_Moved_by_BPP">'Mat''l &amp; Handl Enrgy'!$B$18</definedName>
    <definedName name="Mass_Passthrough_DAH">'Process Model'!$H$50</definedName>
    <definedName name="Mass_Served_300">'Mat''l &amp; Handl Enrgy'!$F$18</definedName>
    <definedName name="Mass_Served_400">'Mat''l &amp; Handl Enrgy'!$J$18</definedName>
    <definedName name="Mass_Served_700">'Mat''l &amp; Handl Enrgy'!$B$42</definedName>
    <definedName name="Mass_Stover_per_ha">'Mat''l &amp; Handl Enrgy'!$B$19</definedName>
    <definedName name="Matl_handl_Size_Red_I">Inputs!$F$21</definedName>
    <definedName name="Matl_Handling_Energy_EH_I">Inputs!$F$25</definedName>
    <definedName name="MESP">TEA!$H$115</definedName>
    <definedName name="Met_Ferm_Yield_I">Inputs!#REF!</definedName>
    <definedName name="Mg_Sulfate_EP_I">Inputs!$A$31</definedName>
    <definedName name="MJ_DAH_Per_ha">'Process Model'!$H$39</definedName>
    <definedName name="MJ_Elec_Per_ha">'Process Model'!$M$11</definedName>
    <definedName name="MJ_Elec_Per_kg_Stover">'Process Model'!$H$10</definedName>
    <definedName name="MJ_Heat_Per_ha">'Process Model'!$M$12</definedName>
    <definedName name="MJ_Per_ha_200">'Mat''l &amp; Handl Enrgy'!$B$22</definedName>
    <definedName name="MJ_per_ha_300">'Mat''l &amp; Handl Enrgy'!$F$22</definedName>
    <definedName name="MJ_Per_ha_400">'Mat''l &amp; Handl Enrgy'!$J$22</definedName>
    <definedName name="MJ_per_ha_700">'Mat''l &amp; Handl Enrgy'!$B$46</definedName>
    <definedName name="MJ_Per_ha_EnzymeProd">'Process Model'!$H$125</definedName>
    <definedName name="MJ_Per_L_Eth_Prod">'Process Model'!$M$10</definedName>
    <definedName name="Molar_mass_h2so4">'Process Model'!$H$31</definedName>
    <definedName name="Molar_Mass_nh3">'Process Model'!$H$32</definedName>
    <definedName name="Nit_Fert_Input">Inputs!#REF!</definedName>
    <definedName name="O_Content_BM_kg">'Process Model'!$C$129</definedName>
    <definedName name="O2_Emiss_kg">'Process Model'!$C$128</definedName>
    <definedName name="OPEX">TEA!$I$98</definedName>
    <definedName name="Per_Gal_Var_OPEX">TEA!$I$91</definedName>
    <definedName name="Perc_Stover_Pass_Input">Inputs!#REF!</definedName>
    <definedName name="Percen_To_Hammer_Mill">'Process Model'!$H$11</definedName>
    <definedName name="Percent_Acid_By_Weight">'Process Model'!$H$30</definedName>
    <definedName name="Percent_Conversion_Glucose_EH">'Process Model'!$H$93</definedName>
    <definedName name="Percent_Stover_Harvested">'Process Model'!$C$131</definedName>
    <definedName name="Phosp_Fert_Input">Inputs!#REF!</definedName>
    <definedName name="pHydrol_per_ha_300">'Mat''l &amp; Handl Enrgy'!$F$19</definedName>
    <definedName name="Potash_Fert_Input">Inputs!#REF!</definedName>
    <definedName name="Potass_Phosph_EP_I">Inputs!$A$30</definedName>
    <definedName name="PreHydrolysate_Post_DAH">'Process Model'!$H$62</definedName>
    <definedName name="PreHydrolysate_Slurry">'Process Model'!$H$63</definedName>
    <definedName name="Q_Required_Cooling_EH">'Process Model'!$H$82</definedName>
    <definedName name="Q_Required_DAH">'Process Model'!#REF!</definedName>
    <definedName name="Ratio_Cellulase_To_Cellulose">'Process Model'!$H$79</definedName>
    <definedName name="Ratio_Water_To_Prehydrolysate">'Process Model'!$H$78</definedName>
    <definedName name="Ratio_Water_To_Stover">'Process Model'!$H$29</definedName>
    <definedName name="Scaled_General_Plant">TEA!$I$101</definedName>
    <definedName name="Scaled_Steam_Plant">TEA!$I$100</definedName>
    <definedName name="Seeds_Per_Acre">'Process Model'!$C$9</definedName>
    <definedName name="Seeds_Per_Acre_Input">Inputs!$A$5</definedName>
    <definedName name="Seeds_Per_ha">'Process Model'!$C$10</definedName>
    <definedName name="Size_Red_Elect_Input">Inputs!$F$20</definedName>
    <definedName name="Size_Reduced_Biomass">'Process Model'!$H$14</definedName>
    <definedName name="SO2_EP_I">Inputs!$A$26</definedName>
    <definedName name="Start_Up_Time">TEA!$D$110</definedName>
    <definedName name="StartUp_Percentage">TEA!$D$111</definedName>
    <definedName name="Steam_Plant_Cost">TEA!$E$75</definedName>
    <definedName name="Stover_Biomass_From_Agr">'Process Model'!$C$135</definedName>
    <definedName name="Stover_Delivered_To_BP">'Process Model'!$C$156</definedName>
    <definedName name="Stover_Fermentation_Input">'Process Model'!$H$147</definedName>
    <definedName name="Stover_Post_EH">'Process Model'!$H$105</definedName>
    <definedName name="Stover_PostDAH">'Process Model'!$H$70</definedName>
    <definedName name="Sulf_Acid_DAH_I">Inputs!$A$21</definedName>
    <definedName name="Tax_Rate">TEA!$G$105</definedName>
    <definedName name="Tonne_Cap_Trucks">'Process Model'!$C$152</definedName>
    <definedName name="Total_Cellulase_Required">'Process Model'!$H$123</definedName>
    <definedName name="Total_Gal_EtOH">TEA!$I$90</definedName>
    <definedName name="Total_irr_kg">'Process Model'!#REF!</definedName>
    <definedName name="Total_Mass_In_Ag">Inputs!$A$18</definedName>
    <definedName name="Total_Mass_Out_Ag">Outputs!$A$14</definedName>
    <definedName name="Total_wet_BM_kg">'Process Model'!$C$124</definedName>
    <definedName name="Truck_Cap_Input">Inputs!#REF!</definedName>
    <definedName name="Trucks_Reqd">'Process Model'!$C$147</definedName>
    <definedName name="Unconverted_Cellulose">'Process Model'!$H$54</definedName>
    <definedName name="Upgrd_Elec_Power_In">'Process Model'!$M$4</definedName>
    <definedName name="Upgrd_Heat_Power_In">'Process Model'!$M$5</definedName>
    <definedName name="Variable_OPEX_Total">TEA!$I$92</definedName>
    <definedName name="Wash_Water_EH_I">Inputs!#REF!</definedName>
    <definedName name="Waste_Water_DAH">'Process Model'!$H$64</definedName>
    <definedName name="Water_O">Outputs!$J$15</definedName>
    <definedName name="Working_Cap">TEA!$I$96</definedName>
    <definedName name="Working_Cap_Restate">TEA!$I$103</definedName>
    <definedName name="Xylose_After_DAH">'Process Model'!$H$87</definedName>
    <definedName name="Xylose_After_EH">'Process Model'!$H$98</definedName>
    <definedName name="Xylose_DAH">'Process Model'!$H$55</definedName>
    <definedName name="Xylose_Proportion">'Process Model'!$H$158</definedName>
    <definedName name="Xylose_to_Eth_Yield_I">Inputs!#REF!</definedName>
    <definedName name="Xylose_To_Ethanol_Conv">'Process Model'!$H$154</definedName>
    <definedName name="Year_0_Work">TEA!$G$112</definedName>
    <definedName name="Year_Minus_1_Work">TEA!$G$111</definedName>
    <definedName name="Year_Minus_2_Work">TEA!$G$110</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0" i="8" l="1"/>
  <c r="P19" i="8"/>
  <c r="E45" i="8"/>
  <c r="E44" i="8"/>
  <c r="E51" i="8"/>
  <c r="C2" i="8"/>
  <c r="D93" i="8"/>
  <c r="C146" i="1"/>
  <c r="C156" i="1" s="1"/>
  <c r="H4" i="1" s="1"/>
  <c r="K18" i="2"/>
  <c r="K20" i="2"/>
  <c r="F94" i="8"/>
  <c r="I94" i="8" s="1"/>
  <c r="F96" i="8"/>
  <c r="E81" i="8"/>
  <c r="E76" i="8"/>
  <c r="E74" i="8"/>
  <c r="E72" i="8"/>
  <c r="E70" i="8"/>
  <c r="I102" i="8" l="1"/>
  <c r="C8" i="1"/>
  <c r="K131" i="8" l="1"/>
  <c r="I131" i="8"/>
  <c r="I67" i="8"/>
  <c r="N7" i="8" l="1"/>
  <c r="H159" i="1"/>
  <c r="K14" i="2" l="1"/>
  <c r="K15" i="2"/>
  <c r="A16" i="2" s="1"/>
  <c r="K16" i="2" s="1"/>
  <c r="D11" i="5"/>
  <c r="R29" i="1" l="1"/>
  <c r="B62" i="9"/>
  <c r="M4" i="1"/>
  <c r="B47" i="8"/>
  <c r="F22" i="3"/>
  <c r="M45" i="1"/>
  <c r="M43" i="1"/>
  <c r="F43" i="2"/>
  <c r="F41" i="2"/>
  <c r="F25" i="2"/>
  <c r="F23" i="2"/>
  <c r="W32" i="1"/>
  <c r="S15" i="8" l="1"/>
  <c r="T15" i="8"/>
  <c r="U15" i="8"/>
  <c r="V15" i="8"/>
  <c r="R15" i="8"/>
  <c r="R40" i="1"/>
  <c r="R41" i="1" s="1"/>
  <c r="R42" i="1" s="1"/>
  <c r="F23" i="5"/>
  <c r="F22" i="5"/>
  <c r="F21" i="5"/>
  <c r="L11" i="5"/>
  <c r="L10" i="5"/>
  <c r="L6" i="5"/>
  <c r="L5" i="5"/>
  <c r="H6" i="5"/>
  <c r="H4" i="5"/>
  <c r="O91" i="9"/>
  <c r="O92" i="9" s="1"/>
  <c r="Q30" i="9" l="1"/>
  <c r="Q26" i="9"/>
  <c r="C30" i="8" l="1"/>
  <c r="C105" i="1" l="1"/>
  <c r="C110" i="1" s="1"/>
  <c r="A10" i="2" s="1"/>
  <c r="AG24" i="10" l="1"/>
  <c r="AE24" i="10"/>
  <c r="AC24" i="10"/>
  <c r="AA24" i="10"/>
  <c r="Y24" i="10"/>
  <c r="W24" i="10"/>
  <c r="U24" i="10"/>
  <c r="S24" i="10"/>
  <c r="Q24" i="10"/>
  <c r="O24" i="10"/>
  <c r="R26" i="10"/>
  <c r="T26" i="10"/>
  <c r="V26" i="10"/>
  <c r="X26" i="10"/>
  <c r="Z26" i="10"/>
  <c r="AB26" i="10"/>
  <c r="AD26" i="10"/>
  <c r="AF26" i="10"/>
  <c r="AH26" i="10"/>
  <c r="P26" i="10"/>
  <c r="Q26" i="10"/>
  <c r="S26" i="10"/>
  <c r="U26" i="10"/>
  <c r="W26" i="10"/>
  <c r="Y26" i="10"/>
  <c r="AA26" i="10"/>
  <c r="AC26" i="10"/>
  <c r="AE26" i="10"/>
  <c r="AG26" i="10"/>
  <c r="O26" i="10"/>
  <c r="R25" i="10"/>
  <c r="T25" i="10"/>
  <c r="V25" i="10"/>
  <c r="X25" i="10"/>
  <c r="Z25" i="10"/>
  <c r="AB25" i="10"/>
  <c r="AD25" i="10"/>
  <c r="AF25" i="10"/>
  <c r="AH25" i="10"/>
  <c r="P25" i="10"/>
  <c r="Q25" i="10"/>
  <c r="S25" i="10"/>
  <c r="U25" i="10"/>
  <c r="W25" i="10"/>
  <c r="Y25" i="10"/>
  <c r="AA25" i="10"/>
  <c r="AC25" i="10"/>
  <c r="AE25" i="10"/>
  <c r="AG25" i="10"/>
  <c r="O25" i="10"/>
  <c r="R27" i="10"/>
  <c r="T27" i="10"/>
  <c r="V27" i="10"/>
  <c r="X27" i="10"/>
  <c r="Z27" i="10"/>
  <c r="AB27" i="10"/>
  <c r="AD27" i="10"/>
  <c r="AF27" i="10"/>
  <c r="AH27" i="10"/>
  <c r="P27" i="10"/>
  <c r="Q27" i="10"/>
  <c r="S27" i="10"/>
  <c r="U27" i="10"/>
  <c r="W27" i="10"/>
  <c r="Y27" i="10"/>
  <c r="AA27" i="10"/>
  <c r="AC27" i="10"/>
  <c r="AE27" i="10"/>
  <c r="AG27" i="10"/>
  <c r="O27" i="10"/>
  <c r="R28" i="10"/>
  <c r="T28" i="10"/>
  <c r="V28" i="10"/>
  <c r="X28" i="10"/>
  <c r="Z28" i="10"/>
  <c r="AB28" i="10"/>
  <c r="AD28" i="10"/>
  <c r="AF28" i="10"/>
  <c r="AH28" i="10"/>
  <c r="P28" i="10"/>
  <c r="Q28" i="10"/>
  <c r="S28" i="10"/>
  <c r="U28" i="10"/>
  <c r="W28" i="10"/>
  <c r="Y28" i="10"/>
  <c r="AA28" i="10"/>
  <c r="AC28" i="10"/>
  <c r="AE28" i="10"/>
  <c r="AG28" i="10"/>
  <c r="O28" i="10"/>
  <c r="R29" i="10"/>
  <c r="T29" i="10"/>
  <c r="V29" i="10"/>
  <c r="X29" i="10"/>
  <c r="Z29" i="10"/>
  <c r="AB29" i="10"/>
  <c r="AD29" i="10"/>
  <c r="AF29" i="10"/>
  <c r="AH29" i="10"/>
  <c r="P29" i="10"/>
  <c r="Q29" i="10"/>
  <c r="S29" i="10"/>
  <c r="U29" i="10"/>
  <c r="W29" i="10"/>
  <c r="Y29" i="10"/>
  <c r="AA29" i="10"/>
  <c r="AC29" i="10"/>
  <c r="AE29" i="10"/>
  <c r="AG29" i="10"/>
  <c r="O29" i="10"/>
  <c r="R30" i="10"/>
  <c r="T30" i="10"/>
  <c r="V30" i="10"/>
  <c r="X30" i="10"/>
  <c r="Z30" i="10"/>
  <c r="AB30" i="10"/>
  <c r="AD30" i="10"/>
  <c r="AF30" i="10"/>
  <c r="AH30" i="10"/>
  <c r="P30" i="10"/>
  <c r="Q30" i="10"/>
  <c r="S30" i="10"/>
  <c r="U30" i="10"/>
  <c r="W30" i="10"/>
  <c r="Y30" i="10"/>
  <c r="AA30" i="10"/>
  <c r="AC30" i="10"/>
  <c r="AE30" i="10"/>
  <c r="AG30" i="10"/>
  <c r="O30" i="10"/>
  <c r="R24" i="10"/>
  <c r="T24" i="10"/>
  <c r="V24" i="10"/>
  <c r="X24" i="10"/>
  <c r="Z24" i="10"/>
  <c r="AB24" i="10"/>
  <c r="AD24" i="10"/>
  <c r="AF24" i="10"/>
  <c r="AH24" i="10"/>
  <c r="P24" i="10"/>
  <c r="R23" i="10"/>
  <c r="T23" i="10"/>
  <c r="V23" i="10"/>
  <c r="X23" i="10"/>
  <c r="Z23" i="10"/>
  <c r="AB23" i="10"/>
  <c r="AD23" i="10"/>
  <c r="AF23" i="10"/>
  <c r="AH23" i="10"/>
  <c r="P23" i="10"/>
  <c r="Q23" i="10"/>
  <c r="S23" i="10"/>
  <c r="U23" i="10"/>
  <c r="W23" i="10"/>
  <c r="Y23" i="10"/>
  <c r="AA23" i="10"/>
  <c r="AC23" i="10"/>
  <c r="AE23" i="10"/>
  <c r="AG23" i="10"/>
  <c r="O23" i="10"/>
  <c r="R22" i="10"/>
  <c r="T22" i="10"/>
  <c r="V22" i="10"/>
  <c r="X22" i="10"/>
  <c r="Z22" i="10"/>
  <c r="AB22" i="10"/>
  <c r="AD22" i="10"/>
  <c r="AF22" i="10"/>
  <c r="AH22" i="10"/>
  <c r="P22" i="10"/>
  <c r="Q22" i="10"/>
  <c r="S22" i="10"/>
  <c r="U22" i="10"/>
  <c r="W22" i="10"/>
  <c r="Y22" i="10"/>
  <c r="AA22" i="10"/>
  <c r="AC22" i="10"/>
  <c r="AE22" i="10"/>
  <c r="AG22" i="10"/>
  <c r="O22" i="10"/>
  <c r="R21" i="10"/>
  <c r="T21" i="10"/>
  <c r="V21" i="10"/>
  <c r="X21" i="10"/>
  <c r="Z21" i="10"/>
  <c r="AB21" i="10"/>
  <c r="AD21" i="10"/>
  <c r="AF21" i="10"/>
  <c r="AH21" i="10"/>
  <c r="P21" i="10"/>
  <c r="Q21" i="10"/>
  <c r="S21" i="10"/>
  <c r="U21" i="10"/>
  <c r="W21" i="10"/>
  <c r="Y21" i="10"/>
  <c r="AA21" i="10"/>
  <c r="AC21" i="10"/>
  <c r="AE21" i="10"/>
  <c r="AG21" i="10"/>
  <c r="O21" i="10"/>
  <c r="R20" i="10"/>
  <c r="T20" i="10"/>
  <c r="V20" i="10"/>
  <c r="X20" i="10"/>
  <c r="Z20" i="10"/>
  <c r="AB20" i="10"/>
  <c r="AD20" i="10"/>
  <c r="AF20" i="10"/>
  <c r="AH20" i="10"/>
  <c r="P20" i="10"/>
  <c r="Q20" i="10"/>
  <c r="S20" i="10"/>
  <c r="U20" i="10"/>
  <c r="W20" i="10"/>
  <c r="Y20" i="10"/>
  <c r="AA20" i="10"/>
  <c r="AC20" i="10"/>
  <c r="AE20" i="10"/>
  <c r="AG20" i="10"/>
  <c r="O20" i="10"/>
  <c r="E38" i="10"/>
  <c r="D38" i="10"/>
  <c r="B32" i="10"/>
  <c r="E28" i="10"/>
  <c r="D28" i="10"/>
  <c r="E29" i="10" l="1"/>
  <c r="E30" i="10"/>
  <c r="E31" i="10"/>
  <c r="E34" i="10"/>
  <c r="E32" i="10"/>
  <c r="E33" i="10"/>
  <c r="E39" i="10"/>
  <c r="E36" i="10"/>
  <c r="E37" i="10"/>
  <c r="E35" i="10"/>
  <c r="D29" i="10"/>
  <c r="D30" i="10"/>
  <c r="D31" i="10"/>
  <c r="D34" i="10"/>
  <c r="D32" i="10"/>
  <c r="D33" i="10"/>
  <c r="D39" i="10"/>
  <c r="D36" i="10"/>
  <c r="D37" i="10"/>
  <c r="D35" i="10"/>
  <c r="I17" i="2" l="1"/>
  <c r="J21" i="8"/>
  <c r="K17" i="2" l="1"/>
  <c r="A15" i="2" s="1"/>
  <c r="I16" i="2"/>
  <c r="L13" i="10"/>
  <c r="F90" i="8"/>
  <c r="I90" i="8" s="1"/>
  <c r="J115" i="8" l="1"/>
  <c r="E9" i="10" l="1"/>
  <c r="E10" i="10"/>
  <c r="D9" i="10"/>
  <c r="L4" i="10"/>
  <c r="L5" i="10"/>
  <c r="L6" i="10"/>
  <c r="L7" i="10"/>
  <c r="L8" i="10"/>
  <c r="L9" i="10"/>
  <c r="L10" i="10"/>
  <c r="L11" i="10"/>
  <c r="L12" i="10"/>
  <c r="D21" i="10"/>
  <c r="D22" i="10"/>
  <c r="D23" i="10"/>
  <c r="D24" i="10"/>
  <c r="E21" i="10"/>
  <c r="E22" i="10"/>
  <c r="E23" i="10"/>
  <c r="E24" i="10"/>
  <c r="C131" i="1"/>
  <c r="D2" i="10" l="1"/>
  <c r="E2" i="10"/>
  <c r="D3" i="10"/>
  <c r="E3" i="10"/>
  <c r="D4" i="10"/>
  <c r="E4" i="10"/>
  <c r="D5" i="10"/>
  <c r="E5" i="10"/>
  <c r="D6" i="10"/>
  <c r="E6" i="10"/>
  <c r="D7" i="10"/>
  <c r="E7" i="10"/>
  <c r="D8" i="10"/>
  <c r="E8" i="10"/>
  <c r="D15" i="10"/>
  <c r="E15" i="10"/>
  <c r="D16" i="10"/>
  <c r="E16" i="10"/>
  <c r="L3" i="10" l="1"/>
  <c r="F17" i="8"/>
  <c r="D10" i="10" l="1"/>
  <c r="C172" i="8" l="1"/>
  <c r="D172" i="8"/>
  <c r="B172" i="8"/>
  <c r="C171" i="8"/>
  <c r="D171" i="8"/>
  <c r="C170" i="8"/>
  <c r="D170" i="8"/>
  <c r="C169" i="8"/>
  <c r="D169" i="8"/>
  <c r="O169" i="8"/>
  <c r="P169" i="8"/>
  <c r="Q169" i="8"/>
  <c r="R169" i="8"/>
  <c r="S169" i="8"/>
  <c r="T169" i="8"/>
  <c r="U169" i="8"/>
  <c r="V169" i="8"/>
  <c r="W169" i="8"/>
  <c r="X169" i="8"/>
  <c r="Y169" i="8"/>
  <c r="Z169" i="8"/>
  <c r="AA169" i="8"/>
  <c r="AB169" i="8"/>
  <c r="AC169" i="8"/>
  <c r="AD169" i="8"/>
  <c r="AE169" i="8"/>
  <c r="AF169" i="8"/>
  <c r="AG169" i="8"/>
  <c r="AH169" i="8"/>
  <c r="C168" i="8"/>
  <c r="D168" i="8"/>
  <c r="B171" i="8"/>
  <c r="B170" i="8"/>
  <c r="B169" i="8"/>
  <c r="B168" i="8"/>
  <c r="B173" i="8" l="1"/>
  <c r="B174" i="8" s="1"/>
  <c r="D173" i="8"/>
  <c r="D174" i="8" s="1"/>
  <c r="C173" i="8"/>
  <c r="C174" i="8" s="1"/>
  <c r="C165" i="8"/>
  <c r="D165" i="8"/>
  <c r="B165" i="8"/>
  <c r="J131" i="8" l="1"/>
  <c r="F168" i="8" s="1"/>
  <c r="G21" i="8" l="1"/>
  <c r="E16" i="8"/>
  <c r="M6" i="1" l="1"/>
  <c r="J9" i="4" l="1"/>
  <c r="A8" i="2"/>
  <c r="A7" i="2"/>
  <c r="A5" i="2"/>
  <c r="J117" i="8" l="1"/>
  <c r="F92" i="8"/>
  <c r="H111" i="1"/>
  <c r="J51" i="8"/>
  <c r="J52" i="8" s="1"/>
  <c r="K52" i="8" s="1"/>
  <c r="I93" i="8"/>
  <c r="G168" i="8"/>
  <c r="L131" i="8"/>
  <c r="H168" i="8" s="1"/>
  <c r="M131" i="8"/>
  <c r="I168" i="8" s="1"/>
  <c r="N131" i="8"/>
  <c r="J168" i="8" s="1"/>
  <c r="O131" i="8"/>
  <c r="K168" i="8" s="1"/>
  <c r="P131" i="8"/>
  <c r="L168" i="8" s="1"/>
  <c r="Q131" i="8"/>
  <c r="M168" i="8" s="1"/>
  <c r="R131" i="8"/>
  <c r="N168" i="8" s="1"/>
  <c r="S131" i="8"/>
  <c r="O168" i="8" s="1"/>
  <c r="T131" i="8"/>
  <c r="P168" i="8" s="1"/>
  <c r="U131" i="8"/>
  <c r="Q168" i="8" s="1"/>
  <c r="V131" i="8"/>
  <c r="R168" i="8" s="1"/>
  <c r="W131" i="8"/>
  <c r="S168" i="8" s="1"/>
  <c r="X131" i="8"/>
  <c r="T168" i="8" s="1"/>
  <c r="Y131" i="8"/>
  <c r="U168" i="8" s="1"/>
  <c r="Z131" i="8"/>
  <c r="V168" i="8" s="1"/>
  <c r="AA131" i="8"/>
  <c r="W168" i="8" s="1"/>
  <c r="AB131" i="8"/>
  <c r="X168" i="8" s="1"/>
  <c r="AC131" i="8"/>
  <c r="Y168" i="8" s="1"/>
  <c r="AD131" i="8"/>
  <c r="Z168" i="8" s="1"/>
  <c r="AE131" i="8"/>
  <c r="AA168" i="8" s="1"/>
  <c r="AF131" i="8"/>
  <c r="AB168" i="8" s="1"/>
  <c r="AG131" i="8"/>
  <c r="AC168" i="8" s="1"/>
  <c r="AH131" i="8"/>
  <c r="AD168" i="8" s="1"/>
  <c r="AI131" i="8"/>
  <c r="AE168" i="8" s="1"/>
  <c r="AJ131" i="8"/>
  <c r="AF168" i="8" s="1"/>
  <c r="AK131" i="8"/>
  <c r="AG168" i="8" s="1"/>
  <c r="AL131" i="8"/>
  <c r="AH168" i="8" s="1"/>
  <c r="E168" i="8"/>
  <c r="F95" i="8"/>
  <c r="F14" i="3" l="1"/>
  <c r="F20" i="3"/>
  <c r="B34" i="8"/>
  <c r="H114" i="1"/>
  <c r="H120" i="1"/>
  <c r="H119" i="1"/>
  <c r="H118" i="1"/>
  <c r="H117" i="1"/>
  <c r="H116" i="1"/>
  <c r="H115" i="1"/>
  <c r="H113" i="1"/>
  <c r="H12" i="8"/>
  <c r="C17" i="8"/>
  <c r="C18" i="8" s="1"/>
  <c r="C150" i="1"/>
  <c r="O7" i="8"/>
  <c r="K7" i="8"/>
  <c r="K8" i="8" s="1"/>
  <c r="J7" i="8"/>
  <c r="I7" i="8"/>
  <c r="H7" i="8"/>
  <c r="X4" i="1"/>
  <c r="C6" i="8"/>
  <c r="F45" i="8" l="1"/>
  <c r="F48" i="8" s="1"/>
  <c r="O199" i="8" l="1"/>
  <c r="D95" i="8" l="1"/>
  <c r="D112" i="8" l="1"/>
  <c r="I95" i="8"/>
  <c r="A112" i="8" l="1"/>
  <c r="M46" i="1"/>
  <c r="M47" i="1" s="1"/>
  <c r="H164" i="8"/>
  <c r="L164" i="8"/>
  <c r="P164" i="8"/>
  <c r="T164" i="8"/>
  <c r="X164" i="8"/>
  <c r="AB164" i="8"/>
  <c r="AF164" i="8"/>
  <c r="F164" i="8"/>
  <c r="J164" i="8"/>
  <c r="N164" i="8"/>
  <c r="V164" i="8"/>
  <c r="Z164" i="8"/>
  <c r="AH164" i="8"/>
  <c r="K164" i="8"/>
  <c r="O164" i="8"/>
  <c r="W164" i="8"/>
  <c r="AA164" i="8"/>
  <c r="G164" i="8"/>
  <c r="I164" i="8"/>
  <c r="M164" i="8"/>
  <c r="Q164" i="8"/>
  <c r="U164" i="8"/>
  <c r="Y164" i="8"/>
  <c r="AC164" i="8"/>
  <c r="AG164" i="8"/>
  <c r="E164" i="8"/>
  <c r="R164" i="8"/>
  <c r="AD164" i="8"/>
  <c r="I130" i="8"/>
  <c r="I132" i="8" s="1"/>
  <c r="S164" i="8"/>
  <c r="AE164" i="8"/>
  <c r="G132" i="8"/>
  <c r="H132" i="8"/>
  <c r="F132" i="8"/>
  <c r="B188" i="8" l="1"/>
  <c r="C188" i="8"/>
  <c r="D188" i="8"/>
  <c r="B189" i="8"/>
  <c r="C189" i="8"/>
  <c r="D189" i="8"/>
  <c r="B190" i="8"/>
  <c r="C190" i="8"/>
  <c r="D190" i="8"/>
  <c r="J116" i="8" l="1"/>
  <c r="G150" i="8"/>
  <c r="G160" i="8" s="1"/>
  <c r="H150" i="8"/>
  <c r="I150" i="8"/>
  <c r="J150" i="8"/>
  <c r="K150" i="8"/>
  <c r="L150" i="8"/>
  <c r="M150" i="8"/>
  <c r="N150" i="8"/>
  <c r="O150" i="8"/>
  <c r="P150" i="8"/>
  <c r="Q150" i="8"/>
  <c r="R150" i="8"/>
  <c r="S150" i="8"/>
  <c r="T150" i="8"/>
  <c r="P187" i="8" s="1"/>
  <c r="U150" i="8"/>
  <c r="Q187" i="8" s="1"/>
  <c r="V150" i="8"/>
  <c r="R187" i="8" s="1"/>
  <c r="W150" i="8"/>
  <c r="S187" i="8" s="1"/>
  <c r="X150" i="8"/>
  <c r="T187" i="8" s="1"/>
  <c r="Y150" i="8"/>
  <c r="U187" i="8" s="1"/>
  <c r="Z150" i="8"/>
  <c r="V187" i="8" s="1"/>
  <c r="AA150" i="8"/>
  <c r="W187" i="8" s="1"/>
  <c r="AB150" i="8"/>
  <c r="X187" i="8" s="1"/>
  <c r="AC150" i="8"/>
  <c r="Y187" i="8" s="1"/>
  <c r="AD150" i="8"/>
  <c r="Z187" i="8" s="1"/>
  <c r="AE150" i="8"/>
  <c r="AA187" i="8" s="1"/>
  <c r="AF150" i="8"/>
  <c r="AB187" i="8" s="1"/>
  <c r="AG150" i="8"/>
  <c r="AC187" i="8" s="1"/>
  <c r="AH150" i="8"/>
  <c r="AD187" i="8" s="1"/>
  <c r="AI150" i="8"/>
  <c r="AE187" i="8" s="1"/>
  <c r="AJ150" i="8"/>
  <c r="AF187" i="8" s="1"/>
  <c r="AK150" i="8"/>
  <c r="AG187" i="8" s="1"/>
  <c r="AL150" i="8"/>
  <c r="AH187" i="8" s="1"/>
  <c r="F150" i="8"/>
  <c r="L130" i="8"/>
  <c r="L132" i="8" l="1"/>
  <c r="B187" i="8"/>
  <c r="F160" i="8"/>
  <c r="O187" i="8"/>
  <c r="S160" i="8"/>
  <c r="D187" i="8"/>
  <c r="H160" i="8"/>
  <c r="C187" i="8"/>
  <c r="K130" i="8"/>
  <c r="AI130" i="8"/>
  <c r="AE130" i="8"/>
  <c r="AA130" i="8"/>
  <c r="W130" i="8"/>
  <c r="S130" i="8"/>
  <c r="O130" i="8"/>
  <c r="AL130" i="8"/>
  <c r="AH130" i="8"/>
  <c r="AD130" i="8"/>
  <c r="Z130" i="8"/>
  <c r="V130" i="8"/>
  <c r="R130" i="8"/>
  <c r="N130" i="8"/>
  <c r="AK130" i="8"/>
  <c r="AG130" i="8"/>
  <c r="AC130" i="8"/>
  <c r="Y130" i="8"/>
  <c r="U130" i="8"/>
  <c r="Q130" i="8"/>
  <c r="M130" i="8"/>
  <c r="J130" i="8"/>
  <c r="AJ130" i="8"/>
  <c r="AF130" i="8"/>
  <c r="AB130" i="8"/>
  <c r="X130" i="8"/>
  <c r="T130" i="8"/>
  <c r="P130" i="8"/>
  <c r="L155" i="8" l="1"/>
  <c r="H188" i="8" s="1"/>
  <c r="AB132" i="8"/>
  <c r="AB155" i="8" s="1"/>
  <c r="X188" i="8" s="1"/>
  <c r="M132" i="8"/>
  <c r="M155" i="8" s="1"/>
  <c r="I188" i="8" s="1"/>
  <c r="AC132" i="8"/>
  <c r="R132" i="8"/>
  <c r="R155" i="8" s="1"/>
  <c r="N188" i="8" s="1"/>
  <c r="AH132" i="8"/>
  <c r="AH155" i="8" s="1"/>
  <c r="AD188" i="8" s="1"/>
  <c r="W132" i="8"/>
  <c r="K132" i="8"/>
  <c r="AG132" i="8"/>
  <c r="AA132" i="8"/>
  <c r="P132" i="8"/>
  <c r="Q132" i="8"/>
  <c r="V132" i="8"/>
  <c r="T132" i="8"/>
  <c r="AK132" i="8"/>
  <c r="AE132" i="8"/>
  <c r="AF132" i="8"/>
  <c r="AL132" i="8"/>
  <c r="AJ132" i="8"/>
  <c r="AJ155" i="8" s="1"/>
  <c r="AF188" i="8" s="1"/>
  <c r="U132" i="8"/>
  <c r="U155" i="8" s="1"/>
  <c r="Q188" i="8" s="1"/>
  <c r="Z132" i="8"/>
  <c r="O132" i="8"/>
  <c r="X132" i="8"/>
  <c r="J132" i="8"/>
  <c r="Y132" i="8"/>
  <c r="N132" i="8"/>
  <c r="AD132" i="8"/>
  <c r="AD155" i="8" s="1"/>
  <c r="Z188" i="8" s="1"/>
  <c r="S132" i="8"/>
  <c r="AI132" i="8"/>
  <c r="I155" i="8"/>
  <c r="E188" i="8" s="1"/>
  <c r="AA155" i="8" l="1"/>
  <c r="W188" i="8" s="1"/>
  <c r="T155" i="8"/>
  <c r="P188" i="8" s="1"/>
  <c r="AL155" i="8"/>
  <c r="AH188" i="8" s="1"/>
  <c r="X155" i="8"/>
  <c r="T188" i="8" s="1"/>
  <c r="AK155" i="8"/>
  <c r="AG188" i="8" s="1"/>
  <c r="P155" i="8"/>
  <c r="L188" i="8" s="1"/>
  <c r="W155" i="8"/>
  <c r="S188" i="8" s="1"/>
  <c r="N155" i="8"/>
  <c r="J188" i="8" s="1"/>
  <c r="AI155" i="8"/>
  <c r="AE188" i="8" s="1"/>
  <c r="Y155" i="8"/>
  <c r="U188" i="8" s="1"/>
  <c r="Z155" i="8"/>
  <c r="V188" i="8" s="1"/>
  <c r="AF155" i="8"/>
  <c r="AB188" i="8" s="1"/>
  <c r="V155" i="8"/>
  <c r="R188" i="8" s="1"/>
  <c r="AG155" i="8"/>
  <c r="AC188" i="8" s="1"/>
  <c r="O155" i="8"/>
  <c r="K188" i="8" s="1"/>
  <c r="S155" i="8"/>
  <c r="O188" i="8" s="1"/>
  <c r="J155" i="8"/>
  <c r="F188" i="8" s="1"/>
  <c r="AE155" i="8"/>
  <c r="AA188" i="8" s="1"/>
  <c r="Q155" i="8"/>
  <c r="M188" i="8" s="1"/>
  <c r="K155" i="8"/>
  <c r="G188" i="8" s="1"/>
  <c r="AC155" i="8"/>
  <c r="Y188" i="8" s="1"/>
  <c r="E155" i="8" l="1"/>
  <c r="I59" i="8"/>
  <c r="E80" i="8"/>
  <c r="I66" i="8"/>
  <c r="I65" i="8"/>
  <c r="E75" i="8" s="1"/>
  <c r="I100" i="8" s="1"/>
  <c r="I64" i="8"/>
  <c r="I62" i="8"/>
  <c r="I63" i="8"/>
  <c r="I60" i="8"/>
  <c r="Q141" i="8" l="1"/>
  <c r="M172" i="8" s="1"/>
  <c r="J141" i="8"/>
  <c r="F172" i="8" s="1"/>
  <c r="Z141" i="8"/>
  <c r="V172" i="8" s="1"/>
  <c r="W141" i="8"/>
  <c r="S172" i="8" s="1"/>
  <c r="T141" i="8"/>
  <c r="P172" i="8" s="1"/>
  <c r="I141" i="8"/>
  <c r="E172" i="8" s="1"/>
  <c r="U141" i="8"/>
  <c r="Q172" i="8" s="1"/>
  <c r="N141" i="8"/>
  <c r="J172" i="8" s="1"/>
  <c r="K141" i="8"/>
  <c r="G172" i="8" s="1"/>
  <c r="AA141" i="8"/>
  <c r="W172" i="8" s="1"/>
  <c r="X141" i="8"/>
  <c r="T172" i="8" s="1"/>
  <c r="AD141" i="8"/>
  <c r="Z172" i="8" s="1"/>
  <c r="Y141" i="8"/>
  <c r="U172" i="8" s="1"/>
  <c r="R141" i="8"/>
  <c r="N172" i="8" s="1"/>
  <c r="O141" i="8"/>
  <c r="K172" i="8" s="1"/>
  <c r="L141" i="8"/>
  <c r="H172" i="8" s="1"/>
  <c r="AB141" i="8"/>
  <c r="X172" i="8" s="1"/>
  <c r="M141" i="8"/>
  <c r="I172" i="8" s="1"/>
  <c r="AC141" i="8"/>
  <c r="Y172" i="8" s="1"/>
  <c r="V141" i="8"/>
  <c r="R172" i="8" s="1"/>
  <c r="S141" i="8"/>
  <c r="O172" i="8" s="1"/>
  <c r="P141" i="8"/>
  <c r="L172" i="8" s="1"/>
  <c r="AH141" i="8"/>
  <c r="AD172" i="8" s="1"/>
  <c r="AL141" i="8"/>
  <c r="AH172" i="8" s="1"/>
  <c r="AF141" i="8"/>
  <c r="AB172" i="8" s="1"/>
  <c r="AG141" i="8"/>
  <c r="AC172" i="8" s="1"/>
  <c r="AE141" i="8"/>
  <c r="AA172" i="8" s="1"/>
  <c r="AI141" i="8"/>
  <c r="AE172" i="8" s="1"/>
  <c r="AJ141" i="8"/>
  <c r="AF172" i="8" s="1"/>
  <c r="AK141" i="8"/>
  <c r="AG172" i="8" s="1"/>
  <c r="I68" i="8"/>
  <c r="I142" i="8" l="1"/>
  <c r="J142" i="8" s="1"/>
  <c r="K142" i="8" s="1"/>
  <c r="L142" i="8" s="1"/>
  <c r="M142" i="8" s="1"/>
  <c r="N142" i="8" s="1"/>
  <c r="O142" i="8" s="1"/>
  <c r="P142" i="8" s="1"/>
  <c r="Q142" i="8" s="1"/>
  <c r="R142" i="8" s="1"/>
  <c r="S142" i="8" s="1"/>
  <c r="T142" i="8" s="1"/>
  <c r="U142" i="8" s="1"/>
  <c r="V142" i="8" s="1"/>
  <c r="W142" i="8" s="1"/>
  <c r="X142" i="8" s="1"/>
  <c r="Y142" i="8" s="1"/>
  <c r="Z142" i="8" s="1"/>
  <c r="AA142" i="8" s="1"/>
  <c r="AB142" i="8" s="1"/>
  <c r="AC142" i="8" s="1"/>
  <c r="AD142" i="8" s="1"/>
  <c r="AE142" i="8" s="1"/>
  <c r="AF142" i="8" s="1"/>
  <c r="AG142" i="8" s="1"/>
  <c r="AH142" i="8" s="1"/>
  <c r="AI142" i="8" s="1"/>
  <c r="AJ142" i="8" s="1"/>
  <c r="AK142" i="8" s="1"/>
  <c r="AL142" i="8" s="1"/>
  <c r="M62" i="8"/>
  <c r="M61" i="8"/>
  <c r="M58" i="8"/>
  <c r="M63" i="8"/>
  <c r="M64" i="8"/>
  <c r="M59" i="8"/>
  <c r="M60" i="8"/>
  <c r="D94" i="8" l="1"/>
  <c r="H122" i="8" s="1"/>
  <c r="F123" i="8"/>
  <c r="D96" i="8"/>
  <c r="H157" i="8" l="1"/>
  <c r="D184" i="8" s="1"/>
  <c r="D107" i="8"/>
  <c r="I99" i="8"/>
  <c r="I101" i="8" s="1"/>
  <c r="O138" i="8" s="1"/>
  <c r="K171" i="8" s="1"/>
  <c r="F122" i="8"/>
  <c r="F158" i="8"/>
  <c r="E158" i="8" s="1"/>
  <c r="S203" i="8" s="1"/>
  <c r="M138" i="8"/>
  <c r="I171" i="8" s="1"/>
  <c r="N138" i="8"/>
  <c r="J171" i="8" s="1"/>
  <c r="K138" i="8"/>
  <c r="G171" i="8" s="1"/>
  <c r="I96" i="8"/>
  <c r="I103" i="8" s="1"/>
  <c r="H124" i="8" s="1"/>
  <c r="D186" i="8" s="1"/>
  <c r="Q138" i="8"/>
  <c r="M171" i="8" s="1"/>
  <c r="U138" i="8"/>
  <c r="Q171" i="8" s="1"/>
  <c r="Y138" i="8"/>
  <c r="U171" i="8" s="1"/>
  <c r="AC138" i="8"/>
  <c r="Y171" i="8" s="1"/>
  <c r="AG138" i="8"/>
  <c r="AC171" i="8" s="1"/>
  <c r="AK138" i="8"/>
  <c r="AG171" i="8" s="1"/>
  <c r="AA138" i="8"/>
  <c r="W171" i="8" s="1"/>
  <c r="AI138" i="8"/>
  <c r="AE171" i="8" s="1"/>
  <c r="X138" i="8"/>
  <c r="T171" i="8" s="1"/>
  <c r="AF138" i="8"/>
  <c r="AB171" i="8" s="1"/>
  <c r="R138" i="8"/>
  <c r="N171" i="8" s="1"/>
  <c r="V138" i="8"/>
  <c r="R171" i="8" s="1"/>
  <c r="Z138" i="8"/>
  <c r="V171" i="8" s="1"/>
  <c r="AD138" i="8"/>
  <c r="Z171" i="8" s="1"/>
  <c r="AH138" i="8"/>
  <c r="AD171" i="8" s="1"/>
  <c r="AL138" i="8"/>
  <c r="AH171" i="8" s="1"/>
  <c r="S138" i="8"/>
  <c r="O171" i="8" s="1"/>
  <c r="W138" i="8"/>
  <c r="S171" i="8" s="1"/>
  <c r="AE138" i="8"/>
  <c r="AA171" i="8" s="1"/>
  <c r="T138" i="8"/>
  <c r="P171" i="8" s="1"/>
  <c r="AB138" i="8"/>
  <c r="X171" i="8" s="1"/>
  <c r="AJ138" i="8"/>
  <c r="AF171" i="8" s="1"/>
  <c r="E83" i="8"/>
  <c r="F128" i="8"/>
  <c r="F127" i="8" s="1"/>
  <c r="G122" i="8"/>
  <c r="G157" i="8" s="1"/>
  <c r="C184" i="8" s="1"/>
  <c r="F157" i="8" l="1"/>
  <c r="B184" i="8" s="1"/>
  <c r="F152" i="8"/>
  <c r="B191" i="8" s="1"/>
  <c r="J138" i="8"/>
  <c r="F171" i="8" s="1"/>
  <c r="I138" i="8"/>
  <c r="E171" i="8" s="1"/>
  <c r="P138" i="8"/>
  <c r="L171" i="8" s="1"/>
  <c r="L138" i="8"/>
  <c r="H171" i="8" s="1"/>
  <c r="B185" i="8"/>
  <c r="J62" i="8"/>
  <c r="J66" i="8"/>
  <c r="J63" i="8"/>
  <c r="J68" i="8"/>
  <c r="J64" i="8"/>
  <c r="J59" i="8"/>
  <c r="J60" i="8"/>
  <c r="J65" i="8"/>
  <c r="G128" i="8"/>
  <c r="G127" i="8" s="1"/>
  <c r="G152" i="8" s="1"/>
  <c r="L126" i="8"/>
  <c r="H169" i="8" s="1"/>
  <c r="J126" i="8"/>
  <c r="F169" i="8" s="1"/>
  <c r="K126" i="8"/>
  <c r="G169" i="8" s="1"/>
  <c r="Q126" i="8"/>
  <c r="M169" i="8" s="1"/>
  <c r="N126" i="8"/>
  <c r="J169" i="8" s="1"/>
  <c r="O126" i="8"/>
  <c r="K169" i="8" s="1"/>
  <c r="M126" i="8"/>
  <c r="I169" i="8" s="1"/>
  <c r="P126" i="8"/>
  <c r="L169" i="8" s="1"/>
  <c r="I126" i="8"/>
  <c r="R126" i="8"/>
  <c r="N169" i="8" s="1"/>
  <c r="E157" i="8" l="1"/>
  <c r="S202" i="8" s="1"/>
  <c r="I139" i="8"/>
  <c r="J139" i="8" s="1"/>
  <c r="K139" i="8" s="1"/>
  <c r="L139" i="8" s="1"/>
  <c r="M139" i="8" s="1"/>
  <c r="N139" i="8" s="1"/>
  <c r="O139" i="8" s="1"/>
  <c r="P139" i="8" s="1"/>
  <c r="Q139" i="8" s="1"/>
  <c r="R139" i="8" s="1"/>
  <c r="S139" i="8" s="1"/>
  <c r="T139" i="8" s="1"/>
  <c r="U139" i="8" s="1"/>
  <c r="V139" i="8" s="1"/>
  <c r="W139" i="8" s="1"/>
  <c r="X139" i="8" s="1"/>
  <c r="Y139" i="8" s="1"/>
  <c r="Z139" i="8" s="1"/>
  <c r="AA139" i="8" s="1"/>
  <c r="AB139" i="8" s="1"/>
  <c r="AC139" i="8" s="1"/>
  <c r="AD139" i="8" s="1"/>
  <c r="AE139" i="8" s="1"/>
  <c r="AF139" i="8" s="1"/>
  <c r="AG139" i="8" s="1"/>
  <c r="AH139" i="8" s="1"/>
  <c r="AI139" i="8" s="1"/>
  <c r="AJ139" i="8" s="1"/>
  <c r="AK139" i="8" s="1"/>
  <c r="AL139" i="8" s="1"/>
  <c r="E169" i="8"/>
  <c r="N160" i="8"/>
  <c r="L160" i="8"/>
  <c r="P160" i="8"/>
  <c r="Q160" i="8"/>
  <c r="M160" i="8"/>
  <c r="R160" i="8"/>
  <c r="O160" i="8"/>
  <c r="J160" i="8"/>
  <c r="I160" i="8"/>
  <c r="K160" i="8"/>
  <c r="I187" i="8"/>
  <c r="K187" i="8"/>
  <c r="L187" i="8"/>
  <c r="M187" i="8"/>
  <c r="G187" i="8"/>
  <c r="N187" i="8"/>
  <c r="F187" i="8"/>
  <c r="E187" i="8"/>
  <c r="J187" i="8"/>
  <c r="H187" i="8"/>
  <c r="C191" i="8"/>
  <c r="H128" i="8"/>
  <c r="H127" i="8" s="1"/>
  <c r="H152" i="8" s="1"/>
  <c r="E126" i="8" l="1"/>
  <c r="D191" i="8"/>
  <c r="I127" i="8"/>
  <c r="I128" i="8" s="1"/>
  <c r="J127" i="8" s="1"/>
  <c r="J128" i="8" s="1"/>
  <c r="Q194" i="8" l="1"/>
  <c r="S199" i="8"/>
  <c r="B177" i="8"/>
  <c r="A111" i="8"/>
  <c r="K127" i="8"/>
  <c r="K128" i="8" s="1"/>
  <c r="B111" i="8" l="1"/>
  <c r="B112" i="8"/>
  <c r="L127" i="8"/>
  <c r="L128" i="8" s="1"/>
  <c r="M127" i="8" s="1"/>
  <c r="M128" i="8" s="1"/>
  <c r="N127" i="8" s="1"/>
  <c r="N128" i="8" s="1"/>
  <c r="O127" i="8" s="1"/>
  <c r="O128" i="8" s="1"/>
  <c r="P127" i="8" s="1"/>
  <c r="P128" i="8" s="1"/>
  <c r="Q127" i="8" l="1"/>
  <c r="Q128" i="8" s="1"/>
  <c r="R127" i="8" s="1"/>
  <c r="R128" i="8" s="1"/>
  <c r="S127" i="8" s="1"/>
  <c r="S128" i="8" s="1"/>
  <c r="T127" i="8" s="1"/>
  <c r="T128" i="8" s="1"/>
  <c r="U127" i="8" s="1"/>
  <c r="U128" i="8" s="1"/>
  <c r="V127" i="8" l="1"/>
  <c r="V128" i="8" s="1"/>
  <c r="W127" i="8" s="1"/>
  <c r="W128" i="8" s="1"/>
  <c r="X127" i="8" s="1"/>
  <c r="X128" i="8" s="1"/>
  <c r="Y127" i="8" s="1"/>
  <c r="Y128" i="8" s="1"/>
  <c r="Z127" i="8" s="1"/>
  <c r="Z128" i="8" s="1"/>
  <c r="AA127" i="8" s="1"/>
  <c r="AA128" i="8" s="1"/>
  <c r="AB127" i="8" s="1"/>
  <c r="AB128" i="8" s="1"/>
  <c r="AC127" i="8" s="1"/>
  <c r="AC128" i="8" s="1"/>
  <c r="AD127" i="8" l="1"/>
  <c r="AD128" i="8" s="1"/>
  <c r="AE127" i="8" s="1"/>
  <c r="AE128" i="8" s="1"/>
  <c r="AF127" i="8" s="1"/>
  <c r="AF128" i="8" s="1"/>
  <c r="AG127" i="8" s="1"/>
  <c r="AG128" i="8" s="1"/>
  <c r="AH127" i="8" s="1"/>
  <c r="AH128" i="8" s="1"/>
  <c r="AI127" i="8" s="1"/>
  <c r="AI128" i="8" s="1"/>
  <c r="AJ127" i="8" s="1"/>
  <c r="AJ128" i="8" s="1"/>
  <c r="AK127" i="8" l="1"/>
  <c r="AK128" i="8" s="1"/>
  <c r="AL127" i="8" l="1"/>
  <c r="AL128" i="8" s="1"/>
  <c r="B31" i="8" l="1"/>
  <c r="D31" i="8" s="1"/>
  <c r="B35" i="8" l="1"/>
  <c r="B42" i="8"/>
  <c r="D42" i="8" s="1"/>
  <c r="C33" i="8" l="1"/>
  <c r="S20" i="1" l="1"/>
  <c r="O75" i="9"/>
  <c r="Q60" i="9"/>
  <c r="F60" i="9" s="1"/>
  <c r="B72" i="9"/>
  <c r="H72" i="9" s="1"/>
  <c r="C18" i="1"/>
  <c r="B43" i="9"/>
  <c r="D43" i="9" s="1"/>
  <c r="B44" i="9"/>
  <c r="B40" i="9"/>
  <c r="C106" i="1"/>
  <c r="C111" i="1" s="1"/>
  <c r="A11" i="2" s="1"/>
  <c r="C107" i="1"/>
  <c r="A12" i="2" s="1"/>
  <c r="C104" i="1"/>
  <c r="C109" i="1" s="1"/>
  <c r="A9" i="2" s="1"/>
  <c r="C55" i="1"/>
  <c r="C54" i="1"/>
  <c r="C11" i="1"/>
  <c r="C10" i="1" s="1"/>
  <c r="C36" i="1"/>
  <c r="C35" i="1"/>
  <c r="C49" i="1"/>
  <c r="C48" i="1"/>
  <c r="C47" i="1"/>
  <c r="K6" i="3"/>
  <c r="E60" i="9" l="1"/>
  <c r="C112" i="1"/>
  <c r="C101" i="1" s="1"/>
  <c r="M60" i="9"/>
  <c r="H60" i="9"/>
  <c r="L60" i="9"/>
  <c r="I60" i="9"/>
  <c r="C9" i="1"/>
  <c r="K60" i="9"/>
  <c r="G60" i="9"/>
  <c r="D60" i="9"/>
  <c r="J60" i="9"/>
  <c r="G72" i="9"/>
  <c r="D72" i="9"/>
  <c r="K72" i="9"/>
  <c r="J72" i="9"/>
  <c r="F72" i="9"/>
  <c r="M72" i="9"/>
  <c r="I72" i="9"/>
  <c r="E72" i="9"/>
  <c r="L72" i="9"/>
  <c r="M47" i="9"/>
  <c r="AB77" i="9" s="1"/>
  <c r="M48" i="9"/>
  <c r="AB78" i="9" s="1"/>
  <c r="M49" i="9"/>
  <c r="AB79" i="9" s="1"/>
  <c r="M50" i="9"/>
  <c r="AB80" i="9" s="1"/>
  <c r="L47" i="9"/>
  <c r="AA77" i="9" s="1"/>
  <c r="L48" i="9"/>
  <c r="AA78" i="9" s="1"/>
  <c r="L49" i="9"/>
  <c r="AA79" i="9" s="1"/>
  <c r="L50" i="9"/>
  <c r="AA80" i="9" s="1"/>
  <c r="K47" i="9"/>
  <c r="Z77" i="9" s="1"/>
  <c r="K48" i="9"/>
  <c r="Z78" i="9" s="1"/>
  <c r="K49" i="9"/>
  <c r="Z79" i="9" s="1"/>
  <c r="K50" i="9"/>
  <c r="Z80" i="9" s="1"/>
  <c r="J47" i="9"/>
  <c r="Y77" i="9" s="1"/>
  <c r="J48" i="9"/>
  <c r="Y78" i="9" s="1"/>
  <c r="J49" i="9"/>
  <c r="Y79" i="9" s="1"/>
  <c r="J50" i="9"/>
  <c r="Y80" i="9" s="1"/>
  <c r="I47" i="9"/>
  <c r="X77" i="9" s="1"/>
  <c r="I48" i="9"/>
  <c r="X78" i="9" s="1"/>
  <c r="I49" i="9"/>
  <c r="X79" i="9" s="1"/>
  <c r="I50" i="9"/>
  <c r="X80" i="9" s="1"/>
  <c r="H47" i="9"/>
  <c r="W77" i="9" s="1"/>
  <c r="H48" i="9"/>
  <c r="W78" i="9" s="1"/>
  <c r="H49" i="9"/>
  <c r="W79" i="9" s="1"/>
  <c r="H50" i="9"/>
  <c r="W80" i="9" s="1"/>
  <c r="G47" i="9"/>
  <c r="V77" i="9" s="1"/>
  <c r="G48" i="9"/>
  <c r="V78" i="9" s="1"/>
  <c r="G49" i="9"/>
  <c r="V79" i="9" s="1"/>
  <c r="G50" i="9"/>
  <c r="V80" i="9" s="1"/>
  <c r="F47" i="9"/>
  <c r="U77" i="9" s="1"/>
  <c r="F48" i="9"/>
  <c r="U78" i="9" s="1"/>
  <c r="F49" i="9"/>
  <c r="U79" i="9" s="1"/>
  <c r="F50" i="9"/>
  <c r="U80" i="9" s="1"/>
  <c r="E47" i="9"/>
  <c r="T77" i="9" s="1"/>
  <c r="E48" i="9"/>
  <c r="T78" i="9" s="1"/>
  <c r="E49" i="9"/>
  <c r="T79" i="9" s="1"/>
  <c r="E50" i="9"/>
  <c r="T80" i="9" s="1"/>
  <c r="D47" i="9"/>
  <c r="S77" i="9" s="1"/>
  <c r="D48" i="9"/>
  <c r="S78" i="9" s="1"/>
  <c r="D49" i="9"/>
  <c r="S79" i="9" s="1"/>
  <c r="D50" i="9"/>
  <c r="S80" i="9" s="1"/>
  <c r="L51" i="9"/>
  <c r="AA81" i="9" s="1"/>
  <c r="E51" i="9" l="1"/>
  <c r="T81" i="9" s="1"/>
  <c r="G51" i="9"/>
  <c r="V81" i="9" s="1"/>
  <c r="K51" i="9"/>
  <c r="Z81" i="9" s="1"/>
  <c r="D51" i="9"/>
  <c r="S81" i="9" s="1"/>
  <c r="I51" i="9"/>
  <c r="X81" i="9" s="1"/>
  <c r="M51" i="9"/>
  <c r="AB81" i="9" s="1"/>
  <c r="F51" i="9"/>
  <c r="U81" i="9" s="1"/>
  <c r="H51" i="9"/>
  <c r="W81" i="9" s="1"/>
  <c r="J51" i="9"/>
  <c r="Y81" i="9" s="1"/>
  <c r="A9" i="3"/>
  <c r="A7" i="3"/>
  <c r="A6" i="3"/>
  <c r="M52" i="9" l="1"/>
  <c r="AB82" i="9" s="1"/>
  <c r="K52" i="9"/>
  <c r="Z82" i="9" s="1"/>
  <c r="I52" i="9"/>
  <c r="X82" i="9" s="1"/>
  <c r="L52" i="9"/>
  <c r="AA82" i="9" s="1"/>
  <c r="J52" i="9"/>
  <c r="Y82" i="9" s="1"/>
  <c r="H52" i="9"/>
  <c r="W82" i="9" s="1"/>
  <c r="F52" i="9"/>
  <c r="U82" i="9" s="1"/>
  <c r="D52" i="9"/>
  <c r="S82" i="9" s="1"/>
  <c r="E52" i="9"/>
  <c r="T82" i="9" s="1"/>
  <c r="G52" i="9"/>
  <c r="V82" i="9" s="1"/>
  <c r="F5" i="2"/>
  <c r="F7" i="2"/>
  <c r="A13" i="2"/>
  <c r="A8" i="3" l="1"/>
  <c r="B45" i="9"/>
  <c r="F45" i="9" s="1"/>
  <c r="U75" i="9" s="1"/>
  <c r="F6" i="2"/>
  <c r="B54" i="9"/>
  <c r="D54" i="9" s="1"/>
  <c r="M53" i="9"/>
  <c r="AB83" i="9" s="1"/>
  <c r="K53" i="9"/>
  <c r="Z83" i="9" s="1"/>
  <c r="I53" i="9"/>
  <c r="X83" i="9" s="1"/>
  <c r="G53" i="9"/>
  <c r="V83" i="9" s="1"/>
  <c r="E53" i="9"/>
  <c r="T83" i="9" s="1"/>
  <c r="J53" i="9"/>
  <c r="Y83" i="9" s="1"/>
  <c r="F53" i="9"/>
  <c r="U83" i="9" s="1"/>
  <c r="L53" i="9"/>
  <c r="AA83" i="9" s="1"/>
  <c r="H53" i="9"/>
  <c r="W83" i="9" s="1"/>
  <c r="D53" i="9"/>
  <c r="S83" i="9" s="1"/>
  <c r="C99" i="1"/>
  <c r="C95" i="1"/>
  <c r="C79" i="1"/>
  <c r="C66" i="1"/>
  <c r="C52" i="1"/>
  <c r="C29" i="1"/>
  <c r="C14" i="1"/>
  <c r="B44" i="6"/>
  <c r="J20" i="6"/>
  <c r="F20" i="6"/>
  <c r="B20" i="6"/>
  <c r="K45" i="9" l="1"/>
  <c r="Z75" i="9" s="1"/>
  <c r="H45" i="9"/>
  <c r="W75" i="9" s="1"/>
  <c r="J45" i="9"/>
  <c r="Y75" i="9" s="1"/>
  <c r="E45" i="9"/>
  <c r="T75" i="9" s="1"/>
  <c r="D45" i="9"/>
  <c r="S75" i="9" s="1"/>
  <c r="L45" i="9"/>
  <c r="AA75" i="9" s="1"/>
  <c r="M45" i="9"/>
  <c r="AB75" i="9" s="1"/>
  <c r="G45" i="9"/>
  <c r="V75" i="9" s="1"/>
  <c r="I45" i="9"/>
  <c r="X75" i="9" s="1"/>
  <c r="F18" i="2"/>
  <c r="K54" i="9"/>
  <c r="Z84" i="9" s="1"/>
  <c r="L54" i="9"/>
  <c r="AA84" i="9" s="1"/>
  <c r="M54" i="9"/>
  <c r="AB84" i="9" s="1"/>
  <c r="J54" i="9"/>
  <c r="Y84" i="9" s="1"/>
  <c r="G54" i="9"/>
  <c r="V84" i="9" s="1"/>
  <c r="F54" i="9"/>
  <c r="U84" i="9" s="1"/>
  <c r="S84" i="9"/>
  <c r="I54" i="9"/>
  <c r="X84" i="9" s="1"/>
  <c r="E54" i="9"/>
  <c r="T84" i="9" s="1"/>
  <c r="H54" i="9"/>
  <c r="W84" i="9" s="1"/>
  <c r="D14" i="5"/>
  <c r="D12" i="5"/>
  <c r="D4" i="5"/>
  <c r="H91" i="1" l="1"/>
  <c r="H102" i="1" s="1"/>
  <c r="H90" i="1"/>
  <c r="H101" i="1" s="1"/>
  <c r="H89" i="1"/>
  <c r="H100" i="1" s="1"/>
  <c r="H59" i="1"/>
  <c r="H58" i="1"/>
  <c r="H57" i="1"/>
  <c r="H55" i="1"/>
  <c r="H56" i="1" s="1"/>
  <c r="H53" i="1"/>
  <c r="H54" i="1" s="1"/>
  <c r="H33" i="1"/>
  <c r="H85" i="1" l="1"/>
  <c r="H87" i="1"/>
  <c r="H98" i="1" s="1"/>
  <c r="H158" i="1" s="1"/>
  <c r="H86" i="1"/>
  <c r="H97" i="1" s="1"/>
  <c r="H88" i="1"/>
  <c r="H99" i="1" s="1"/>
  <c r="H10" i="1"/>
  <c r="C151" i="1"/>
  <c r="C91" i="1"/>
  <c r="C92" i="1" s="1"/>
  <c r="C89" i="1"/>
  <c r="C63" i="1"/>
  <c r="H96" i="1" l="1"/>
  <c r="H157" i="1" s="1"/>
  <c r="D9" i="5"/>
  <c r="D7" i="5"/>
  <c r="C5" i="1"/>
  <c r="E17" i="8" l="1"/>
  <c r="E18" i="8" s="1"/>
  <c r="E7" i="8"/>
  <c r="E8" i="8" s="1"/>
  <c r="F7" i="8"/>
  <c r="F8" i="8" s="1"/>
  <c r="C7" i="8"/>
  <c r="C8" i="8" s="1"/>
  <c r="G7" i="8"/>
  <c r="G8" i="8" s="1"/>
  <c r="I8" i="8"/>
  <c r="N8" i="8"/>
  <c r="J8" i="8"/>
  <c r="H8" i="8"/>
  <c r="O8" i="8"/>
  <c r="P6" i="8" s="1"/>
  <c r="P8" i="8" s="1"/>
  <c r="C75" i="1"/>
  <c r="C76" i="1" s="1"/>
  <c r="C45" i="1"/>
  <c r="C44" i="1"/>
  <c r="C43" i="1"/>
  <c r="M40" i="9"/>
  <c r="D41" i="9"/>
  <c r="S71" i="9" s="1"/>
  <c r="M41" i="9"/>
  <c r="AB71" i="9" s="1"/>
  <c r="F41" i="9"/>
  <c r="U71" i="9" s="1"/>
  <c r="H41" i="9"/>
  <c r="W71" i="9" s="1"/>
  <c r="E41" i="9"/>
  <c r="T71" i="9" s="1"/>
  <c r="I41" i="9"/>
  <c r="X71" i="9" s="1"/>
  <c r="L41" i="9"/>
  <c r="AA71" i="9" s="1"/>
  <c r="K41" i="9"/>
  <c r="Z71" i="9" s="1"/>
  <c r="J41" i="9"/>
  <c r="Y71" i="9" s="1"/>
  <c r="G41" i="9"/>
  <c r="V71" i="9" s="1"/>
  <c r="F40" i="9" l="1"/>
  <c r="H44" i="9"/>
  <c r="W74" i="9" s="1"/>
  <c r="L43" i="9"/>
  <c r="AA73" i="9" s="1"/>
  <c r="H40" i="9"/>
  <c r="J40" i="9"/>
  <c r="K40" i="9"/>
  <c r="L44" i="9"/>
  <c r="AA74" i="9" s="1"/>
  <c r="K44" i="9"/>
  <c r="Z74" i="9" s="1"/>
  <c r="I40" i="9"/>
  <c r="E40" i="9"/>
  <c r="D40" i="9"/>
  <c r="G40" i="9"/>
  <c r="L40" i="9"/>
  <c r="AB70" i="9"/>
  <c r="S70" i="9" l="1"/>
  <c r="W70" i="9"/>
  <c r="V70" i="9"/>
  <c r="Y70" i="9"/>
  <c r="T70" i="9"/>
  <c r="U70" i="9"/>
  <c r="AA70" i="9"/>
  <c r="Z70" i="9"/>
  <c r="X70" i="9"/>
  <c r="D44" i="9"/>
  <c r="S74" i="9" s="1"/>
  <c r="I44" i="9"/>
  <c r="X74" i="9" s="1"/>
  <c r="J44" i="9"/>
  <c r="Y74" i="9" s="1"/>
  <c r="F44" i="9"/>
  <c r="U74" i="9" s="1"/>
  <c r="G44" i="9"/>
  <c r="V74" i="9" s="1"/>
  <c r="E44" i="9"/>
  <c r="T74" i="9" s="1"/>
  <c r="M44" i="9"/>
  <c r="AB74" i="9" s="1"/>
  <c r="K43" i="9"/>
  <c r="Z73" i="9" s="1"/>
  <c r="H43" i="9"/>
  <c r="W73" i="9" s="1"/>
  <c r="M43" i="9"/>
  <c r="AB73" i="9" s="1"/>
  <c r="E43" i="9"/>
  <c r="T73" i="9" s="1"/>
  <c r="G43" i="9"/>
  <c r="V73" i="9" s="1"/>
  <c r="I43" i="9"/>
  <c r="X73" i="9" s="1"/>
  <c r="F43" i="9"/>
  <c r="U73" i="9" s="1"/>
  <c r="J43" i="9"/>
  <c r="Y73" i="9" s="1"/>
  <c r="S73" i="9"/>
  <c r="D35" i="8" l="1"/>
  <c r="B70" i="9"/>
  <c r="M70" i="9" s="1"/>
  <c r="L40" i="8"/>
  <c r="M40" i="8" s="1"/>
  <c r="L37" i="8"/>
  <c r="M37" i="8" s="1"/>
  <c r="F70" i="9" l="1"/>
  <c r="AG79" i="9" s="1"/>
  <c r="G70" i="9"/>
  <c r="AH79" i="9" s="1"/>
  <c r="K70" i="9"/>
  <c r="AL79" i="9" s="1"/>
  <c r="J70" i="9"/>
  <c r="AK79" i="9" s="1"/>
  <c r="H70" i="9"/>
  <c r="AI79" i="9" s="1"/>
  <c r="E70" i="9"/>
  <c r="AF79" i="9" s="1"/>
  <c r="I70" i="9"/>
  <c r="AJ79" i="9" s="1"/>
  <c r="L70" i="9"/>
  <c r="AM79" i="9" s="1"/>
  <c r="D70" i="9"/>
  <c r="AE79" i="9" s="1"/>
  <c r="L38" i="8"/>
  <c r="M38" i="8" s="1"/>
  <c r="B38" i="8" s="1"/>
  <c r="L36" i="8"/>
  <c r="M36" i="8" s="1"/>
  <c r="D32" i="8"/>
  <c r="B71" i="9"/>
  <c r="E71" i="9" s="1"/>
  <c r="AF80" i="9" s="1"/>
  <c r="B40" i="8"/>
  <c r="B67" i="9"/>
  <c r="M67" i="9" s="1"/>
  <c r="AN76" i="9" s="1"/>
  <c r="B69" i="9"/>
  <c r="H69" i="9" s="1"/>
  <c r="AI78" i="9" s="1"/>
  <c r="AN79" i="9"/>
  <c r="H67" i="9" l="1"/>
  <c r="AI76" i="9" s="1"/>
  <c r="H71" i="9"/>
  <c r="AI80" i="9" s="1"/>
  <c r="L67" i="9"/>
  <c r="AM76" i="9" s="1"/>
  <c r="G67" i="9"/>
  <c r="AH76" i="9" s="1"/>
  <c r="G71" i="9"/>
  <c r="AH80" i="9" s="1"/>
  <c r="B36" i="8"/>
  <c r="K71" i="9"/>
  <c r="AL80" i="9" s="1"/>
  <c r="F71" i="9"/>
  <c r="AG80" i="9" s="1"/>
  <c r="L71" i="9"/>
  <c r="AM80" i="9" s="1"/>
  <c r="D71" i="9"/>
  <c r="AE80" i="9" s="1"/>
  <c r="J71" i="9"/>
  <c r="AK80" i="9" s="1"/>
  <c r="I71" i="9"/>
  <c r="AJ80" i="9" s="1"/>
  <c r="M71" i="9"/>
  <c r="AN80" i="9" s="1"/>
  <c r="E67" i="9"/>
  <c r="AF76" i="9" s="1"/>
  <c r="I67" i="9"/>
  <c r="AJ76" i="9" s="1"/>
  <c r="F67" i="9"/>
  <c r="AG76" i="9" s="1"/>
  <c r="J67" i="9"/>
  <c r="AK76" i="9" s="1"/>
  <c r="B37" i="8"/>
  <c r="D69" i="9"/>
  <c r="AE78" i="9" s="1"/>
  <c r="M69" i="9"/>
  <c r="AN78" i="9" s="1"/>
  <c r="L69" i="9"/>
  <c r="AM78" i="9" s="1"/>
  <c r="G69" i="9"/>
  <c r="AH78" i="9" s="1"/>
  <c r="E69" i="9"/>
  <c r="AF78" i="9" s="1"/>
  <c r="K69" i="9"/>
  <c r="AL78" i="9" s="1"/>
  <c r="I69" i="9"/>
  <c r="AJ78" i="9" s="1"/>
  <c r="F69" i="9"/>
  <c r="AG78" i="9" s="1"/>
  <c r="J69" i="9"/>
  <c r="AK78" i="9" s="1"/>
  <c r="K67" i="9"/>
  <c r="AL76" i="9" s="1"/>
  <c r="D67" i="9"/>
  <c r="AE76" i="9" s="1"/>
  <c r="AF70" i="9" l="1"/>
  <c r="AI70" i="9"/>
  <c r="AH70" i="9"/>
  <c r="AL70" i="9"/>
  <c r="AG70" i="9"/>
  <c r="AE70" i="9"/>
  <c r="AN70" i="9"/>
  <c r="AK70" i="9"/>
  <c r="AJ70" i="9"/>
  <c r="AM70" i="9"/>
  <c r="C71" i="1" l="1"/>
  <c r="B46" i="9"/>
  <c r="D46" i="9" s="1"/>
  <c r="S76" i="9" l="1"/>
  <c r="G46" i="9"/>
  <c r="J46" i="9"/>
  <c r="M46" i="9"/>
  <c r="I46" i="9"/>
  <c r="H46" i="9"/>
  <c r="L46" i="9"/>
  <c r="F46" i="9"/>
  <c r="K46" i="9"/>
  <c r="E46" i="9"/>
  <c r="Y76" i="9" l="1"/>
  <c r="AA76" i="9"/>
  <c r="T76" i="9"/>
  <c r="W76" i="9"/>
  <c r="V76" i="9"/>
  <c r="Z76" i="9"/>
  <c r="X76" i="9"/>
  <c r="U76" i="9"/>
  <c r="AB76" i="9"/>
  <c r="A6" i="2" l="1"/>
  <c r="D7" i="8" l="1"/>
  <c r="D8" i="8" s="1"/>
  <c r="C53" i="1"/>
  <c r="A5" i="3" s="1"/>
  <c r="B42" i="9"/>
  <c r="C34" i="1"/>
  <c r="I42" i="9" l="1"/>
  <c r="L42" i="9"/>
  <c r="D42" i="9"/>
  <c r="J42" i="9"/>
  <c r="G42" i="9"/>
  <c r="F42" i="9"/>
  <c r="H42" i="9"/>
  <c r="E42" i="9"/>
  <c r="K42" i="9"/>
  <c r="M42" i="9"/>
  <c r="T72" i="9" l="1"/>
  <c r="Y72" i="9"/>
  <c r="W72" i="9"/>
  <c r="S72" i="9"/>
  <c r="AB72" i="9"/>
  <c r="U72" i="9"/>
  <c r="AA72" i="9"/>
  <c r="Z72" i="9"/>
  <c r="V72" i="9"/>
  <c r="X72" i="9"/>
  <c r="C26" i="1" l="1"/>
  <c r="C25" i="1"/>
  <c r="C24" i="1" s="1"/>
  <c r="C23" i="1" s="1"/>
  <c r="C22" i="1" s="1"/>
  <c r="C21" i="1" s="1"/>
  <c r="L39" i="8" l="1"/>
  <c r="M39" i="8" s="1"/>
  <c r="B66" i="9"/>
  <c r="D66" i="9" s="1"/>
  <c r="AE75" i="9" s="1"/>
  <c r="B39" i="8" l="1"/>
  <c r="D38" i="8" s="1"/>
  <c r="M41" i="8"/>
  <c r="D34" i="8" s="1"/>
  <c r="J66" i="9"/>
  <c r="AK75" i="9" s="1"/>
  <c r="H66" i="9"/>
  <c r="AI75" i="9" s="1"/>
  <c r="I66" i="9"/>
  <c r="AJ75" i="9" s="1"/>
  <c r="E66" i="9"/>
  <c r="AF75" i="9" s="1"/>
  <c r="L66" i="9"/>
  <c r="AM75" i="9" s="1"/>
  <c r="M66" i="9"/>
  <c r="AN75" i="9" s="1"/>
  <c r="K66" i="9"/>
  <c r="AL75" i="9" s="1"/>
  <c r="F66" i="9"/>
  <c r="AG75" i="9" s="1"/>
  <c r="G66" i="9"/>
  <c r="AH75" i="9" s="1"/>
  <c r="C30" i="1"/>
  <c r="A4" i="3" s="1"/>
  <c r="K19" i="2" l="1"/>
  <c r="C119" i="1" s="1"/>
  <c r="K21" i="2"/>
  <c r="K28" i="2" s="1"/>
  <c r="A18" i="2" l="1"/>
  <c r="C100" i="1"/>
  <c r="C114" i="1"/>
  <c r="C136" i="1"/>
  <c r="A10" i="3" s="1"/>
  <c r="C120" i="1"/>
  <c r="C121" i="1" s="1"/>
  <c r="F13" i="8" l="1"/>
  <c r="F16" i="8" s="1"/>
  <c r="F18" i="8" s="1"/>
  <c r="C125" i="1"/>
  <c r="C126" i="1" s="1"/>
  <c r="C128" i="1" s="1"/>
  <c r="A12" i="3" s="1"/>
  <c r="C132" i="1"/>
  <c r="C135" i="1" s="1"/>
  <c r="C140" i="1" s="1"/>
  <c r="C137" i="1"/>
  <c r="A11" i="3" s="1"/>
  <c r="C115" i="1"/>
  <c r="C116" i="1" s="1"/>
  <c r="C117" i="1" s="1"/>
  <c r="C122" i="1"/>
  <c r="K7" i="3"/>
  <c r="B7" i="8"/>
  <c r="B8" i="8" s="1"/>
  <c r="C129" i="1"/>
  <c r="C130" i="1" s="1"/>
  <c r="C124" i="1" l="1"/>
  <c r="A14" i="3"/>
  <c r="L8" i="8"/>
  <c r="M6" i="8" s="1"/>
  <c r="M8" i="8" s="1"/>
  <c r="X5" i="1"/>
  <c r="C141" i="1"/>
  <c r="H13" i="8"/>
  <c r="H14" i="8" s="1"/>
  <c r="H17" i="8" s="1"/>
  <c r="C127" i="1"/>
  <c r="C138" i="1" s="1"/>
  <c r="H16" i="1" l="1"/>
  <c r="M25" i="1" s="1"/>
  <c r="O25" i="1" s="1"/>
  <c r="M30" i="1"/>
  <c r="H17" i="1"/>
  <c r="M18" i="1"/>
  <c r="C153" i="1"/>
  <c r="C147" i="1" s="1"/>
  <c r="B55" i="9"/>
  <c r="C11" i="8"/>
  <c r="C12" i="8" s="1"/>
  <c r="H65" i="1" l="1"/>
  <c r="M26" i="1" s="1"/>
  <c r="O26" i="1" s="1"/>
  <c r="F55" i="9"/>
  <c r="J55" i="9"/>
  <c r="K55" i="9"/>
  <c r="E55" i="9"/>
  <c r="G55" i="9"/>
  <c r="L55" i="9"/>
  <c r="M55" i="9"/>
  <c r="H55" i="9"/>
  <c r="I55" i="9"/>
  <c r="D55" i="9"/>
  <c r="M23" i="1"/>
  <c r="A23" i="3"/>
  <c r="K10" i="3"/>
  <c r="N9" i="3"/>
  <c r="M19" i="8"/>
  <c r="D14" i="3"/>
  <c r="M9" i="3" l="1"/>
  <c r="M7" i="3"/>
  <c r="L57" i="9"/>
  <c r="AA85" i="9"/>
  <c r="J57" i="9"/>
  <c r="Y85" i="9"/>
  <c r="I57" i="9"/>
  <c r="X85" i="9"/>
  <c r="G57" i="9"/>
  <c r="V85" i="9"/>
  <c r="F57" i="9"/>
  <c r="U85" i="9"/>
  <c r="D57" i="9"/>
  <c r="D58" i="9" s="1"/>
  <c r="S85" i="9"/>
  <c r="B17" i="8"/>
  <c r="G17" i="8"/>
  <c r="H6" i="1"/>
  <c r="F20" i="2" s="1"/>
  <c r="H14" i="1"/>
  <c r="H21" i="1" s="1"/>
  <c r="A41" i="9"/>
  <c r="D17" i="8"/>
  <c r="D18" i="8" s="1"/>
  <c r="B16" i="8" s="1"/>
  <c r="H15" i="1"/>
  <c r="A16" i="3" s="1"/>
  <c r="B19" i="6"/>
  <c r="B21" i="6" s="1"/>
  <c r="B22" i="6" s="1"/>
  <c r="O23" i="1"/>
  <c r="H57" i="9"/>
  <c r="W85" i="9"/>
  <c r="E57" i="9"/>
  <c r="T85" i="9"/>
  <c r="H66" i="1"/>
  <c r="M57" i="9"/>
  <c r="AB85" i="9"/>
  <c r="K57" i="9"/>
  <c r="Z85" i="9"/>
  <c r="H58" i="9" l="1"/>
  <c r="F58" i="9"/>
  <c r="G58" i="9"/>
  <c r="M58" i="9"/>
  <c r="K58" i="9"/>
  <c r="I58" i="9"/>
  <c r="J58" i="9"/>
  <c r="L58" i="9"/>
  <c r="E58" i="9"/>
  <c r="G20" i="8"/>
  <c r="H62" i="1"/>
  <c r="H22" i="1"/>
  <c r="H20" i="8" l="1"/>
  <c r="J20" i="8"/>
  <c r="B18" i="8"/>
  <c r="B20" i="8" s="1"/>
  <c r="G22" i="8"/>
  <c r="H73" i="1"/>
  <c r="H123" i="1" s="1"/>
  <c r="H70" i="1"/>
  <c r="A20" i="2"/>
  <c r="H23" i="1"/>
  <c r="B27" i="8" l="1"/>
  <c r="D27" i="8" s="1"/>
  <c r="A21" i="2"/>
  <c r="H24" i="1"/>
  <c r="A22" i="2" s="1"/>
  <c r="H72" i="1"/>
  <c r="H106" i="1" s="1"/>
  <c r="H105" i="1"/>
  <c r="H82" i="1"/>
  <c r="H74" i="1" s="1"/>
  <c r="F24" i="2" s="1"/>
  <c r="H39" i="1"/>
  <c r="H25" i="1" s="1"/>
  <c r="H141" i="1"/>
  <c r="H127" i="1"/>
  <c r="H138" i="1"/>
  <c r="H125" i="1"/>
  <c r="H110" i="1" s="1"/>
  <c r="F22" i="2" l="1"/>
  <c r="J25" i="1"/>
  <c r="H63" i="1"/>
  <c r="H71" i="1" s="1"/>
  <c r="F19" i="6"/>
  <c r="F21" i="6" s="1"/>
  <c r="F22" i="6" s="1"/>
  <c r="H26" i="1" s="1"/>
  <c r="J26" i="1" s="1"/>
  <c r="J19" i="6"/>
  <c r="J21" i="6" s="1"/>
  <c r="J22" i="6" s="1"/>
  <c r="H146" i="1"/>
  <c r="H147" i="1"/>
  <c r="H162" i="1" s="1"/>
  <c r="M13" i="1"/>
  <c r="B29" i="8"/>
  <c r="H112" i="1"/>
  <c r="H142" i="1" s="1"/>
  <c r="A18" i="3" s="1"/>
  <c r="A23" i="2"/>
  <c r="M16" i="1"/>
  <c r="A22" i="3" s="1"/>
  <c r="B28" i="8"/>
  <c r="D28" i="8" s="1"/>
  <c r="B64" i="9"/>
  <c r="H64" i="1" l="1"/>
  <c r="A17" i="3" s="1"/>
  <c r="A20" i="3" s="1"/>
  <c r="B30" i="8"/>
  <c r="D30" i="8" s="1"/>
  <c r="B63" i="9"/>
  <c r="H163" i="1"/>
  <c r="M3" i="1" s="1"/>
  <c r="O4" i="1" s="1"/>
  <c r="H149" i="1"/>
  <c r="H148" i="1"/>
  <c r="I64" i="9"/>
  <c r="E64" i="9"/>
  <c r="D64" i="9"/>
  <c r="G64" i="9"/>
  <c r="M64" i="9"/>
  <c r="J64" i="9"/>
  <c r="L64" i="9"/>
  <c r="K64" i="9"/>
  <c r="F64" i="9"/>
  <c r="H64" i="9"/>
  <c r="M11" i="1"/>
  <c r="M12" i="1"/>
  <c r="M5" i="1" s="1"/>
  <c r="M19" i="1"/>
  <c r="H75" i="1"/>
  <c r="H150" i="1"/>
  <c r="B33" i="8"/>
  <c r="D33" i="8" s="1"/>
  <c r="D29" i="8"/>
  <c r="F42" i="2" l="1"/>
  <c r="F46" i="2" s="1"/>
  <c r="O5" i="1"/>
  <c r="F39" i="2"/>
  <c r="AI73" i="9"/>
  <c r="AK73" i="9"/>
  <c r="AF73" i="9"/>
  <c r="M17" i="1"/>
  <c r="X32" i="1" s="1"/>
  <c r="B43" i="6"/>
  <c r="B45" i="6" s="1"/>
  <c r="B46" i="6" s="1"/>
  <c r="R3" i="1"/>
  <c r="R9" i="1" s="1"/>
  <c r="M24" i="1"/>
  <c r="Q43" i="9"/>
  <c r="A25" i="3"/>
  <c r="AG73" i="9"/>
  <c r="AN73" i="9"/>
  <c r="AJ73" i="9"/>
  <c r="AL73" i="9"/>
  <c r="AH73" i="9"/>
  <c r="B68" i="9"/>
  <c r="A34" i="2"/>
  <c r="A39" i="2" s="1"/>
  <c r="M63" i="9"/>
  <c r="K63" i="9"/>
  <c r="H63" i="9"/>
  <c r="L63" i="9"/>
  <c r="D63" i="9"/>
  <c r="J63" i="9"/>
  <c r="E63" i="9"/>
  <c r="G63" i="9"/>
  <c r="F63" i="9"/>
  <c r="I63" i="9"/>
  <c r="AM73" i="9"/>
  <c r="AE73" i="9"/>
  <c r="R16" i="1" l="1"/>
  <c r="A72" i="9"/>
  <c r="R25" i="1"/>
  <c r="F48" i="2"/>
  <c r="AG72" i="9"/>
  <c r="AF72" i="9"/>
  <c r="AI72" i="9"/>
  <c r="D68" i="9"/>
  <c r="F68" i="9"/>
  <c r="E68" i="9"/>
  <c r="J68" i="9"/>
  <c r="K68" i="9"/>
  <c r="I68" i="9"/>
  <c r="L68" i="9"/>
  <c r="M68" i="9"/>
  <c r="H68" i="9"/>
  <c r="G68" i="9"/>
  <c r="N63" i="9"/>
  <c r="R4" i="1"/>
  <c r="AJ72" i="9"/>
  <c r="AK72" i="9"/>
  <c r="AL72" i="9"/>
  <c r="AE72" i="9"/>
  <c r="AN72" i="9"/>
  <c r="A24" i="3"/>
  <c r="A27" i="3" s="1"/>
  <c r="A29" i="3" s="1"/>
  <c r="M38" i="1"/>
  <c r="AH72" i="9"/>
  <c r="AM72" i="9"/>
  <c r="A42" i="2"/>
  <c r="D20" i="3"/>
  <c r="O24" i="1"/>
  <c r="O27" i="1" s="1"/>
  <c r="M27" i="1" s="1"/>
  <c r="M31" i="1" s="1"/>
  <c r="M48" i="1" l="1"/>
  <c r="M49" i="1" s="1"/>
  <c r="R30" i="1"/>
  <c r="R43" i="1"/>
  <c r="R44" i="1" s="1"/>
  <c r="R32" i="1"/>
  <c r="R33" i="1" s="1"/>
  <c r="R34" i="1" s="1"/>
  <c r="R36" i="1" s="1"/>
  <c r="R37" i="1" s="1"/>
  <c r="R26" i="1"/>
  <c r="R27" i="1" s="1"/>
  <c r="B61" i="9"/>
  <c r="F50" i="2"/>
  <c r="D31" i="3"/>
  <c r="O32" i="1"/>
  <c r="M32" i="1"/>
  <c r="M20" i="1"/>
  <c r="D47" i="8"/>
  <c r="E47" i="8" s="1"/>
  <c r="J7" i="4"/>
  <c r="AH77" i="9"/>
  <c r="N68" i="9"/>
  <c r="P68" i="9" s="1"/>
  <c r="AJ77" i="9"/>
  <c r="AG77" i="9"/>
  <c r="AI77" i="9"/>
  <c r="AL77" i="9"/>
  <c r="AE77" i="9"/>
  <c r="E32" i="8"/>
  <c r="E38" i="8"/>
  <c r="J6" i="4"/>
  <c r="E35" i="8"/>
  <c r="E31" i="8"/>
  <c r="E42" i="8"/>
  <c r="E34" i="8"/>
  <c r="R5" i="1"/>
  <c r="R7" i="1" s="1"/>
  <c r="M18" i="8"/>
  <c r="M20" i="8" s="1"/>
  <c r="E27" i="8"/>
  <c r="E28" i="8"/>
  <c r="J11" i="4"/>
  <c r="O10" i="4" s="1"/>
  <c r="O11" i="4" s="1"/>
  <c r="E33" i="8"/>
  <c r="E30" i="8"/>
  <c r="E29" i="8"/>
  <c r="AN77" i="9"/>
  <c r="AK77" i="9"/>
  <c r="N60" i="9"/>
  <c r="B74" i="9"/>
  <c r="Y15" i="1"/>
  <c r="Y17" i="1" s="1"/>
  <c r="N66" i="9"/>
  <c r="R11" i="1"/>
  <c r="R13" i="1"/>
  <c r="R15" i="1"/>
  <c r="B65" i="9" s="1"/>
  <c r="R12" i="1"/>
  <c r="T14" i="1"/>
  <c r="R14" i="1"/>
  <c r="N71" i="9"/>
  <c r="N72" i="9"/>
  <c r="R17" i="1"/>
  <c r="Q58" i="9"/>
  <c r="N67" i="9"/>
  <c r="W9" i="1"/>
  <c r="W10" i="1" s="1"/>
  <c r="N70" i="9"/>
  <c r="N69" i="9"/>
  <c r="N58" i="9"/>
  <c r="N64" i="9"/>
  <c r="AM77" i="9"/>
  <c r="AF77" i="9"/>
  <c r="P20" i="8" l="1"/>
  <c r="M53" i="1"/>
  <c r="M54" i="1"/>
  <c r="M55" i="1"/>
  <c r="M56" i="1"/>
  <c r="M57" i="1"/>
  <c r="M58" i="1"/>
  <c r="M51" i="1"/>
  <c r="M52" i="1"/>
  <c r="H5" i="1" s="1"/>
  <c r="M59" i="1"/>
  <c r="H61" i="9"/>
  <c r="L61" i="9"/>
  <c r="I61" i="9"/>
  <c r="D61" i="9"/>
  <c r="F61" i="9"/>
  <c r="M61" i="9"/>
  <c r="G61" i="9"/>
  <c r="J61" i="9"/>
  <c r="E61" i="9"/>
  <c r="K61" i="9"/>
  <c r="G29" i="8"/>
  <c r="G28" i="8"/>
  <c r="G34" i="8"/>
  <c r="G47" i="8"/>
  <c r="D74" i="9"/>
  <c r="E74" i="9"/>
  <c r="L74" i="9"/>
  <c r="M74" i="9"/>
  <c r="K74" i="9"/>
  <c r="H74" i="9"/>
  <c r="I74" i="9"/>
  <c r="J74" i="9"/>
  <c r="F74" i="9"/>
  <c r="G74" i="9"/>
  <c r="G42" i="8"/>
  <c r="G38" i="8"/>
  <c r="B73" i="9"/>
  <c r="B41" i="8"/>
  <c r="D41" i="8" s="1"/>
  <c r="E41" i="8" s="1"/>
  <c r="G33" i="8"/>
  <c r="G31" i="8"/>
  <c r="G32" i="8"/>
  <c r="M65" i="9"/>
  <c r="I65" i="9"/>
  <c r="E65" i="9"/>
  <c r="L65" i="9"/>
  <c r="J65" i="9"/>
  <c r="F65" i="9"/>
  <c r="D65" i="9"/>
  <c r="H65" i="9"/>
  <c r="G65" i="9"/>
  <c r="K65" i="9"/>
  <c r="Y18" i="1"/>
  <c r="R18" i="1" s="1"/>
  <c r="B43" i="8" s="1"/>
  <c r="D43" i="8" s="1"/>
  <c r="E43" i="8" s="1"/>
  <c r="AB17" i="1"/>
  <c r="G35" i="8"/>
  <c r="F23" i="3" l="1"/>
  <c r="I62" i="9"/>
  <c r="E62" i="9"/>
  <c r="H62" i="9"/>
  <c r="K62" i="9"/>
  <c r="J62" i="9"/>
  <c r="M62" i="9"/>
  <c r="F62" i="9"/>
  <c r="D62" i="9"/>
  <c r="G62" i="9"/>
  <c r="R62" i="9" s="1"/>
  <c r="L62" i="9"/>
  <c r="G43" i="8"/>
  <c r="AE74" i="9"/>
  <c r="AF74" i="9"/>
  <c r="G41" i="8"/>
  <c r="AK71" i="9"/>
  <c r="AE71" i="9"/>
  <c r="AL74" i="9"/>
  <c r="AJ74" i="9"/>
  <c r="I73" i="9"/>
  <c r="F73" i="9"/>
  <c r="F77" i="9" s="1"/>
  <c r="F99" i="9" s="1"/>
  <c r="F119" i="9" s="1"/>
  <c r="J73" i="9"/>
  <c r="M73" i="9"/>
  <c r="L73" i="9"/>
  <c r="G73" i="9"/>
  <c r="D73" i="9"/>
  <c r="E73" i="9"/>
  <c r="E77" i="9" s="1"/>
  <c r="E79" i="9" s="1"/>
  <c r="E126" i="9" s="1"/>
  <c r="K73" i="9"/>
  <c r="H73" i="9"/>
  <c r="E49" i="8"/>
  <c r="D91" i="8" s="1"/>
  <c r="I91" i="8" s="1"/>
  <c r="D92" i="8" s="1"/>
  <c r="I92" i="8" s="1"/>
  <c r="I98" i="8" s="1"/>
  <c r="J134" i="8" s="1"/>
  <c r="AA9" i="1"/>
  <c r="AA10" i="1" s="1"/>
  <c r="AA8" i="1" s="1"/>
  <c r="N74" i="9"/>
  <c r="N61" i="9"/>
  <c r="AH71" i="9"/>
  <c r="AJ71" i="9"/>
  <c r="N65" i="9"/>
  <c r="P65" i="9" s="1"/>
  <c r="AH74" i="9"/>
  <c r="AK74" i="9"/>
  <c r="AN74" i="9"/>
  <c r="AL71" i="9"/>
  <c r="AN71" i="9"/>
  <c r="AM71" i="9"/>
  <c r="AG74" i="9"/>
  <c r="AI74" i="9"/>
  <c r="AM74" i="9"/>
  <c r="AF71" i="9"/>
  <c r="AG71" i="9"/>
  <c r="AI71" i="9"/>
  <c r="J77" i="9" l="1"/>
  <c r="J79" i="9" s="1"/>
  <c r="J126" i="9" s="1"/>
  <c r="H77" i="9"/>
  <c r="H79" i="9" s="1"/>
  <c r="H126" i="9" s="1"/>
  <c r="K77" i="9"/>
  <c r="K102" i="9" s="1"/>
  <c r="I77" i="9"/>
  <c r="I102" i="9" s="1"/>
  <c r="N62" i="9"/>
  <c r="M77" i="9"/>
  <c r="M86" i="9" s="1"/>
  <c r="D77" i="9"/>
  <c r="D79" i="9" s="1"/>
  <c r="D126" i="9" s="1"/>
  <c r="G77" i="9"/>
  <c r="G79" i="9" s="1"/>
  <c r="F102" i="9"/>
  <c r="F79" i="9"/>
  <c r="F126" i="9" s="1"/>
  <c r="E102" i="9"/>
  <c r="E99" i="9"/>
  <c r="E119" i="9" s="1"/>
  <c r="F111" i="9"/>
  <c r="F125" i="9" s="1"/>
  <c r="J78" i="9"/>
  <c r="J82" i="9"/>
  <c r="J107" i="9"/>
  <c r="J84" i="9"/>
  <c r="J123" i="9" s="1"/>
  <c r="J95" i="9"/>
  <c r="J103" i="9"/>
  <c r="J106" i="9"/>
  <c r="J104" i="9"/>
  <c r="J109" i="9"/>
  <c r="J87" i="9"/>
  <c r="J124" i="9" s="1"/>
  <c r="J85" i="9"/>
  <c r="J94" i="9"/>
  <c r="J96" i="9"/>
  <c r="J91" i="9"/>
  <c r="J98" i="9"/>
  <c r="J89" i="9"/>
  <c r="J93" i="9"/>
  <c r="J92" i="9"/>
  <c r="J108" i="9"/>
  <c r="J90" i="9"/>
  <c r="J86" i="9"/>
  <c r="J83" i="9"/>
  <c r="J88" i="9"/>
  <c r="Q51" i="9"/>
  <c r="S51" i="9" s="1"/>
  <c r="J97" i="9"/>
  <c r="J101" i="9"/>
  <c r="J100" i="9"/>
  <c r="J105" i="9"/>
  <c r="J111" i="9"/>
  <c r="J125" i="9" s="1"/>
  <c r="J99" i="9"/>
  <c r="J119" i="9" s="1"/>
  <c r="J102" i="9"/>
  <c r="H104" i="9"/>
  <c r="H108" i="9"/>
  <c r="H95" i="9"/>
  <c r="H78" i="9"/>
  <c r="H92" i="9"/>
  <c r="H83" i="9"/>
  <c r="H82" i="9"/>
  <c r="H107" i="9"/>
  <c r="H109" i="9"/>
  <c r="H98" i="9"/>
  <c r="Q49" i="9"/>
  <c r="S49" i="9" s="1"/>
  <c r="H93" i="9"/>
  <c r="H103" i="9"/>
  <c r="H84" i="9"/>
  <c r="H123" i="9" s="1"/>
  <c r="H96" i="9"/>
  <c r="H89" i="9"/>
  <c r="H86" i="9"/>
  <c r="H90" i="9"/>
  <c r="H94" i="9"/>
  <c r="H91" i="9"/>
  <c r="H85" i="9"/>
  <c r="H87" i="9"/>
  <c r="H124" i="9" s="1"/>
  <c r="H88" i="9"/>
  <c r="H106" i="9"/>
  <c r="H97" i="9"/>
  <c r="H101" i="9"/>
  <c r="H100" i="9"/>
  <c r="H105" i="9"/>
  <c r="P61" i="9"/>
  <c r="N57" i="9"/>
  <c r="P57" i="9" s="1"/>
  <c r="K110" i="9"/>
  <c r="I110" i="9"/>
  <c r="I111" i="9"/>
  <c r="I125" i="9" s="1"/>
  <c r="K78" i="9"/>
  <c r="K82" i="9"/>
  <c r="K104" i="9"/>
  <c r="K98" i="9"/>
  <c r="Q52" i="9"/>
  <c r="S52" i="9" s="1"/>
  <c r="K108" i="9"/>
  <c r="K93" i="9"/>
  <c r="K94" i="9"/>
  <c r="K90" i="9"/>
  <c r="K87" i="9"/>
  <c r="K124" i="9" s="1"/>
  <c r="K89" i="9"/>
  <c r="K92" i="9"/>
  <c r="K106" i="9"/>
  <c r="K96" i="9"/>
  <c r="K103" i="9"/>
  <c r="K84" i="9"/>
  <c r="K123" i="9" s="1"/>
  <c r="K95" i="9"/>
  <c r="K88" i="9"/>
  <c r="K85" i="9"/>
  <c r="K83" i="9"/>
  <c r="K86" i="9"/>
  <c r="K107" i="9"/>
  <c r="K109" i="9"/>
  <c r="K91" i="9"/>
  <c r="K97" i="9"/>
  <c r="K101" i="9"/>
  <c r="K100" i="9"/>
  <c r="K105" i="9"/>
  <c r="E111" i="9"/>
  <c r="E125" i="9" s="1"/>
  <c r="E110" i="9"/>
  <c r="H99" i="9"/>
  <c r="H119" i="9" s="1"/>
  <c r="M103" i="9"/>
  <c r="H111" i="9"/>
  <c r="H125" i="9" s="1"/>
  <c r="G45" i="8"/>
  <c r="J110" i="9"/>
  <c r="K111" i="9"/>
  <c r="K125" i="9" s="1"/>
  <c r="E78" i="9"/>
  <c r="E82" i="9"/>
  <c r="E107" i="9"/>
  <c r="E98" i="9"/>
  <c r="E94" i="9"/>
  <c r="E86" i="9"/>
  <c r="E83" i="9"/>
  <c r="E103" i="9"/>
  <c r="E92" i="9"/>
  <c r="E87" i="9"/>
  <c r="E124" i="9" s="1"/>
  <c r="E88" i="9"/>
  <c r="E91" i="9"/>
  <c r="E109" i="9"/>
  <c r="E85" i="9"/>
  <c r="Q46" i="9"/>
  <c r="S46" i="9" s="1"/>
  <c r="E104" i="9"/>
  <c r="E93" i="9"/>
  <c r="E106" i="9"/>
  <c r="E84" i="9"/>
  <c r="E123" i="9" s="1"/>
  <c r="E89" i="9"/>
  <c r="E108" i="9"/>
  <c r="E95" i="9"/>
  <c r="E96" i="9"/>
  <c r="E90" i="9"/>
  <c r="E97" i="9"/>
  <c r="E101" i="9"/>
  <c r="E100" i="9"/>
  <c r="E105" i="9"/>
  <c r="K99" i="9"/>
  <c r="K119" i="9" s="1"/>
  <c r="I91" i="9"/>
  <c r="I95" i="9"/>
  <c r="I107" i="9"/>
  <c r="I93" i="9"/>
  <c r="I89" i="9"/>
  <c r="I96" i="9"/>
  <c r="I87" i="9"/>
  <c r="I124" i="9" s="1"/>
  <c r="I109" i="9"/>
  <c r="I84" i="9"/>
  <c r="I123" i="9" s="1"/>
  <c r="I86" i="9"/>
  <c r="I103" i="9"/>
  <c r="I92" i="9"/>
  <c r="I98" i="9"/>
  <c r="I108" i="9"/>
  <c r="I83" i="9"/>
  <c r="I100" i="9"/>
  <c r="I105" i="9"/>
  <c r="F104" i="9"/>
  <c r="F90" i="9"/>
  <c r="F91" i="9"/>
  <c r="F85" i="9"/>
  <c r="F109" i="9"/>
  <c r="F107" i="9"/>
  <c r="F78" i="9"/>
  <c r="F98" i="9"/>
  <c r="F92" i="9"/>
  <c r="F95" i="9"/>
  <c r="F94" i="9"/>
  <c r="F84" i="9"/>
  <c r="F123" i="9" s="1"/>
  <c r="Q47" i="9"/>
  <c r="S47" i="9" s="1"/>
  <c r="F96" i="9"/>
  <c r="F82" i="9"/>
  <c r="F103" i="9"/>
  <c r="F108" i="9"/>
  <c r="F87" i="9"/>
  <c r="F124" i="9" s="1"/>
  <c r="F89" i="9"/>
  <c r="F93" i="9"/>
  <c r="F106" i="9"/>
  <c r="F83" i="9"/>
  <c r="F88" i="9"/>
  <c r="F86" i="9"/>
  <c r="F97" i="9"/>
  <c r="F101" i="9"/>
  <c r="F100" i="9"/>
  <c r="F105" i="9"/>
  <c r="H102" i="9"/>
  <c r="L77" i="9"/>
  <c r="L79" i="9" s="1"/>
  <c r="L126" i="9" s="1"/>
  <c r="H110" i="9"/>
  <c r="N73" i="9"/>
  <c r="N75" i="9" s="1"/>
  <c r="F110" i="9"/>
  <c r="D93" i="9" l="1"/>
  <c r="D96" i="9"/>
  <c r="D109" i="9"/>
  <c r="I90" i="9"/>
  <c r="I99" i="9"/>
  <c r="I119" i="9" s="1"/>
  <c r="M99" i="9"/>
  <c r="M119" i="9" s="1"/>
  <c r="D98" i="9"/>
  <c r="M102" i="9"/>
  <c r="D78" i="9"/>
  <c r="M79" i="9"/>
  <c r="M126" i="9" s="1"/>
  <c r="I82" i="9"/>
  <c r="I97" i="9"/>
  <c r="I94" i="9"/>
  <c r="I106" i="9"/>
  <c r="I78" i="9"/>
  <c r="M111" i="9"/>
  <c r="M125" i="9" s="1"/>
  <c r="K79" i="9"/>
  <c r="K126" i="9" s="1"/>
  <c r="I101" i="9"/>
  <c r="I118" i="9" s="1"/>
  <c r="Q50" i="9"/>
  <c r="S50" i="9" s="1"/>
  <c r="I88" i="9"/>
  <c r="I85" i="9"/>
  <c r="I104" i="9"/>
  <c r="D110" i="9"/>
  <c r="M91" i="9"/>
  <c r="Q48" i="9"/>
  <c r="S48" i="9" s="1"/>
  <c r="G107" i="9"/>
  <c r="G99" i="9"/>
  <c r="G119" i="9" s="1"/>
  <c r="G102" i="9"/>
  <c r="T114" i="9"/>
  <c r="C164" i="9"/>
  <c r="G105" i="9"/>
  <c r="G100" i="9"/>
  <c r="G101" i="9"/>
  <c r="G97" i="9"/>
  <c r="G82" i="9"/>
  <c r="G78" i="9"/>
  <c r="AV13" i="10" s="1"/>
  <c r="G91" i="9"/>
  <c r="G110" i="9"/>
  <c r="G96" i="9"/>
  <c r="M100" i="9"/>
  <c r="M95" i="9"/>
  <c r="M89" i="9"/>
  <c r="G87" i="9"/>
  <c r="G124" i="9" s="1"/>
  <c r="M78" i="9"/>
  <c r="BB5" i="10" s="1"/>
  <c r="M85" i="9"/>
  <c r="M87" i="9"/>
  <c r="M124" i="9" s="1"/>
  <c r="Q54" i="9"/>
  <c r="S54" i="9" s="1"/>
  <c r="M88" i="9"/>
  <c r="G84" i="9"/>
  <c r="G123" i="9" s="1"/>
  <c r="M83" i="9"/>
  <c r="M109" i="9"/>
  <c r="G90" i="9"/>
  <c r="M84" i="9"/>
  <c r="M123" i="9" s="1"/>
  <c r="G86" i="9"/>
  <c r="M104" i="9"/>
  <c r="G88" i="9"/>
  <c r="M108" i="9"/>
  <c r="G108" i="9"/>
  <c r="M105" i="9"/>
  <c r="M96" i="9"/>
  <c r="M110" i="9"/>
  <c r="M101" i="9"/>
  <c r="M94" i="9"/>
  <c r="G104" i="9"/>
  <c r="M98" i="9"/>
  <c r="M92" i="9"/>
  <c r="M106" i="9"/>
  <c r="M93" i="9"/>
  <c r="G93" i="9"/>
  <c r="M97" i="9"/>
  <c r="M90" i="9"/>
  <c r="M82" i="9"/>
  <c r="G109" i="9"/>
  <c r="G103" i="9"/>
  <c r="G85" i="9"/>
  <c r="G83" i="9"/>
  <c r="G106" i="9"/>
  <c r="G89" i="9"/>
  <c r="M107" i="9"/>
  <c r="G111" i="9"/>
  <c r="G125" i="9" s="1"/>
  <c r="G98" i="9"/>
  <c r="G94" i="9"/>
  <c r="D104" i="9"/>
  <c r="G95" i="9"/>
  <c r="G92" i="9"/>
  <c r="F80" i="9"/>
  <c r="D111" i="9"/>
  <c r="D125" i="9" s="1"/>
  <c r="D99" i="9"/>
  <c r="D119" i="9" s="1"/>
  <c r="D100" i="9"/>
  <c r="D101" i="9"/>
  <c r="B79" i="9"/>
  <c r="D97" i="9"/>
  <c r="D108" i="9"/>
  <c r="D83" i="9"/>
  <c r="D82" i="9"/>
  <c r="D85" i="9"/>
  <c r="D91" i="9"/>
  <c r="D95" i="9"/>
  <c r="D84" i="9"/>
  <c r="D123" i="9" s="1"/>
  <c r="D105" i="9"/>
  <c r="D88" i="9"/>
  <c r="I79" i="9"/>
  <c r="I126" i="9" s="1"/>
  <c r="Q45" i="9"/>
  <c r="S45" i="9" s="1"/>
  <c r="D92" i="9"/>
  <c r="D106" i="9"/>
  <c r="D94" i="9"/>
  <c r="D107" i="9"/>
  <c r="D89" i="9"/>
  <c r="D90" i="9"/>
  <c r="D87" i="9"/>
  <c r="D124" i="9" s="1"/>
  <c r="D102" i="9"/>
  <c r="D86" i="9"/>
  <c r="D103" i="9"/>
  <c r="G126" i="9"/>
  <c r="E121" i="9"/>
  <c r="I122" i="9"/>
  <c r="K121" i="9"/>
  <c r="K116" i="9"/>
  <c r="J118" i="9"/>
  <c r="E117" i="9"/>
  <c r="H120" i="9"/>
  <c r="K122" i="9"/>
  <c r="H121" i="9"/>
  <c r="J122" i="9"/>
  <c r="E120" i="9"/>
  <c r="F120" i="9"/>
  <c r="I116" i="9"/>
  <c r="H118" i="9"/>
  <c r="J116" i="9"/>
  <c r="F121" i="9"/>
  <c r="H117" i="9"/>
  <c r="E118" i="9"/>
  <c r="K118" i="9"/>
  <c r="K117" i="9"/>
  <c r="E122" i="9"/>
  <c r="J120" i="9"/>
  <c r="J117" i="9"/>
  <c r="D116" i="9"/>
  <c r="F116" i="9"/>
  <c r="F117" i="9"/>
  <c r="F122" i="9"/>
  <c r="I120" i="9"/>
  <c r="E116" i="9"/>
  <c r="F118" i="9"/>
  <c r="I117" i="9"/>
  <c r="I121" i="9"/>
  <c r="K120" i="9"/>
  <c r="H122" i="9"/>
  <c r="H116" i="9"/>
  <c r="J121" i="9"/>
  <c r="L78" i="9"/>
  <c r="L82" i="9"/>
  <c r="L91" i="9"/>
  <c r="L94" i="9"/>
  <c r="L107" i="9"/>
  <c r="L103" i="9"/>
  <c r="L86" i="9"/>
  <c r="L90" i="9"/>
  <c r="L83" i="9"/>
  <c r="L84" i="9"/>
  <c r="L123" i="9" s="1"/>
  <c r="L106" i="9"/>
  <c r="L92" i="9"/>
  <c r="L109" i="9"/>
  <c r="Q53" i="9"/>
  <c r="S53" i="9" s="1"/>
  <c r="L89" i="9"/>
  <c r="L98" i="9"/>
  <c r="L87" i="9"/>
  <c r="L124" i="9" s="1"/>
  <c r="L96" i="9"/>
  <c r="L93" i="9"/>
  <c r="L88" i="9"/>
  <c r="L85" i="9"/>
  <c r="L95" i="9"/>
  <c r="L108" i="9"/>
  <c r="L104" i="9"/>
  <c r="L97" i="9"/>
  <c r="L101" i="9"/>
  <c r="L100" i="9"/>
  <c r="L105" i="9"/>
  <c r="L111" i="9"/>
  <c r="L125" i="9" s="1"/>
  <c r="L102" i="9"/>
  <c r="L99" i="9"/>
  <c r="L119" i="9" s="1"/>
  <c r="AX4" i="10"/>
  <c r="AX5" i="10"/>
  <c r="J19" i="4"/>
  <c r="AX13" i="10"/>
  <c r="AX3" i="10"/>
  <c r="AX7" i="10"/>
  <c r="AX6" i="10"/>
  <c r="AX10" i="10"/>
  <c r="AX8" i="10"/>
  <c r="AX11" i="10"/>
  <c r="AX12" i="10"/>
  <c r="AX2" i="10"/>
  <c r="AX9" i="10"/>
  <c r="E113" i="9"/>
  <c r="BB11" i="10"/>
  <c r="K113" i="9"/>
  <c r="L110" i="9"/>
  <c r="AW12" i="10"/>
  <c r="AW10" i="10"/>
  <c r="AW13" i="10"/>
  <c r="AW2" i="10"/>
  <c r="AW4" i="10"/>
  <c r="AW3" i="10"/>
  <c r="AW6" i="10"/>
  <c r="AW7" i="10"/>
  <c r="AW9" i="10"/>
  <c r="J18" i="4"/>
  <c r="AW5" i="10"/>
  <c r="AW11" i="10"/>
  <c r="AW8" i="10"/>
  <c r="AT9" i="10"/>
  <c r="AT12" i="10"/>
  <c r="AT7" i="10"/>
  <c r="AT5" i="10"/>
  <c r="AT2" i="10"/>
  <c r="AT3" i="10"/>
  <c r="AT8" i="10"/>
  <c r="AT11" i="10"/>
  <c r="AT6" i="10"/>
  <c r="AT13" i="10"/>
  <c r="AT10" i="10"/>
  <c r="AT4" i="10"/>
  <c r="J16" i="4"/>
  <c r="I51" i="8"/>
  <c r="G49" i="8"/>
  <c r="J34" i="8"/>
  <c r="M208" i="8" s="1"/>
  <c r="J42" i="8"/>
  <c r="M212" i="8" s="1"/>
  <c r="J28" i="8"/>
  <c r="M202" i="8" s="1"/>
  <c r="J27" i="8"/>
  <c r="M201" i="8" s="1"/>
  <c r="J33" i="8"/>
  <c r="M207" i="8" s="1"/>
  <c r="J32" i="8"/>
  <c r="M206" i="8" s="1"/>
  <c r="J35" i="8"/>
  <c r="M209" i="8" s="1"/>
  <c r="J29" i="8"/>
  <c r="M203" i="8" s="1"/>
  <c r="J31" i="8"/>
  <c r="M205" i="8" s="1"/>
  <c r="J47" i="8"/>
  <c r="M215" i="8" s="1"/>
  <c r="J30" i="8"/>
  <c r="M204" i="8" s="1"/>
  <c r="J38" i="8"/>
  <c r="M210" i="8" s="1"/>
  <c r="J41" i="8"/>
  <c r="M211" i="8" s="1"/>
  <c r="J43" i="8"/>
  <c r="M213" i="8" s="1"/>
  <c r="J44" i="8"/>
  <c r="M214" i="8" s="1"/>
  <c r="AZ8" i="10"/>
  <c r="AZ3" i="10"/>
  <c r="AZ2" i="10"/>
  <c r="AZ13" i="10"/>
  <c r="AZ5" i="10"/>
  <c r="AZ11" i="10"/>
  <c r="AZ6" i="10"/>
  <c r="AZ9" i="10"/>
  <c r="AZ10" i="10"/>
  <c r="AZ7" i="10"/>
  <c r="J21" i="4"/>
  <c r="AZ12" i="10"/>
  <c r="AZ4" i="10"/>
  <c r="H113" i="9"/>
  <c r="J113" i="9"/>
  <c r="F113" i="9"/>
  <c r="AU13" i="10"/>
  <c r="AU4" i="10"/>
  <c r="AU3" i="10"/>
  <c r="J17" i="4"/>
  <c r="AU12" i="10"/>
  <c r="AU5" i="10"/>
  <c r="AU9" i="10"/>
  <c r="AU8" i="10"/>
  <c r="AU6" i="10"/>
  <c r="AU7" i="10"/>
  <c r="AU2" i="10"/>
  <c r="AU11" i="10"/>
  <c r="AU10" i="10"/>
  <c r="AY4" i="10"/>
  <c r="AY5" i="10"/>
  <c r="AY11" i="10"/>
  <c r="AY9" i="10"/>
  <c r="AY13" i="10"/>
  <c r="AY2" i="10"/>
  <c r="AY7" i="10"/>
  <c r="AY6" i="10"/>
  <c r="AY10" i="10"/>
  <c r="J20" i="4"/>
  <c r="AY12" i="10"/>
  <c r="AY8" i="10"/>
  <c r="AY3" i="10"/>
  <c r="AS4" i="10"/>
  <c r="AS6" i="10"/>
  <c r="AS8" i="10"/>
  <c r="AS3" i="10"/>
  <c r="AS2" i="10"/>
  <c r="AS10" i="10"/>
  <c r="AS12" i="10"/>
  <c r="AS7" i="10"/>
  <c r="AS11" i="10"/>
  <c r="J15" i="4"/>
  <c r="AS13" i="10"/>
  <c r="AS5" i="10"/>
  <c r="AS9" i="10"/>
  <c r="M122" i="9" l="1"/>
  <c r="I113" i="9"/>
  <c r="BB12" i="10"/>
  <c r="M116" i="9"/>
  <c r="M121" i="9"/>
  <c r="J23" i="4"/>
  <c r="BB4" i="10"/>
  <c r="BB6" i="10"/>
  <c r="BB7" i="10"/>
  <c r="BB3" i="10"/>
  <c r="BB13" i="10"/>
  <c r="BB9" i="10"/>
  <c r="BB2" i="10"/>
  <c r="BB8" i="10"/>
  <c r="M118" i="9"/>
  <c r="BB10" i="10"/>
  <c r="G118" i="9"/>
  <c r="AV10" i="10"/>
  <c r="AV8" i="10"/>
  <c r="AV12" i="10"/>
  <c r="AV9" i="10"/>
  <c r="AV2" i="10"/>
  <c r="AV7" i="10"/>
  <c r="AV6" i="10"/>
  <c r="AV4" i="10"/>
  <c r="J10" i="4"/>
  <c r="G116" i="9"/>
  <c r="AV3" i="10"/>
  <c r="AV5" i="10"/>
  <c r="G121" i="9"/>
  <c r="AV11" i="10"/>
  <c r="G120" i="9"/>
  <c r="M117" i="9"/>
  <c r="G113" i="9"/>
  <c r="G117" i="9"/>
  <c r="M120" i="9"/>
  <c r="G122" i="9"/>
  <c r="M113" i="9"/>
  <c r="D122" i="9"/>
  <c r="D118" i="9"/>
  <c r="D120" i="9"/>
  <c r="D121" i="9"/>
  <c r="D113" i="9"/>
  <c r="D117" i="9"/>
  <c r="F127" i="9"/>
  <c r="H127" i="9"/>
  <c r="I127" i="9"/>
  <c r="K127" i="9"/>
  <c r="E127" i="9"/>
  <c r="J127" i="9"/>
  <c r="L121" i="9"/>
  <c r="L118" i="9"/>
  <c r="L120" i="9"/>
  <c r="L122" i="9"/>
  <c r="L117" i="9"/>
  <c r="L116" i="9"/>
  <c r="M216" i="8"/>
  <c r="W201" i="8"/>
  <c r="W202" i="8" s="1"/>
  <c r="J92" i="8"/>
  <c r="J93" i="8"/>
  <c r="I53" i="8"/>
  <c r="K51" i="8"/>
  <c r="L113" i="9"/>
  <c r="BA6" i="10"/>
  <c r="BA3" i="10"/>
  <c r="BA7" i="10"/>
  <c r="BA8" i="10"/>
  <c r="BA11" i="10"/>
  <c r="BA4" i="10"/>
  <c r="BA9" i="10"/>
  <c r="BA2" i="10"/>
  <c r="BA12" i="10"/>
  <c r="J22" i="4"/>
  <c r="BA10" i="10"/>
  <c r="BA13" i="10"/>
  <c r="BA5" i="10"/>
  <c r="M127" i="9" l="1"/>
  <c r="G127" i="9"/>
  <c r="D127" i="9"/>
  <c r="L127" i="9"/>
  <c r="AB134" i="8"/>
  <c r="Y134" i="8"/>
  <c r="AE134" i="8"/>
  <c r="M134" i="8"/>
  <c r="W134" i="8"/>
  <c r="Q134" i="8"/>
  <c r="AC134" i="8"/>
  <c r="K134" i="8"/>
  <c r="S134" i="8"/>
  <c r="R134" i="8"/>
  <c r="U134" i="8"/>
  <c r="AG134" i="8"/>
  <c r="I134" i="8"/>
  <c r="N134" i="8"/>
  <c r="T134" i="8"/>
  <c r="L134" i="8"/>
  <c r="AH134" i="8"/>
  <c r="AI134" i="8"/>
  <c r="J98" i="8"/>
  <c r="AA134" i="8"/>
  <c r="AJ134" i="8"/>
  <c r="AF134" i="8"/>
  <c r="V134" i="8"/>
  <c r="X134" i="8"/>
  <c r="Z134" i="8"/>
  <c r="AK134" i="8"/>
  <c r="AD134" i="8"/>
  <c r="P134" i="8"/>
  <c r="AL134" i="8"/>
  <c r="O134" i="8"/>
  <c r="I105" i="8"/>
  <c r="H29" i="8"/>
  <c r="H30" i="8"/>
  <c r="H34" i="8"/>
  <c r="H42" i="8"/>
  <c r="H38" i="8"/>
  <c r="H28" i="8"/>
  <c r="H35" i="8"/>
  <c r="H27" i="8"/>
  <c r="H33" i="8"/>
  <c r="H31" i="8"/>
  <c r="H32" i="8"/>
  <c r="H44" i="8"/>
  <c r="H41" i="8"/>
  <c r="H43" i="8"/>
  <c r="I144" i="8" l="1"/>
  <c r="I146" i="8" s="1"/>
  <c r="O144" i="8"/>
  <c r="K170" i="8"/>
  <c r="K173" i="8" s="1"/>
  <c r="K174" i="8" s="1"/>
  <c r="K165" i="8"/>
  <c r="O156" i="8"/>
  <c r="K189" i="8" s="1"/>
  <c r="AK144" i="8"/>
  <c r="AG170" i="8"/>
  <c r="AG173" i="8" s="1"/>
  <c r="AG174" i="8" s="1"/>
  <c r="AG165" i="8"/>
  <c r="AK156" i="8"/>
  <c r="AG189" i="8" s="1"/>
  <c r="AF144" i="8"/>
  <c r="AF156" i="8"/>
  <c r="AB189" i="8" s="1"/>
  <c r="AB165" i="8"/>
  <c r="AB170" i="8"/>
  <c r="AB173" i="8" s="1"/>
  <c r="AB174" i="8" s="1"/>
  <c r="AI144" i="8"/>
  <c r="AE170" i="8"/>
  <c r="AE173" i="8" s="1"/>
  <c r="AE174" i="8" s="1"/>
  <c r="AI156" i="8"/>
  <c r="AE189" i="8" s="1"/>
  <c r="AE165" i="8"/>
  <c r="N144" i="8"/>
  <c r="N156" i="8"/>
  <c r="J189" i="8" s="1"/>
  <c r="J165" i="8"/>
  <c r="J170" i="8"/>
  <c r="J173" i="8" s="1"/>
  <c r="J174" i="8" s="1"/>
  <c r="R144" i="8"/>
  <c r="N170" i="8"/>
  <c r="N173" i="8" s="1"/>
  <c r="N174" i="8" s="1"/>
  <c r="R156" i="8"/>
  <c r="N189" i="8" s="1"/>
  <c r="N165" i="8"/>
  <c r="Q144" i="8"/>
  <c r="M165" i="8"/>
  <c r="M170" i="8"/>
  <c r="M173" i="8" s="1"/>
  <c r="M174" i="8" s="1"/>
  <c r="Q156" i="8"/>
  <c r="M189" i="8" s="1"/>
  <c r="U165" i="8"/>
  <c r="U170" i="8"/>
  <c r="U173" i="8" s="1"/>
  <c r="U174" i="8" s="1"/>
  <c r="Y144" i="8"/>
  <c r="Y156" i="8"/>
  <c r="U189" i="8" s="1"/>
  <c r="AL144" i="8"/>
  <c r="AL156" i="8"/>
  <c r="AH189" i="8" s="1"/>
  <c r="AH165" i="8"/>
  <c r="AH170" i="8"/>
  <c r="AH173" i="8" s="1"/>
  <c r="AH174" i="8" s="1"/>
  <c r="Z144" i="8"/>
  <c r="V165" i="8"/>
  <c r="V170" i="8"/>
  <c r="V173" i="8" s="1"/>
  <c r="V174" i="8" s="1"/>
  <c r="Z156" i="8"/>
  <c r="V189" i="8" s="1"/>
  <c r="AJ144" i="8"/>
  <c r="AF165" i="8"/>
  <c r="AF170" i="8"/>
  <c r="AF173" i="8" s="1"/>
  <c r="AF174" i="8" s="1"/>
  <c r="AJ156" i="8"/>
  <c r="AF189" i="8" s="1"/>
  <c r="AH144" i="8"/>
  <c r="AD170" i="8"/>
  <c r="AD173" i="8" s="1"/>
  <c r="AD174" i="8" s="1"/>
  <c r="AH156" i="8"/>
  <c r="AD189" i="8" s="1"/>
  <c r="AD165" i="8"/>
  <c r="E170" i="8"/>
  <c r="E173" i="8" s="1"/>
  <c r="E174" i="8" s="1"/>
  <c r="I156" i="8"/>
  <c r="E165" i="8"/>
  <c r="S144" i="8"/>
  <c r="S156" i="8"/>
  <c r="O189" i="8" s="1"/>
  <c r="O170" i="8"/>
  <c r="O173" i="8" s="1"/>
  <c r="O174" i="8" s="1"/>
  <c r="O165" i="8"/>
  <c r="W144" i="8"/>
  <c r="S165" i="8"/>
  <c r="S170" i="8"/>
  <c r="S173" i="8" s="1"/>
  <c r="S174" i="8" s="1"/>
  <c r="W156" i="8"/>
  <c r="S189" i="8" s="1"/>
  <c r="AB144" i="8"/>
  <c r="X165" i="8"/>
  <c r="X170" i="8"/>
  <c r="X173" i="8" s="1"/>
  <c r="X174" i="8" s="1"/>
  <c r="AB156" i="8"/>
  <c r="X189" i="8" s="1"/>
  <c r="P144" i="8"/>
  <c r="P156" i="8"/>
  <c r="L189" i="8" s="1"/>
  <c r="L165" i="8"/>
  <c r="L170" i="8"/>
  <c r="L173" i="8" s="1"/>
  <c r="L174" i="8" s="1"/>
  <c r="X144" i="8"/>
  <c r="X156" i="8"/>
  <c r="T189" i="8" s="1"/>
  <c r="T170" i="8"/>
  <c r="T173" i="8" s="1"/>
  <c r="T174" i="8" s="1"/>
  <c r="T165" i="8"/>
  <c r="AA144" i="8"/>
  <c r="W165" i="8"/>
  <c r="W170" i="8"/>
  <c r="W173" i="8" s="1"/>
  <c r="W174" i="8" s="1"/>
  <c r="AA156" i="8"/>
  <c r="W189" i="8" s="1"/>
  <c r="L144" i="8"/>
  <c r="L156" i="8"/>
  <c r="H189" i="8" s="1"/>
  <c r="H165" i="8"/>
  <c r="H170" i="8"/>
  <c r="H173" i="8" s="1"/>
  <c r="H174" i="8" s="1"/>
  <c r="AG144" i="8"/>
  <c r="AG156" i="8"/>
  <c r="AC189" i="8" s="1"/>
  <c r="AC170" i="8"/>
  <c r="AC173" i="8" s="1"/>
  <c r="AC174" i="8" s="1"/>
  <c r="AC165" i="8"/>
  <c r="K144" i="8"/>
  <c r="G170" i="8"/>
  <c r="G173" i="8" s="1"/>
  <c r="G174" i="8" s="1"/>
  <c r="K156" i="8"/>
  <c r="G189" i="8" s="1"/>
  <c r="G165" i="8"/>
  <c r="M144" i="8"/>
  <c r="M156" i="8"/>
  <c r="I189" i="8" s="1"/>
  <c r="I170" i="8"/>
  <c r="I173" i="8" s="1"/>
  <c r="I174" i="8" s="1"/>
  <c r="I165" i="8"/>
  <c r="J156" i="8"/>
  <c r="F189" i="8" s="1"/>
  <c r="J144" i="8"/>
  <c r="F165" i="8"/>
  <c r="F170" i="8"/>
  <c r="F173" i="8" s="1"/>
  <c r="F174" i="8" s="1"/>
  <c r="AD144" i="8"/>
  <c r="Z170" i="8"/>
  <c r="Z173" i="8" s="1"/>
  <c r="Z174" i="8" s="1"/>
  <c r="Z165" i="8"/>
  <c r="AD156" i="8"/>
  <c r="Z189" i="8" s="1"/>
  <c r="V144" i="8"/>
  <c r="R165" i="8"/>
  <c r="R170" i="8"/>
  <c r="R173" i="8" s="1"/>
  <c r="R174" i="8" s="1"/>
  <c r="V156" i="8"/>
  <c r="R189" i="8" s="1"/>
  <c r="T144" i="8"/>
  <c r="P170" i="8"/>
  <c r="P173" i="8" s="1"/>
  <c r="P174" i="8" s="1"/>
  <c r="T156" i="8"/>
  <c r="P189" i="8" s="1"/>
  <c r="P165" i="8"/>
  <c r="U144" i="8"/>
  <c r="Q170" i="8"/>
  <c r="Q173" i="8" s="1"/>
  <c r="Q174" i="8" s="1"/>
  <c r="U156" i="8"/>
  <c r="Q189" i="8" s="1"/>
  <c r="Q165" i="8"/>
  <c r="AC144" i="8"/>
  <c r="AC156" i="8"/>
  <c r="Y189" i="8" s="1"/>
  <c r="Y170" i="8"/>
  <c r="Y173" i="8" s="1"/>
  <c r="Y174" i="8" s="1"/>
  <c r="Y165" i="8"/>
  <c r="AE156" i="8"/>
  <c r="AA189" i="8" s="1"/>
  <c r="AE144" i="8"/>
  <c r="AA165" i="8"/>
  <c r="AA170" i="8"/>
  <c r="AA173" i="8" s="1"/>
  <c r="AA174" i="8" s="1"/>
  <c r="J145" i="8" l="1"/>
  <c r="J146" i="8" s="1"/>
  <c r="I147" i="8"/>
  <c r="E189" i="8"/>
  <c r="E156" i="8"/>
  <c r="B175" i="8"/>
  <c r="B180" i="8" s="1"/>
  <c r="I154" i="8" l="1"/>
  <c r="I149" i="8"/>
  <c r="I151" i="8" s="1"/>
  <c r="S201" i="8"/>
  <c r="Q195" i="8"/>
  <c r="J147" i="8"/>
  <c r="K145" i="8"/>
  <c r="K146" i="8" s="1"/>
  <c r="J154" i="8" l="1"/>
  <c r="F190" i="8" s="1"/>
  <c r="J149" i="8"/>
  <c r="J151" i="8" s="1"/>
  <c r="K147" i="8"/>
  <c r="L145" i="8"/>
  <c r="L146" i="8" s="1"/>
  <c r="E191" i="8"/>
  <c r="E190" i="8"/>
  <c r="K154" i="8" l="1"/>
  <c r="K149" i="8"/>
  <c r="K151" i="8" s="1"/>
  <c r="L147" i="8"/>
  <c r="M145" i="8"/>
  <c r="M146" i="8" s="1"/>
  <c r="F191" i="8"/>
  <c r="M147" i="8" l="1"/>
  <c r="N145" i="8"/>
  <c r="N146" i="8" s="1"/>
  <c r="L154" i="8"/>
  <c r="H190" i="8" s="1"/>
  <c r="L149" i="8"/>
  <c r="L151" i="8" s="1"/>
  <c r="G191" i="8"/>
  <c r="G190" i="8"/>
  <c r="H191" i="8" l="1"/>
  <c r="N147" i="8"/>
  <c r="O145" i="8"/>
  <c r="O146" i="8" s="1"/>
  <c r="M154" i="8"/>
  <c r="M149" i="8"/>
  <c r="M151" i="8" s="1"/>
  <c r="I191" i="8" l="1"/>
  <c r="I190" i="8"/>
  <c r="O147" i="8"/>
  <c r="P145" i="8"/>
  <c r="P146" i="8" s="1"/>
  <c r="N154" i="8"/>
  <c r="J190" i="8" s="1"/>
  <c r="N149" i="8"/>
  <c r="N151" i="8" s="1"/>
  <c r="J191" i="8" l="1"/>
  <c r="O154" i="8"/>
  <c r="O149" i="8"/>
  <c r="O151" i="8" s="1"/>
  <c r="P147" i="8"/>
  <c r="Q145" i="8"/>
  <c r="Q146" i="8" s="1"/>
  <c r="K191" i="8" l="1"/>
  <c r="Q147" i="8"/>
  <c r="R145" i="8"/>
  <c r="R146" i="8" s="1"/>
  <c r="P154" i="8"/>
  <c r="L190" i="8" s="1"/>
  <c r="P149" i="8"/>
  <c r="P151" i="8" s="1"/>
  <c r="K190" i="8"/>
  <c r="L191" i="8" l="1"/>
  <c r="R147" i="8"/>
  <c r="S145" i="8"/>
  <c r="S146" i="8" s="1"/>
  <c r="Q154" i="8"/>
  <c r="M190" i="8" s="1"/>
  <c r="Q149" i="8"/>
  <c r="Q151" i="8" s="1"/>
  <c r="M191" i="8" l="1"/>
  <c r="S147" i="8"/>
  <c r="T145" i="8"/>
  <c r="T146" i="8" s="1"/>
  <c r="R154" i="8"/>
  <c r="N190" i="8" s="1"/>
  <c r="R149" i="8"/>
  <c r="R151" i="8" s="1"/>
  <c r="N191" i="8" l="1"/>
  <c r="U145" i="8"/>
  <c r="U146" i="8" s="1"/>
  <c r="T147" i="8"/>
  <c r="S154" i="8"/>
  <c r="O190" i="8" s="1"/>
  <c r="S149" i="8"/>
  <c r="S151" i="8" s="1"/>
  <c r="O191" i="8" l="1"/>
  <c r="V145" i="8"/>
  <c r="V146" i="8" s="1"/>
  <c r="U147" i="8"/>
  <c r="T154" i="8"/>
  <c r="P190" i="8" s="1"/>
  <c r="T149" i="8"/>
  <c r="T151" i="8" s="1"/>
  <c r="P191" i="8" l="1"/>
  <c r="U154" i="8"/>
  <c r="Q190" i="8" s="1"/>
  <c r="U149" i="8"/>
  <c r="U151" i="8" s="1"/>
  <c r="V147" i="8"/>
  <c r="W145" i="8"/>
  <c r="W146" i="8" s="1"/>
  <c r="Q191" i="8" l="1"/>
  <c r="V154" i="8"/>
  <c r="R190" i="8" s="1"/>
  <c r="V149" i="8"/>
  <c r="V151" i="8" s="1"/>
  <c r="W147" i="8"/>
  <c r="X145" i="8"/>
  <c r="X146" i="8" s="1"/>
  <c r="R191" i="8" l="1"/>
  <c r="W154" i="8"/>
  <c r="S190" i="8" s="1"/>
  <c r="W149" i="8"/>
  <c r="W151" i="8" s="1"/>
  <c r="Y145" i="8"/>
  <c r="Y146" i="8" s="1"/>
  <c r="X147" i="8"/>
  <c r="S191" i="8" l="1"/>
  <c r="Z145" i="8"/>
  <c r="Z146" i="8" s="1"/>
  <c r="Y147" i="8"/>
  <c r="X154" i="8"/>
  <c r="T190" i="8" s="1"/>
  <c r="X149" i="8"/>
  <c r="X151" i="8" s="1"/>
  <c r="T191" i="8" l="1"/>
  <c r="Y154" i="8"/>
  <c r="U190" i="8" s="1"/>
  <c r="Y149" i="8"/>
  <c r="Y151" i="8" s="1"/>
  <c r="Z147" i="8"/>
  <c r="AA145" i="8"/>
  <c r="AA146" i="8" s="1"/>
  <c r="U191" i="8" l="1"/>
  <c r="Z154" i="8"/>
  <c r="V190" i="8" s="1"/>
  <c r="Z149" i="8"/>
  <c r="Z151" i="8" s="1"/>
  <c r="AA147" i="8"/>
  <c r="AB145" i="8"/>
  <c r="AB146" i="8" s="1"/>
  <c r="V191" i="8" l="1"/>
  <c r="AA154" i="8"/>
  <c r="W190" i="8" s="1"/>
  <c r="AA149" i="8"/>
  <c r="AA151" i="8" s="1"/>
  <c r="AC145" i="8"/>
  <c r="AC146" i="8" s="1"/>
  <c r="AB147" i="8"/>
  <c r="W191" i="8" l="1"/>
  <c r="AD145" i="8"/>
  <c r="AD146" i="8" s="1"/>
  <c r="AC147" i="8"/>
  <c r="AB154" i="8"/>
  <c r="X190" i="8" s="1"/>
  <c r="AB149" i="8"/>
  <c r="AB151" i="8" s="1"/>
  <c r="X191" i="8" l="1"/>
  <c r="AC154" i="8"/>
  <c r="Y190" i="8" s="1"/>
  <c r="AC149" i="8"/>
  <c r="AC151" i="8" s="1"/>
  <c r="AD147" i="8"/>
  <c r="AE145" i="8"/>
  <c r="AE146" i="8" s="1"/>
  <c r="Y191" i="8" l="1"/>
  <c r="AD154" i="8"/>
  <c r="Z190" i="8" s="1"/>
  <c r="AD149" i="8"/>
  <c r="AD151" i="8" s="1"/>
  <c r="AE147" i="8"/>
  <c r="AF145" i="8"/>
  <c r="AF146" i="8" s="1"/>
  <c r="Z191" i="8" l="1"/>
  <c r="AE154" i="8"/>
  <c r="AA190" i="8" s="1"/>
  <c r="AE149" i="8"/>
  <c r="AE151" i="8" s="1"/>
  <c r="AG145" i="8"/>
  <c r="AG146" i="8" s="1"/>
  <c r="AF147" i="8"/>
  <c r="AA191" i="8" l="1"/>
  <c r="AH145" i="8"/>
  <c r="AH146" i="8" s="1"/>
  <c r="AG147" i="8"/>
  <c r="AF154" i="8"/>
  <c r="AB190" i="8" s="1"/>
  <c r="AF149" i="8"/>
  <c r="AF151" i="8" s="1"/>
  <c r="AB191" i="8" l="1"/>
  <c r="AG154" i="8"/>
  <c r="AC190" i="8" s="1"/>
  <c r="AG149" i="8"/>
  <c r="AG151" i="8" s="1"/>
  <c r="AI145" i="8"/>
  <c r="AI146" i="8" s="1"/>
  <c r="AH147" i="8"/>
  <c r="AC191" i="8" l="1"/>
  <c r="AJ145" i="8"/>
  <c r="AJ146" i="8" s="1"/>
  <c r="AI147" i="8"/>
  <c r="AH154" i="8"/>
  <c r="AD190" i="8" s="1"/>
  <c r="AH149" i="8"/>
  <c r="AH151" i="8" s="1"/>
  <c r="AD191" i="8" l="1"/>
  <c r="AI154" i="8"/>
  <c r="AE190" i="8" s="1"/>
  <c r="AI149" i="8"/>
  <c r="AI151" i="8" s="1"/>
  <c r="AJ147" i="8"/>
  <c r="AK145" i="8"/>
  <c r="AK146" i="8" s="1"/>
  <c r="AE191" i="8" l="1"/>
  <c r="AJ154" i="8"/>
  <c r="AF190" i="8" s="1"/>
  <c r="AJ149" i="8"/>
  <c r="AJ151" i="8" s="1"/>
  <c r="AK147" i="8"/>
  <c r="AL145" i="8"/>
  <c r="AL146" i="8" s="1"/>
  <c r="AL147" i="8" s="1"/>
  <c r="AF191" i="8" l="1"/>
  <c r="AK154" i="8"/>
  <c r="AG190" i="8" s="1"/>
  <c r="AK149" i="8"/>
  <c r="AK151" i="8" s="1"/>
  <c r="AL154" i="8"/>
  <c r="AL149" i="8"/>
  <c r="AL151" i="8" s="1"/>
  <c r="E151" i="8" s="1"/>
  <c r="H116" i="8" s="1"/>
  <c r="AG191" i="8" l="1"/>
  <c r="AH191" i="8" s="1"/>
  <c r="AH190" i="8"/>
  <c r="E154" i="8"/>
  <c r="S200" i="8" s="1"/>
  <c r="S204" i="8" l="1"/>
  <c r="T199" i="8" l="1"/>
  <c r="T206" i="8" s="1"/>
  <c r="T202" i="8"/>
  <c r="T208" i="8" s="1"/>
  <c r="S208" i="8" s="1"/>
  <c r="T203" i="8"/>
  <c r="T209" i="8" s="1"/>
  <c r="S209" i="8" s="1"/>
  <c r="T201" i="8"/>
  <c r="T200" i="8"/>
  <c r="T207" i="8" s="1"/>
  <c r="S207" i="8" s="1"/>
  <c r="T217" i="8" l="1"/>
  <c r="S217" i="8" s="1"/>
  <c r="T224" i="8"/>
  <c r="S224" i="8" s="1"/>
  <c r="Q212" i="8" s="1"/>
  <c r="T216" i="8"/>
  <c r="S216" i="8" s="1"/>
  <c r="T221" i="8"/>
  <c r="S221" i="8" s="1"/>
  <c r="T220" i="8"/>
  <c r="S220" i="8" s="1"/>
  <c r="T218" i="8"/>
  <c r="S218" i="8" s="1"/>
  <c r="T215" i="8"/>
  <c r="S215" i="8" s="1"/>
  <c r="T222" i="8"/>
  <c r="S222" i="8" s="1"/>
  <c r="T212" i="8"/>
  <c r="S212" i="8" s="1"/>
  <c r="T214" i="8"/>
  <c r="S214" i="8" s="1"/>
  <c r="T211" i="8"/>
  <c r="S211" i="8" s="1"/>
  <c r="T223" i="8"/>
  <c r="S223" i="8" s="1"/>
  <c r="Q206" i="8" s="1"/>
  <c r="T213" i="8"/>
  <c r="S213" i="8" s="1"/>
  <c r="T210" i="8"/>
  <c r="S210" i="8" s="1"/>
  <c r="T219" i="8"/>
  <c r="S219" i="8" s="1"/>
  <c r="S206" i="8"/>
  <c r="Q208" i="8" l="1"/>
  <c r="Q207" i="8"/>
  <c r="T225" i="8"/>
  <c r="S225" i="8" s="1"/>
  <c r="Q209" i="8" s="1"/>
  <c r="Q211" i="8"/>
  <c r="Q210" i="8"/>
  <c r="Q213" i="8" l="1"/>
  <c r="S226" i="8"/>
</calcChain>
</file>

<file path=xl/comments1.xml><?xml version="1.0" encoding="utf-8"?>
<comments xmlns="http://schemas.openxmlformats.org/spreadsheetml/2006/main">
  <authors>
    <author>Jacks074</author>
  </authors>
  <commentList>
    <comment ref="F7" authorId="0" shapeId="0">
      <text>
        <r>
          <rPr>
            <b/>
            <sz val="9"/>
            <color indexed="81"/>
            <rFont val="Tahoma"/>
            <family val="2"/>
          </rPr>
          <t>Jacks074:</t>
        </r>
        <r>
          <rPr>
            <sz val="9"/>
            <color indexed="81"/>
            <rFont val="Tahoma"/>
            <family val="2"/>
          </rPr>
          <t xml:space="preserve">
This will likely be replaced as yield will come from DayCent data</t>
        </r>
      </text>
    </comment>
    <comment ref="J11" authorId="0" shapeId="0">
      <text>
        <r>
          <rPr>
            <b/>
            <sz val="9"/>
            <color indexed="81"/>
            <rFont val="Tahoma"/>
            <family val="2"/>
          </rPr>
          <t>Jacks074:</t>
        </r>
        <r>
          <rPr>
            <sz val="9"/>
            <color indexed="81"/>
            <rFont val="Tahoma"/>
            <family val="2"/>
          </rPr>
          <t xml:space="preserve">
Less sure what to report here; clearly the vast majority of this is for corn plant growth - which corresponds to simple rainwater for this geographical location</t>
        </r>
      </text>
    </comment>
    <comment ref="F13" authorId="0" shapeId="0">
      <text>
        <r>
          <rPr>
            <b/>
            <sz val="9"/>
            <color indexed="81"/>
            <rFont val="Tahoma"/>
            <family val="2"/>
          </rPr>
          <t>Jacks074:</t>
        </r>
        <r>
          <rPr>
            <sz val="9"/>
            <color indexed="81"/>
            <rFont val="Tahoma"/>
            <family val="2"/>
          </rPr>
          <t xml:space="preserve">
as we select a different crop, could be more important to describe what input parameters change</t>
        </r>
      </text>
    </comment>
    <comment ref="E19" authorId="0" shapeId="0">
      <text>
        <r>
          <rPr>
            <b/>
            <sz val="9"/>
            <color indexed="81"/>
            <rFont val="Tahoma"/>
            <family val="2"/>
          </rPr>
          <t>Jacks074:</t>
        </r>
        <r>
          <rPr>
            <sz val="9"/>
            <color indexed="81"/>
            <rFont val="Tahoma"/>
            <family val="2"/>
          </rPr>
          <t xml:space="preserve">
Likely will be switching between /MJ and /gge for literature and DOE respectively</t>
        </r>
      </text>
    </comment>
  </commentList>
</comments>
</file>

<file path=xl/comments2.xml><?xml version="1.0" encoding="utf-8"?>
<comments xmlns="http://schemas.openxmlformats.org/spreadsheetml/2006/main">
  <authors>
    <author>Jacks074</author>
    <author>Jack Smith</author>
  </authors>
  <commentList>
    <comment ref="R3" authorId="0" shapeId="0">
      <text>
        <r>
          <rPr>
            <b/>
            <sz val="9"/>
            <color indexed="81"/>
            <rFont val="Tahoma"/>
            <family val="2"/>
          </rPr>
          <t>Jacks074:</t>
        </r>
        <r>
          <rPr>
            <sz val="9"/>
            <color indexed="81"/>
            <rFont val="Tahoma"/>
            <family val="2"/>
          </rPr>
          <t xml:space="preserve">
Dependant on User Defined inputs of Nutrient Uptake from soil (N,P,K,S) and applied Fertilizer Amounts</t>
        </r>
      </text>
    </comment>
    <comment ref="A5" authorId="0" shapeId="0">
      <text>
        <r>
          <rPr>
            <b/>
            <sz val="9"/>
            <color indexed="81"/>
            <rFont val="Tahoma"/>
            <family val="2"/>
          </rPr>
          <t>Jacks074:</t>
        </r>
        <r>
          <rPr>
            <sz val="9"/>
            <color indexed="81"/>
            <rFont val="Tahoma"/>
            <family val="2"/>
          </rPr>
          <t xml:space="preserve">
Assuming 1900 seeds/lb
https://hancockseed.com/products/reids-yellow-dent-field-corn-seed#:~:text=90%2D100%20days.-,The%20ears%20of%20corn%20are%20approximately%209%2D10%20inches.,approximately%201900%20seeds%20per%20pound.</t>
        </r>
      </text>
    </comment>
    <comment ref="H5" authorId="0" shapeId="0">
      <text>
        <r>
          <rPr>
            <b/>
            <sz val="9"/>
            <color indexed="81"/>
            <rFont val="Tahoma"/>
            <family val="2"/>
          </rPr>
          <t>Jacks074:</t>
        </r>
        <r>
          <rPr>
            <sz val="9"/>
            <color indexed="81"/>
            <rFont val="Tahoma"/>
            <family val="2"/>
          </rPr>
          <t xml:space="preserve">
Do we convert this via the LHV to the MJ actually "put in"?
</t>
        </r>
      </text>
    </comment>
    <comment ref="B7" authorId="0" shapeId="0">
      <text>
        <r>
          <rPr>
            <b/>
            <sz val="9"/>
            <color indexed="81"/>
            <rFont val="Tahoma"/>
            <family val="2"/>
          </rPr>
          <t>Jacks074:</t>
        </r>
        <r>
          <rPr>
            <sz val="9"/>
            <color indexed="81"/>
            <rFont val="Tahoma"/>
            <family val="2"/>
          </rPr>
          <t xml:space="preserve">
Convert these to the element</t>
        </r>
      </text>
    </comment>
    <comment ref="L15" authorId="0" shapeId="0">
      <text>
        <r>
          <rPr>
            <b/>
            <sz val="9"/>
            <color indexed="81"/>
            <rFont val="Tahoma"/>
            <family val="2"/>
          </rPr>
          <t>Jacks074:</t>
        </r>
        <r>
          <rPr>
            <sz val="9"/>
            <color indexed="81"/>
            <rFont val="Tahoma"/>
            <family val="2"/>
          </rPr>
          <t xml:space="preserve">
per ha - Iowa
Source?</t>
        </r>
      </text>
    </comment>
    <comment ref="L16" authorId="0" shapeId="0">
      <text>
        <r>
          <rPr>
            <b/>
            <sz val="9"/>
            <color indexed="81"/>
            <rFont val="Tahoma"/>
            <family val="2"/>
          </rPr>
          <t>Jacks074:</t>
        </r>
        <r>
          <rPr>
            <sz val="9"/>
            <color indexed="81"/>
            <rFont val="Tahoma"/>
            <family val="2"/>
          </rPr>
          <t xml:space="preserve">
per ha - Iowa
Source?</t>
        </r>
      </text>
    </comment>
    <comment ref="L17" authorId="0" shapeId="0">
      <text>
        <r>
          <rPr>
            <b/>
            <sz val="9"/>
            <color indexed="81"/>
            <rFont val="Tahoma"/>
            <family val="2"/>
          </rPr>
          <t>Jacks074:</t>
        </r>
        <r>
          <rPr>
            <sz val="9"/>
            <color indexed="81"/>
            <rFont val="Tahoma"/>
            <family val="2"/>
          </rPr>
          <t xml:space="preserve">
Describes the amount of water consumed for the fast-carbon cycle to build to plant mass</t>
        </r>
      </text>
    </comment>
    <comment ref="F18" authorId="0" shapeId="0">
      <text>
        <r>
          <rPr>
            <b/>
            <sz val="9"/>
            <color indexed="81"/>
            <rFont val="Tahoma"/>
            <family val="2"/>
          </rPr>
          <t>Jacks074:</t>
        </r>
        <r>
          <rPr>
            <sz val="9"/>
            <color indexed="81"/>
            <rFont val="Tahoma"/>
            <family val="2"/>
          </rPr>
          <t xml:space="preserve">
Not performing an extensive energy balance; will need direction regarding DayCent growth data (i.e. if our PM's will need to have a strong growth model compponent or if we can lookup from DayCent data.)</t>
        </r>
      </text>
    </comment>
    <comment ref="L18" authorId="0" shapeId="0">
      <text>
        <r>
          <rPr>
            <b/>
            <sz val="9"/>
            <color indexed="81"/>
            <rFont val="Tahoma"/>
            <family val="2"/>
          </rPr>
          <t>Jacks074:</t>
        </r>
        <r>
          <rPr>
            <sz val="9"/>
            <color indexed="81"/>
            <rFont val="Tahoma"/>
            <family val="2"/>
          </rPr>
          <t xml:space="preserve">
by chemical mass ratios - assuming 46 percent oxygen content of the plant</t>
        </r>
      </text>
    </comment>
    <comment ref="Q18" authorId="0" shapeId="0">
      <text>
        <r>
          <rPr>
            <b/>
            <sz val="9"/>
            <color indexed="81"/>
            <rFont val="Tahoma"/>
            <family val="2"/>
          </rPr>
          <t>Jacks074:</t>
        </r>
        <r>
          <rPr>
            <sz val="9"/>
            <color indexed="81"/>
            <rFont val="Tahoma"/>
            <family val="2"/>
          </rPr>
          <t xml:space="preserve">
% of stover collected from the field (rest remains to cover the field from wind Erosion)</t>
        </r>
      </text>
    </comment>
    <comment ref="G20" authorId="1" shapeId="0">
      <text>
        <r>
          <rPr>
            <b/>
            <sz val="9"/>
            <color indexed="81"/>
            <rFont val="Tahoma"/>
            <family val="2"/>
          </rPr>
          <t>Jack Smith:</t>
        </r>
        <r>
          <rPr>
            <sz val="9"/>
            <color indexed="81"/>
            <rFont val="Tahoma"/>
            <family val="2"/>
          </rPr>
          <t xml:space="preserve">
This occupies a weird spot in the model.  Humbird integrates the size-reduction step into the cost of the feedstock.  Hence, It does not get covered by the electricity generated from the Boiler (Though it might be simple to do that; verify ratios remain intact) and it occupies its own LCA impact category.  The important thing will be to ensure that the capital cost of the hammer mill facility (or addendum) is counted once and only once in the TEA sheet. 
Currently do not calculate any energy to handle the feedstock within the hammer mill, unless that value is incorporated into the source that is cited.</t>
        </r>
      </text>
    </comment>
    <comment ref="F21" authorId="1" shapeId="0">
      <text>
        <r>
          <rPr>
            <b/>
            <sz val="9"/>
            <color indexed="81"/>
            <rFont val="Tahoma"/>
            <family val="2"/>
          </rPr>
          <t>Jack Smith:</t>
        </r>
        <r>
          <rPr>
            <sz val="9"/>
            <color indexed="81"/>
            <rFont val="Tahoma"/>
            <family val="2"/>
          </rPr>
          <t xml:space="preserve">
Humbird - Figure 15 - all electricity amounts backed out from pie and 41 MW total: 8760 hrs, etc.</t>
        </r>
      </text>
    </comment>
    <comment ref="K23" authorId="1" shapeId="0">
      <text>
        <r>
          <rPr>
            <b/>
            <sz val="9"/>
            <color indexed="81"/>
            <rFont val="Tahoma"/>
            <family val="2"/>
          </rPr>
          <t>Jack Smith:</t>
        </r>
        <r>
          <rPr>
            <sz val="9"/>
            <color indexed="81"/>
            <rFont val="Tahoma"/>
            <family val="2"/>
          </rPr>
          <t xml:space="preserve">
Shouldn't this be elemental?</t>
        </r>
      </text>
    </comment>
    <comment ref="A25" authorId="0" shapeId="0">
      <text>
        <r>
          <rPr>
            <b/>
            <sz val="9"/>
            <color indexed="81"/>
            <rFont val="Tahoma"/>
            <family val="2"/>
          </rPr>
          <t>Jacks074:</t>
        </r>
        <r>
          <rPr>
            <sz val="9"/>
            <color indexed="81"/>
            <rFont val="Tahoma"/>
            <family val="2"/>
          </rPr>
          <t xml:space="preserve">
Backed from Humbird TEA</t>
        </r>
      </text>
    </comment>
    <comment ref="K27" authorId="0" shapeId="0">
      <text>
        <r>
          <rPr>
            <b/>
            <sz val="9"/>
            <color indexed="81"/>
            <rFont val="Tahoma"/>
            <family val="2"/>
          </rPr>
          <t>Jacks074:</t>
        </r>
        <r>
          <rPr>
            <sz val="9"/>
            <color indexed="81"/>
            <rFont val="Tahoma"/>
            <family val="2"/>
          </rPr>
          <t xml:space="preserve">
0.997369777170661 for 200 Bushels per acre (Iowa Avg)
0.997700642 for 175 Bushels per acre (Nat'l Avg)</t>
        </r>
      </text>
    </comment>
  </commentList>
</comments>
</file>

<file path=xl/comments3.xml><?xml version="1.0" encoding="utf-8"?>
<comments xmlns="http://schemas.openxmlformats.org/spreadsheetml/2006/main">
  <authors>
    <author>Jacks074</author>
  </authors>
  <commentList>
    <comment ref="K6" authorId="0" shapeId="0">
      <text>
        <r>
          <rPr>
            <b/>
            <sz val="9"/>
            <color indexed="81"/>
            <rFont val="Tahoma"/>
            <family val="2"/>
          </rPr>
          <t>Jacks074:</t>
        </r>
        <r>
          <rPr>
            <sz val="9"/>
            <color indexed="81"/>
            <rFont val="Tahoma"/>
            <family val="2"/>
          </rPr>
          <t xml:space="preserve">
https://en.wikipedia.org/wiki/Maize#Nutritional_value
https://nutritiondata.self.com/facts/cereal-grains-and-pasta/5687/2</t>
        </r>
      </text>
    </comment>
    <comment ref="N9" authorId="0" shapeId="0">
      <text>
        <r>
          <rPr>
            <b/>
            <sz val="9"/>
            <color indexed="81"/>
            <rFont val="Tahoma"/>
            <family val="2"/>
          </rPr>
          <t xml:space="preserve">Jacks074:
</t>
        </r>
        <r>
          <rPr>
            <sz val="9"/>
            <color indexed="81"/>
            <rFont val="Tahoma"/>
            <family val="2"/>
          </rPr>
          <t>Did I perform this allocation properly? I am ignoring all of the stover that we leave in the field</t>
        </r>
      </text>
    </comment>
    <comment ref="B13" authorId="0" shapeId="0">
      <text>
        <r>
          <rPr>
            <b/>
            <sz val="9"/>
            <color indexed="81"/>
            <rFont val="Tahoma"/>
            <family val="2"/>
          </rPr>
          <t>Jacks074:</t>
        </r>
        <r>
          <rPr>
            <sz val="9"/>
            <color indexed="81"/>
            <rFont val="Tahoma"/>
            <family val="2"/>
          </rPr>
          <t xml:space="preserve">
Going to need to model N2O emissions from the Nitrogen Fertilizer Applied</t>
        </r>
      </text>
    </comment>
  </commentList>
</comments>
</file>

<file path=xl/comments4.xml><?xml version="1.0" encoding="utf-8"?>
<comments xmlns="http://schemas.openxmlformats.org/spreadsheetml/2006/main">
  <authors>
    <author>Jacks074</author>
    <author>Jack Smith</author>
  </authors>
  <commentList>
    <comment ref="I4" authorId="0" shapeId="0">
      <text>
        <r>
          <rPr>
            <b/>
            <sz val="9"/>
            <color indexed="81"/>
            <rFont val="Tahoma"/>
            <family val="2"/>
          </rPr>
          <t xml:space="preserve">Jacks074:
</t>
        </r>
        <r>
          <rPr>
            <sz val="9"/>
            <color indexed="81"/>
            <rFont val="Tahoma"/>
            <family val="2"/>
          </rPr>
          <t>Untreated</t>
        </r>
      </text>
    </comment>
    <comment ref="X5" authorId="0" shapeId="0">
      <text>
        <r>
          <rPr>
            <b/>
            <sz val="9"/>
            <color indexed="81"/>
            <rFont val="Tahoma"/>
            <family val="2"/>
          </rPr>
          <t>Jacks074:</t>
        </r>
        <r>
          <rPr>
            <sz val="9"/>
            <color indexed="81"/>
            <rFont val="Tahoma"/>
            <family val="2"/>
          </rPr>
          <t xml:space="preserve">
Roughly a quarter of the dedicated corn fields currently present in Iowa</t>
        </r>
      </text>
    </comment>
    <comment ref="D9" authorId="0" shapeId="0">
      <text>
        <r>
          <rPr>
            <b/>
            <sz val="9"/>
            <color indexed="81"/>
            <rFont val="Tahoma"/>
            <family val="2"/>
          </rPr>
          <t>Jacks074:</t>
        </r>
        <r>
          <rPr>
            <sz val="9"/>
            <color indexed="81"/>
            <rFont val="Tahoma"/>
            <family val="2"/>
          </rPr>
          <t xml:space="preserve">
While I am adding the Seeds needed here, the labor/Diesel expended for the planting process is included in Block 170</t>
        </r>
      </text>
    </comment>
    <comment ref="O9" authorId="0" shapeId="0">
      <text>
        <r>
          <rPr>
            <b/>
            <sz val="9"/>
            <color indexed="81"/>
            <rFont val="Tahoma"/>
            <family val="2"/>
          </rPr>
          <t>Jacks074:</t>
        </r>
        <r>
          <rPr>
            <sz val="9"/>
            <color indexed="81"/>
            <rFont val="Tahoma"/>
            <family val="2"/>
          </rPr>
          <t xml:space="preserve">
End of Conclusion - might be too optimistic power-wise
A sustainable ethanol distillation system - Yang</t>
        </r>
      </text>
    </comment>
    <comment ref="O10" authorId="0" shapeId="0">
      <text>
        <r>
          <rPr>
            <b/>
            <sz val="9"/>
            <color indexed="81"/>
            <rFont val="Tahoma"/>
            <family val="2"/>
          </rPr>
          <t>Jacks074:</t>
        </r>
        <r>
          <rPr>
            <sz val="9"/>
            <color indexed="81"/>
            <rFont val="Tahoma"/>
            <family val="2"/>
          </rPr>
          <t xml:space="preserve">
Introduction and Conclusion
Energy, Carbon Dioxide and Water Use Implications of Hydrous Ethanol Production - Saffy</t>
        </r>
      </text>
    </comment>
    <comment ref="H11" authorId="0" shapeId="0">
      <text>
        <r>
          <rPr>
            <b/>
            <sz val="9"/>
            <color indexed="81"/>
            <rFont val="Tahoma"/>
            <family val="2"/>
          </rPr>
          <t>Jacks074:</t>
        </r>
        <r>
          <rPr>
            <sz val="9"/>
            <color indexed="81"/>
            <rFont val="Tahoma"/>
            <family val="2"/>
          </rPr>
          <t xml:space="preserve">
Engineering Estimate, meant to cover lost material b/n harvest and insertion to mill (mill inlet screen, for example, could be responsible for some of this)</t>
        </r>
      </text>
    </comment>
    <comment ref="O13" authorId="0" shapeId="0">
      <text>
        <r>
          <rPr>
            <b/>
            <sz val="9"/>
            <color indexed="81"/>
            <rFont val="Tahoma"/>
            <family val="2"/>
          </rPr>
          <t>Jacks074:</t>
        </r>
        <r>
          <rPr>
            <sz val="9"/>
            <color indexed="81"/>
            <rFont val="Tahoma"/>
            <family val="2"/>
          </rPr>
          <t xml:space="preserve">
18% Lignin by dry mass percentage</t>
        </r>
      </text>
    </comment>
    <comment ref="R13" authorId="0" shapeId="0">
      <text>
        <r>
          <rPr>
            <b/>
            <sz val="9"/>
            <color indexed="81"/>
            <rFont val="Tahoma"/>
            <family val="2"/>
          </rPr>
          <t>Jacks074:</t>
        </r>
        <r>
          <rPr>
            <sz val="9"/>
            <color indexed="81"/>
            <rFont val="Tahoma"/>
            <family val="2"/>
          </rPr>
          <t xml:space="preserve">
They used about 2/3rds the Glucose you did - though there is pretty heavy variance between each model...</t>
        </r>
      </text>
    </comment>
    <comment ref="N17" authorId="0" shapeId="0">
      <text>
        <r>
          <rPr>
            <b/>
            <sz val="9"/>
            <color indexed="81"/>
            <rFont val="Tahoma"/>
            <family val="2"/>
          </rPr>
          <t>Jacks074:</t>
        </r>
        <r>
          <rPr>
            <sz val="9"/>
            <color indexed="81"/>
            <rFont val="Tahoma"/>
            <family val="2"/>
          </rPr>
          <t xml:space="preserve">
Need Data or Yield percentage for Lignin produced</t>
        </r>
      </text>
    </comment>
    <comment ref="D18" authorId="0" shapeId="0">
      <text>
        <r>
          <rPr>
            <b/>
            <sz val="9"/>
            <color indexed="81"/>
            <rFont val="Tahoma"/>
            <family val="2"/>
          </rPr>
          <t>Jacks074:</t>
        </r>
        <r>
          <rPr>
            <sz val="9"/>
            <color indexed="81"/>
            <rFont val="Tahoma"/>
            <family val="2"/>
          </rPr>
          <t xml:space="preserve">
Based on the Iowa  Average </t>
        </r>
      </text>
    </comment>
    <comment ref="N18" authorId="0" shapeId="0">
      <text>
        <r>
          <rPr>
            <b/>
            <sz val="9"/>
            <color indexed="81"/>
            <rFont val="Tahoma"/>
            <family val="2"/>
          </rPr>
          <t>Jacks074:</t>
        </r>
        <r>
          <rPr>
            <sz val="9"/>
            <color indexed="81"/>
            <rFont val="Tahoma"/>
            <family val="2"/>
          </rPr>
          <t xml:space="preserve">
14.6% Carbon Content Vented from 
</t>
        </r>
      </text>
    </comment>
    <comment ref="O18" authorId="0" shapeId="0">
      <text>
        <r>
          <rPr>
            <b/>
            <sz val="9"/>
            <color indexed="81"/>
            <rFont val="Tahoma"/>
            <family val="2"/>
          </rPr>
          <t>Jacks074:</t>
        </r>
        <r>
          <rPr>
            <sz val="9"/>
            <color indexed="81"/>
            <rFont val="Tahoma"/>
            <family val="2"/>
          </rPr>
          <t xml:space="preserve">
And Table 35</t>
        </r>
      </text>
    </comment>
    <comment ref="R18" authorId="0" shapeId="0">
      <text>
        <r>
          <rPr>
            <b/>
            <sz val="9"/>
            <color indexed="81"/>
            <rFont val="Tahoma"/>
            <family val="2"/>
          </rPr>
          <t>Jacks074:</t>
        </r>
        <r>
          <rPr>
            <sz val="9"/>
            <color indexed="81"/>
            <rFont val="Tahoma"/>
            <family val="2"/>
          </rPr>
          <t xml:space="preserve">
About 2.3% of the total Gal EtOH should be added as Gasoline according to Obnamia - aligns with industry standard of 2% and then some</t>
        </r>
      </text>
    </comment>
    <comment ref="I25" authorId="0" shapeId="0">
      <text>
        <r>
          <rPr>
            <b/>
            <sz val="9"/>
            <color indexed="81"/>
            <rFont val="Tahoma"/>
            <family val="2"/>
          </rPr>
          <t>Jacks074:</t>
        </r>
        <r>
          <rPr>
            <sz val="9"/>
            <color indexed="81"/>
            <rFont val="Tahoma"/>
            <family val="2"/>
          </rPr>
          <t xml:space="preserve">
Not quite done - still need to find the yield or conversion rate for energy from an average steam plant</t>
        </r>
      </text>
    </comment>
    <comment ref="B32" authorId="0" shapeId="0">
      <text>
        <r>
          <rPr>
            <b/>
            <sz val="9"/>
            <color indexed="81"/>
            <rFont val="Tahoma"/>
            <family val="2"/>
          </rPr>
          <t>Jacks074:</t>
        </r>
        <r>
          <rPr>
            <sz val="9"/>
            <color indexed="81"/>
            <rFont val="Tahoma"/>
            <family val="2"/>
          </rPr>
          <t xml:space="preserve">
A few limitations of this model: This does not account for multiple applications of Fertilizers at different stages of the growth process.  Additionally, I believe this is related to a National Average; nutrients present in soil clearly vary spatially. </t>
        </r>
      </text>
    </comment>
    <comment ref="I37" authorId="0" shapeId="0">
      <text>
        <r>
          <rPr>
            <b/>
            <sz val="9"/>
            <color indexed="81"/>
            <rFont val="Tahoma"/>
            <family val="2"/>
          </rPr>
          <t>Jacks074:</t>
        </r>
        <r>
          <rPr>
            <sz val="9"/>
            <color indexed="81"/>
            <rFont val="Tahoma"/>
            <family val="2"/>
          </rPr>
          <t xml:space="preserve">
Dilute Acid Hydrolysis Source Above</t>
        </r>
      </text>
    </comment>
    <comment ref="N38" authorId="0" shapeId="0">
      <text>
        <r>
          <rPr>
            <b/>
            <sz val="9"/>
            <color indexed="81"/>
            <rFont val="Tahoma"/>
            <family val="2"/>
          </rPr>
          <t>Jacks074:</t>
        </r>
        <r>
          <rPr>
            <sz val="9"/>
            <color indexed="81"/>
            <rFont val="Tahoma"/>
            <family val="2"/>
          </rPr>
          <t xml:space="preserve">
Need Data or Yield percentage for Lignin produced</t>
        </r>
      </text>
    </comment>
    <comment ref="E39" authorId="0" shapeId="0">
      <text>
        <r>
          <rPr>
            <b/>
            <sz val="9"/>
            <color indexed="81"/>
            <rFont val="Tahoma"/>
            <family val="2"/>
          </rPr>
          <t>Jacks074:</t>
        </r>
        <r>
          <rPr>
            <sz val="9"/>
            <color indexed="81"/>
            <rFont val="Tahoma"/>
            <family val="2"/>
          </rPr>
          <t xml:space="preserve">
Thank you for the source!</t>
        </r>
      </text>
    </comment>
    <comment ref="N39" authorId="0" shapeId="0">
      <text>
        <r>
          <rPr>
            <b/>
            <sz val="9"/>
            <color indexed="81"/>
            <rFont val="Tahoma"/>
            <family val="2"/>
          </rPr>
          <t>Jacks074:</t>
        </r>
        <r>
          <rPr>
            <sz val="9"/>
            <color indexed="81"/>
            <rFont val="Tahoma"/>
            <family val="2"/>
          </rPr>
          <t xml:space="preserve">
https://www.researchgate.net/figure/HHV-and-LHV-of-corn-stover-and-biochars-produced-at-400-and-500C_tbl4_304250177</t>
        </r>
      </text>
    </comment>
    <comment ref="J44" authorId="0" shapeId="0">
      <text>
        <r>
          <rPr>
            <b/>
            <sz val="9"/>
            <color indexed="81"/>
            <rFont val="Tahoma"/>
            <family val="2"/>
          </rPr>
          <t>Jacks074:</t>
        </r>
        <r>
          <rPr>
            <sz val="9"/>
            <color indexed="81"/>
            <rFont val="Tahoma"/>
            <family val="2"/>
          </rPr>
          <t xml:space="preserve">
Table 2
</t>
        </r>
      </text>
    </comment>
    <comment ref="C53" authorId="0" shapeId="0">
      <text>
        <r>
          <rPr>
            <b/>
            <sz val="9"/>
            <color indexed="81"/>
            <rFont val="Tahoma"/>
            <family val="2"/>
          </rPr>
          <t>Jacks074:</t>
        </r>
        <r>
          <rPr>
            <sz val="9"/>
            <color indexed="81"/>
            <rFont val="Tahoma"/>
            <family val="2"/>
          </rPr>
          <t xml:space="preserve">
Currently assuming that no leaching/direct field emissions of fertilizers (going to need more data)</t>
        </r>
      </text>
    </comment>
    <comment ref="B57" authorId="0" shapeId="0">
      <text>
        <r>
          <rPr>
            <b/>
            <sz val="9"/>
            <color indexed="81"/>
            <rFont val="Tahoma"/>
            <family val="2"/>
          </rPr>
          <t>Jacks074:</t>
        </r>
        <r>
          <rPr>
            <sz val="9"/>
            <color indexed="81"/>
            <rFont val="Tahoma"/>
            <family val="2"/>
          </rPr>
          <t xml:space="preserve">
Similarly, this is goiing to experience serious variation with respect to geographic location </t>
        </r>
      </text>
    </comment>
    <comment ref="C59" authorId="0" shapeId="0">
      <text>
        <r>
          <rPr>
            <b/>
            <sz val="9"/>
            <color indexed="81"/>
            <rFont val="Tahoma"/>
            <family val="2"/>
          </rPr>
          <t>Jacks074:</t>
        </r>
        <r>
          <rPr>
            <sz val="9"/>
            <color indexed="81"/>
            <rFont val="Tahoma"/>
            <family val="2"/>
          </rPr>
          <t xml:space="preserve">
Great opportunity to add geospatial resolution; pH of soil will determine CaCO3</t>
        </r>
      </text>
    </comment>
    <comment ref="J62" authorId="0" shapeId="0">
      <text>
        <r>
          <rPr>
            <b/>
            <sz val="9"/>
            <color indexed="81"/>
            <rFont val="Tahoma"/>
            <family val="2"/>
          </rPr>
          <t>Jacks074:</t>
        </r>
        <r>
          <rPr>
            <sz val="9"/>
            <color indexed="81"/>
            <rFont val="Tahoma"/>
            <family val="2"/>
          </rPr>
          <t xml:space="preserve">
Included for Convenient Reference
</t>
        </r>
      </text>
    </comment>
    <comment ref="G68" authorId="0" shapeId="0">
      <text>
        <r>
          <rPr>
            <b/>
            <sz val="9"/>
            <color indexed="81"/>
            <rFont val="Tahoma"/>
            <family val="2"/>
          </rPr>
          <t>Jacks074:</t>
        </r>
        <r>
          <rPr>
            <sz val="9"/>
            <color indexed="81"/>
            <rFont val="Tahoma"/>
            <family val="2"/>
          </rPr>
          <t xml:space="preserve">
I missed appendix C in the NREL Humbird Report; contains all needed info in 1 place… Another iteration undertaking could be to regenerate all steps available from NREL's report for consistency</t>
        </r>
      </text>
    </comment>
    <comment ref="J70" authorId="0" shapeId="0">
      <text>
        <r>
          <rPr>
            <b/>
            <sz val="9"/>
            <color indexed="81"/>
            <rFont val="Tahoma"/>
            <family val="2"/>
          </rPr>
          <t>Jacks074:</t>
        </r>
        <r>
          <rPr>
            <sz val="9"/>
            <color indexed="81"/>
            <rFont val="Tahoma"/>
            <family val="2"/>
          </rPr>
          <t xml:space="preserve">
Included for Convenient Reference
</t>
        </r>
      </text>
    </comment>
    <comment ref="E71" authorId="0" shapeId="0">
      <text>
        <r>
          <rPr>
            <b/>
            <sz val="9"/>
            <color indexed="81"/>
            <rFont val="Tahoma"/>
            <family val="2"/>
          </rPr>
          <t>Jacks074:</t>
        </r>
        <r>
          <rPr>
            <sz val="9"/>
            <color indexed="81"/>
            <rFont val="Tahoma"/>
            <family val="2"/>
          </rPr>
          <t xml:space="preserve">
Add drop-down list or some such thing so that this may be selected.  </t>
        </r>
      </text>
    </comment>
    <comment ref="G72" authorId="0" shapeId="0">
      <text>
        <r>
          <rPr>
            <b/>
            <sz val="9"/>
            <color indexed="81"/>
            <rFont val="Tahoma"/>
            <family val="2"/>
          </rPr>
          <t>Jacks074:</t>
        </r>
        <r>
          <rPr>
            <sz val="9"/>
            <color indexed="81"/>
            <rFont val="Tahoma"/>
            <family val="2"/>
          </rPr>
          <t xml:space="preserve">
The Slurry is drained and washed - currently modeling as a drain/re-dilute, need to confirm</t>
        </r>
      </text>
    </comment>
    <comment ref="I81" authorId="0" shapeId="0">
      <text>
        <r>
          <rPr>
            <b/>
            <sz val="9"/>
            <color indexed="81"/>
            <rFont val="Tahoma"/>
            <family val="2"/>
          </rPr>
          <t>Jacks074:</t>
        </r>
        <r>
          <rPr>
            <sz val="9"/>
            <color indexed="81"/>
            <rFont val="Tahoma"/>
            <family val="2"/>
          </rPr>
          <t xml:space="preserve">
Might be in a different source - verify</t>
        </r>
      </text>
    </comment>
    <comment ref="I82" authorId="0" shapeId="0">
      <text>
        <r>
          <rPr>
            <b/>
            <sz val="9"/>
            <color indexed="81"/>
            <rFont val="Tahoma"/>
            <family val="2"/>
          </rPr>
          <t>Jacks074:</t>
        </r>
        <r>
          <rPr>
            <sz val="9"/>
            <color indexed="81"/>
            <rFont val="Tahoma"/>
            <family val="2"/>
          </rPr>
          <t xml:space="preserve">
Confirm</t>
        </r>
      </text>
    </comment>
    <comment ref="C83" authorId="0" shapeId="0">
      <text>
        <r>
          <rPr>
            <b/>
            <sz val="9"/>
            <color indexed="81"/>
            <rFont val="Tahoma"/>
            <family val="2"/>
          </rPr>
          <t>Jacks074:</t>
        </r>
        <r>
          <rPr>
            <sz val="9"/>
            <color indexed="81"/>
            <rFont val="Tahoma"/>
            <family val="2"/>
          </rPr>
          <t xml:space="preserve">
The intent was to use this block to model the extent of all labor applied, diesel consumed, etc. involved with the sum of all operations for corn growth (tillage, seeding, weeding, harvest, etc.)
This may need to be broken up for added resolution in the future.</t>
        </r>
      </text>
    </comment>
    <comment ref="E88" authorId="0" shapeId="0">
      <text>
        <r>
          <rPr>
            <b/>
            <sz val="9"/>
            <color indexed="81"/>
            <rFont val="Tahoma"/>
            <family val="2"/>
          </rPr>
          <t>Jacks074:</t>
        </r>
        <r>
          <rPr>
            <sz val="9"/>
            <color indexed="81"/>
            <rFont val="Tahoma"/>
            <family val="2"/>
          </rPr>
          <t xml:space="preserve">
Great Source for Broad overview of Crop Operation Energy Use, might add things like Gasoline, Natural Gas, etc.</t>
        </r>
      </text>
    </comment>
    <comment ref="C90" authorId="0" shapeId="0">
      <text>
        <r>
          <rPr>
            <b/>
            <sz val="9"/>
            <color indexed="81"/>
            <rFont val="Tahoma"/>
            <family val="2"/>
          </rPr>
          <t>Jacks074:</t>
        </r>
        <r>
          <rPr>
            <sz val="9"/>
            <color indexed="81"/>
            <rFont val="Tahoma"/>
            <family val="2"/>
          </rPr>
          <t xml:space="preserve">
Same Source as Labor Data - USDA Above</t>
        </r>
      </text>
    </comment>
    <comment ref="B92" authorId="0" shapeId="0">
      <text>
        <r>
          <rPr>
            <b/>
            <sz val="9"/>
            <color indexed="81"/>
            <rFont val="Tahoma"/>
            <family val="2"/>
          </rPr>
          <t>Jacks074:</t>
        </r>
        <r>
          <rPr>
            <sz val="9"/>
            <color indexed="81"/>
            <rFont val="Tahoma"/>
            <family val="2"/>
          </rPr>
          <t xml:space="preserve">
Alt_JF Diesel L/ha use (why is yours only half?)</t>
        </r>
      </text>
    </comment>
    <comment ref="J93" authorId="0" shapeId="0">
      <text>
        <r>
          <rPr>
            <b/>
            <sz val="9"/>
            <color indexed="81"/>
            <rFont val="Tahoma"/>
            <family val="2"/>
          </rPr>
          <t>Jacks074:</t>
        </r>
        <r>
          <rPr>
            <sz val="9"/>
            <color indexed="81"/>
            <rFont val="Tahoma"/>
            <family val="2"/>
          </rPr>
          <t xml:space="preserve">
Table 9
</t>
        </r>
      </text>
    </comment>
    <comment ref="E100" authorId="0" shapeId="0">
      <text>
        <r>
          <rPr>
            <b/>
            <sz val="9"/>
            <color indexed="81"/>
            <rFont val="Tahoma"/>
            <family val="2"/>
          </rPr>
          <t>Jacks074:</t>
        </r>
        <r>
          <rPr>
            <sz val="9"/>
            <color indexed="81"/>
            <rFont val="Tahoma"/>
            <family val="2"/>
          </rPr>
          <t xml:space="preserve">
18,000 kg CO2 /ha-yr in Dr. Beal's model… you should work out why what you got here is wrong.</t>
        </r>
      </text>
    </comment>
    <comment ref="D104" authorId="0" shapeId="0">
      <text>
        <r>
          <rPr>
            <b/>
            <sz val="9"/>
            <color indexed="81"/>
            <rFont val="Tahoma"/>
            <family val="2"/>
          </rPr>
          <t>Jacks074:</t>
        </r>
        <r>
          <rPr>
            <sz val="9"/>
            <color indexed="81"/>
            <rFont val="Tahoma"/>
            <family val="2"/>
          </rPr>
          <t xml:space="preserve">
Table 1
</t>
        </r>
      </text>
    </comment>
    <comment ref="D114" authorId="0" shapeId="0">
      <text>
        <r>
          <rPr>
            <b/>
            <sz val="9"/>
            <color indexed="81"/>
            <rFont val="Tahoma"/>
            <family val="2"/>
          </rPr>
          <t>Jacks074:</t>
        </r>
        <r>
          <rPr>
            <sz val="9"/>
            <color indexed="81"/>
            <rFont val="Tahoma"/>
            <family val="2"/>
          </rPr>
          <t xml:space="preserve">
(About 53:47 Corn to Stover)
An obvious limitation; Converting corn </t>
        </r>
        <r>
          <rPr>
            <i/>
            <sz val="9"/>
            <color indexed="81"/>
            <rFont val="Tahoma"/>
            <family val="2"/>
          </rPr>
          <t>grain</t>
        </r>
        <r>
          <rPr>
            <sz val="9"/>
            <color indexed="81"/>
            <rFont val="Tahoma"/>
            <family val="2"/>
          </rPr>
          <t xml:space="preserve"> to stover might not be the best way to do this, as the 53:47 ratio will likely not be observed as yield/acre changes (See Tumbalam). Could consider removing the corn grain yield from this PM and take input directly as kg useable stover.</t>
        </r>
      </text>
    </comment>
    <comment ref="C119" authorId="0" shapeId="0">
      <text>
        <r>
          <rPr>
            <b/>
            <sz val="9"/>
            <color indexed="81"/>
            <rFont val="Tahoma"/>
            <family val="2"/>
          </rPr>
          <t>Jacks074:</t>
        </r>
        <r>
          <rPr>
            <sz val="9"/>
            <color indexed="81"/>
            <rFont val="Tahoma"/>
            <family val="2"/>
          </rPr>
          <t xml:space="preserve">
30% Moisture Content at Maturity, 15% moisture content at harvest</t>
        </r>
      </text>
    </comment>
    <comment ref="I123" authorId="0" shapeId="0">
      <text>
        <r>
          <rPr>
            <b/>
            <sz val="9"/>
            <color indexed="81"/>
            <rFont val="Tahoma"/>
            <family val="2"/>
          </rPr>
          <t>Jacks074:</t>
        </r>
        <r>
          <rPr>
            <sz val="9"/>
            <color indexed="81"/>
            <rFont val="Tahoma"/>
            <family val="2"/>
          </rPr>
          <t xml:space="preserve">
10% of the cellulase is retained for retention or something more technical in name</t>
        </r>
      </text>
    </comment>
    <comment ref="I125" authorId="0" shapeId="0">
      <text>
        <r>
          <rPr>
            <b/>
            <sz val="9"/>
            <color indexed="81"/>
            <rFont val="Tahoma"/>
            <family val="2"/>
          </rPr>
          <t>Jacks074:</t>
        </r>
        <r>
          <rPr>
            <sz val="9"/>
            <color indexed="81"/>
            <rFont val="Tahoma"/>
            <family val="2"/>
          </rPr>
          <t xml:space="preserve">
NREL Corn Stover Ethanol Report - Table 21</t>
        </r>
      </text>
    </comment>
    <comment ref="D126" authorId="0" shapeId="0">
      <text>
        <r>
          <rPr>
            <b/>
            <sz val="9"/>
            <color indexed="81"/>
            <rFont val="Tahoma"/>
            <family val="2"/>
          </rPr>
          <t>Jacks074:</t>
        </r>
        <r>
          <rPr>
            <sz val="9"/>
            <color indexed="81"/>
            <rFont val="Tahoma"/>
            <family val="2"/>
          </rPr>
          <t xml:space="preserve">
43.6 % of the Plant Dry Mass is Carbon.  The ratio of CO2 to Carbon is about 44/12 (molar mass basis)</t>
        </r>
      </text>
    </comment>
    <comment ref="I126" authorId="0" shapeId="0">
      <text>
        <r>
          <rPr>
            <b/>
            <sz val="9"/>
            <color indexed="81"/>
            <rFont val="Tahoma"/>
            <family val="2"/>
          </rPr>
          <t>Jacks074:</t>
        </r>
        <r>
          <rPr>
            <sz val="9"/>
            <color indexed="81"/>
            <rFont val="Tahoma"/>
            <family val="2"/>
          </rPr>
          <t xml:space="preserve">
Main Carbon Source - contributes to 50% of enzyme cost
Table 18</t>
        </r>
      </text>
    </comment>
    <comment ref="I128" authorId="0" shapeId="0">
      <text>
        <r>
          <rPr>
            <b/>
            <sz val="9"/>
            <color indexed="81"/>
            <rFont val="Tahoma"/>
            <family val="2"/>
          </rPr>
          <t>Jacks074:</t>
        </r>
        <r>
          <rPr>
            <sz val="9"/>
            <color indexed="81"/>
            <rFont val="Tahoma"/>
            <family val="2"/>
          </rPr>
          <t xml:space="preserve">
Nutrients listed from NREL Corn Stover Paper - Cited below - Table 20</t>
        </r>
      </text>
    </comment>
    <comment ref="D132" authorId="0" shapeId="0">
      <text>
        <r>
          <rPr>
            <b/>
            <sz val="9"/>
            <color indexed="81"/>
            <rFont val="Tahoma"/>
            <family val="2"/>
          </rPr>
          <t>Jacks074:</t>
        </r>
        <r>
          <rPr>
            <sz val="9"/>
            <color indexed="81"/>
            <rFont val="Tahoma"/>
            <family val="2"/>
          </rPr>
          <t xml:space="preserve">
Only ~50% of the available corn stover is harvested in order to prevent wind erosion/land degradation</t>
        </r>
      </text>
    </comment>
    <comment ref="D135" authorId="0" shapeId="0">
      <text>
        <r>
          <rPr>
            <b/>
            <sz val="9"/>
            <color indexed="81"/>
            <rFont val="Tahoma"/>
            <family val="2"/>
          </rPr>
          <t>Jacks074:</t>
        </r>
        <r>
          <rPr>
            <sz val="9"/>
            <color indexed="81"/>
            <rFont val="Tahoma"/>
            <family val="2"/>
          </rPr>
          <t xml:space="preserve">
17.4 MJ/kg Stover
file:///C:/Users/Jacks074/Downloads/energies-08-04827.pdf</t>
        </r>
      </text>
    </comment>
    <comment ref="I136" authorId="0" shapeId="0">
      <text>
        <r>
          <rPr>
            <b/>
            <sz val="9"/>
            <color indexed="81"/>
            <rFont val="Tahoma"/>
            <family val="2"/>
          </rPr>
          <t>Jacks074:</t>
        </r>
        <r>
          <rPr>
            <sz val="9"/>
            <color indexed="81"/>
            <rFont val="Tahoma"/>
            <family val="2"/>
          </rPr>
          <t xml:space="preserve">
Table 18
</t>
        </r>
      </text>
    </comment>
    <comment ref="I137" authorId="0" shapeId="0">
      <text>
        <r>
          <rPr>
            <b/>
            <sz val="9"/>
            <color indexed="81"/>
            <rFont val="Tahoma"/>
            <family val="2"/>
          </rPr>
          <t>Jacks074:</t>
        </r>
        <r>
          <rPr>
            <sz val="9"/>
            <color indexed="81"/>
            <rFont val="Tahoma"/>
            <family val="2"/>
          </rPr>
          <t xml:space="preserve">
https://www.sigmaaldrich.com/catalog/product/sigma/sae0020?lang=en&amp;region=US</t>
        </r>
      </text>
    </comment>
    <comment ref="H148" authorId="0" shapeId="0">
      <text>
        <r>
          <rPr>
            <b/>
            <sz val="9"/>
            <color indexed="81"/>
            <rFont val="Tahoma"/>
            <family val="2"/>
          </rPr>
          <t>Jacks074:</t>
        </r>
        <r>
          <rPr>
            <sz val="9"/>
            <color indexed="81"/>
            <rFont val="Tahoma"/>
            <family val="2"/>
          </rPr>
          <t xml:space="preserve">
10% innoculum batch (seed train, I believe) - and then 0.25% by weight of CSL - Table 13</t>
        </r>
      </text>
    </comment>
    <comment ref="H150" authorId="0" shapeId="0">
      <text>
        <r>
          <rPr>
            <b/>
            <sz val="9"/>
            <color indexed="81"/>
            <rFont val="Tahoma"/>
            <family val="2"/>
          </rPr>
          <t>Jacks074:</t>
        </r>
        <r>
          <rPr>
            <sz val="9"/>
            <color indexed="81"/>
            <rFont val="Tahoma"/>
            <family val="2"/>
          </rPr>
          <t xml:space="preserve">
Placeholder, until I can get the energy to move fixed</t>
        </r>
      </text>
    </comment>
    <comment ref="D152" authorId="0" shapeId="0">
      <text>
        <r>
          <rPr>
            <b/>
            <sz val="9"/>
            <color indexed="81"/>
            <rFont val="Tahoma"/>
            <family val="2"/>
          </rPr>
          <t>Jacks074:</t>
        </r>
        <r>
          <rPr>
            <sz val="9"/>
            <color indexed="81"/>
            <rFont val="Tahoma"/>
            <family val="2"/>
          </rPr>
          <t xml:space="preserve">
Expand</t>
        </r>
      </text>
    </comment>
    <comment ref="J154" authorId="0" shapeId="0">
      <text>
        <r>
          <rPr>
            <b/>
            <sz val="9"/>
            <color indexed="81"/>
            <rFont val="Tahoma"/>
            <family val="2"/>
          </rPr>
          <t>Jacks074:</t>
        </r>
        <r>
          <rPr>
            <sz val="9"/>
            <color indexed="81"/>
            <rFont val="Tahoma"/>
            <family val="2"/>
          </rPr>
          <t xml:space="preserve">
Table 15</t>
        </r>
      </text>
    </comment>
    <comment ref="J155" authorId="0" shapeId="0">
      <text>
        <r>
          <rPr>
            <b/>
            <sz val="9"/>
            <color indexed="81"/>
            <rFont val="Tahoma"/>
            <family val="2"/>
          </rPr>
          <t>Jacks074:</t>
        </r>
        <r>
          <rPr>
            <sz val="9"/>
            <color indexed="81"/>
            <rFont val="Tahoma"/>
            <family val="2"/>
          </rPr>
          <t xml:space="preserve">
Corn stover ethanol yield as affected by grain yield, Bt trait, and environment</t>
        </r>
      </text>
    </comment>
    <comment ref="I162" authorId="0" shapeId="0">
      <text>
        <r>
          <rPr>
            <b/>
            <sz val="9"/>
            <color indexed="81"/>
            <rFont val="Tahoma"/>
            <family val="2"/>
          </rPr>
          <t>Jacks074:</t>
        </r>
        <r>
          <rPr>
            <sz val="9"/>
            <color indexed="81"/>
            <rFont val="Tahoma"/>
            <family val="2"/>
          </rPr>
          <t xml:space="preserve">
Again, currently in &lt;20 Proof Beer form - So next output is better</t>
        </r>
      </text>
    </comment>
    <comment ref="J174" authorId="1" shapeId="0">
      <text>
        <r>
          <rPr>
            <b/>
            <sz val="9"/>
            <color indexed="81"/>
            <rFont val="Tahoma"/>
            <family val="2"/>
          </rPr>
          <t>Jack Smith:</t>
        </r>
        <r>
          <rPr>
            <sz val="9"/>
            <color indexed="81"/>
            <rFont val="Tahoma"/>
            <family val="2"/>
          </rPr>
          <t xml:space="preserve">
Table 1. Corn and Stover Compositions</t>
        </r>
      </text>
    </comment>
    <comment ref="J175" authorId="1" shapeId="0">
      <text>
        <r>
          <rPr>
            <b/>
            <sz val="9"/>
            <color indexed="81"/>
            <rFont val="Tahoma"/>
            <family val="2"/>
          </rPr>
          <t>Jack Smith:</t>
        </r>
        <r>
          <rPr>
            <sz val="9"/>
            <color indexed="81"/>
            <rFont val="Tahoma"/>
            <family val="2"/>
          </rPr>
          <t xml:space="preserve">
Figure 4A.10</t>
        </r>
      </text>
    </comment>
  </commentList>
</comments>
</file>

<file path=xl/comments5.xml><?xml version="1.0" encoding="utf-8"?>
<comments xmlns="http://schemas.openxmlformats.org/spreadsheetml/2006/main">
  <authors>
    <author>Jacks074</author>
    <author>Jack Smith</author>
  </authors>
  <commentList>
    <comment ref="O14" authorId="0" shapeId="0">
      <text>
        <r>
          <rPr>
            <b/>
            <sz val="9"/>
            <color indexed="81"/>
            <rFont val="Tahoma"/>
            <family val="2"/>
          </rPr>
          <t>Jacks074:</t>
        </r>
        <r>
          <rPr>
            <sz val="9"/>
            <color indexed="81"/>
            <rFont val="Tahoma"/>
            <family val="2"/>
          </rPr>
          <t xml:space="preserve">
144 kg/m3
</t>
        </r>
      </text>
    </comment>
    <comment ref="O16" authorId="0" shapeId="0">
      <text>
        <r>
          <rPr>
            <b/>
            <sz val="9"/>
            <color indexed="81"/>
            <rFont val="Tahoma"/>
            <family val="2"/>
          </rPr>
          <t>Jacks074:</t>
        </r>
        <r>
          <rPr>
            <sz val="9"/>
            <color indexed="81"/>
            <rFont val="Tahoma"/>
            <family val="2"/>
          </rPr>
          <t xml:space="preserve">
I think about 1,200 pounds… this is, however, for hay (I think) Might need to do some density Lookup</t>
        </r>
      </text>
    </comment>
    <comment ref="G23" authorId="0" shapeId="0">
      <text>
        <r>
          <rPr>
            <b/>
            <sz val="9"/>
            <color indexed="81"/>
            <rFont val="Tahoma"/>
            <family val="2"/>
          </rPr>
          <t>Jacks074:</t>
        </r>
        <r>
          <rPr>
            <sz val="9"/>
            <color indexed="81"/>
            <rFont val="Tahoma"/>
            <family val="2"/>
          </rPr>
          <t xml:space="preserve">
1.90769 - According to EcoInvent
Obnamia has 2.66…?</t>
        </r>
      </text>
    </comment>
    <comment ref="G24" authorId="0" shapeId="0">
      <text>
        <r>
          <rPr>
            <b/>
            <sz val="9"/>
            <color indexed="81"/>
            <rFont val="Tahoma"/>
            <family val="2"/>
          </rPr>
          <t>Jacks074:</t>
        </r>
        <r>
          <rPr>
            <sz val="9"/>
            <color indexed="81"/>
            <rFont val="Tahoma"/>
            <family val="2"/>
          </rPr>
          <t xml:space="preserve">
Obnamia has 0.85 (?)</t>
        </r>
      </text>
    </comment>
    <comment ref="G26" authorId="1" shapeId="0">
      <text>
        <r>
          <rPr>
            <b/>
            <sz val="9"/>
            <color indexed="81"/>
            <rFont val="Tahoma"/>
            <family val="2"/>
          </rPr>
          <t>Jack Smith:</t>
        </r>
        <r>
          <rPr>
            <sz val="9"/>
            <color indexed="81"/>
            <rFont val="Tahoma"/>
            <family val="2"/>
          </rPr>
          <t xml:space="preserve">
Obnamia - 1.843
GREET - 0.8462
US LCI  - 0.00897</t>
        </r>
      </text>
    </comment>
    <comment ref="G30" authorId="0" shapeId="0">
      <text>
        <r>
          <rPr>
            <b/>
            <sz val="9"/>
            <color indexed="81"/>
            <rFont val="Tahoma"/>
            <family val="2"/>
          </rPr>
          <t>Jacks074:</t>
        </r>
        <r>
          <rPr>
            <sz val="9"/>
            <color indexed="81"/>
            <rFont val="Tahoma"/>
            <family val="2"/>
          </rPr>
          <t xml:space="preserve">
Attributed to gas denaturant</t>
        </r>
      </text>
    </comment>
    <comment ref="G31" authorId="1" shapeId="0">
      <text>
        <r>
          <rPr>
            <b/>
            <sz val="9"/>
            <color indexed="81"/>
            <rFont val="Tahoma"/>
            <family val="2"/>
          </rPr>
          <t>Jack Smith:</t>
        </r>
        <r>
          <rPr>
            <sz val="9"/>
            <color indexed="81"/>
            <rFont val="Tahoma"/>
            <family val="2"/>
          </rPr>
          <t xml:space="preserve">
Obnamia - 2.72
US LCI - 1.37218</t>
        </r>
      </text>
    </comment>
    <comment ref="B41" authorId="0" shapeId="0">
      <text>
        <r>
          <rPr>
            <b/>
            <sz val="9"/>
            <color indexed="81"/>
            <rFont val="Tahoma"/>
            <family val="2"/>
          </rPr>
          <t>Jacks074:</t>
        </r>
        <r>
          <rPr>
            <sz val="9"/>
            <color indexed="81"/>
            <rFont val="Tahoma"/>
            <family val="2"/>
          </rPr>
          <t xml:space="preserve">
https://www.thegazette.com/2012/07/28/some-iowa-farmers-turning-to-irrigation-to-help-crops#:~:text=Because%20of%20the%20state's%20usually,well%20below%20any%20neighboring%20state.
https://www.thegazette.com/2012/07/28/some-iowa-farmers-turning-to-irrigation-to-help-crops#:~:text=Because%20of%20the%20state's%20usually,well%20below%20any%20neighboring%20state.</t>
        </r>
      </text>
    </comment>
    <comment ref="N58" authorId="0" shapeId="0">
      <text>
        <r>
          <rPr>
            <b/>
            <sz val="9"/>
            <color indexed="81"/>
            <rFont val="Tahoma"/>
            <family val="2"/>
          </rPr>
          <t>Jacks074:</t>
        </r>
        <r>
          <rPr>
            <sz val="9"/>
            <color indexed="81"/>
            <rFont val="Tahoma"/>
            <family val="2"/>
          </rPr>
          <t xml:space="preserve">
gCO2eq/MJ EtOH - This is well aligned with both the results of the GHGenius Stover Growth model (13.0) as well as the GREET 2013 (15.7) results.  It seems the energy allocation is close (still need to calculate based on mass allocation) to the system expansion results.</t>
        </r>
      </text>
    </comment>
    <comment ref="B60" authorId="0" shapeId="0">
      <text>
        <r>
          <rPr>
            <b/>
            <sz val="9"/>
            <color indexed="81"/>
            <rFont val="Tahoma"/>
            <family val="2"/>
          </rPr>
          <t>Jacks074:</t>
        </r>
        <r>
          <rPr>
            <sz val="9"/>
            <color indexed="81"/>
            <rFont val="Tahoma"/>
            <family val="2"/>
          </rPr>
          <t xml:space="preserve">
Might not actually be zero - on next pass-through check what NREL does here</t>
        </r>
      </text>
    </comment>
    <comment ref="N61" authorId="0" shapeId="0">
      <text>
        <r>
          <rPr>
            <b/>
            <sz val="9"/>
            <color indexed="81"/>
            <rFont val="Tahoma"/>
            <family val="2"/>
          </rPr>
          <t>Jacks074:</t>
        </r>
        <r>
          <rPr>
            <sz val="9"/>
            <color indexed="81"/>
            <rFont val="Tahoma"/>
            <family val="2"/>
          </rPr>
          <t xml:space="preserve">
Did not use Impact (GWP) Data</t>
        </r>
      </text>
    </comment>
    <comment ref="T95" authorId="1" shapeId="0">
      <text>
        <r>
          <rPr>
            <b/>
            <sz val="9"/>
            <color indexed="81"/>
            <rFont val="Tahoma"/>
            <family val="2"/>
          </rPr>
          <t>Jack Smith:</t>
        </r>
        <r>
          <rPr>
            <sz val="9"/>
            <color indexed="81"/>
            <rFont val="Tahoma"/>
            <family val="2"/>
          </rPr>
          <t xml:space="preserve">
Uses different time horizons</t>
        </r>
      </text>
    </comment>
    <comment ref="T97" authorId="1" shapeId="0">
      <text>
        <r>
          <rPr>
            <b/>
            <sz val="9"/>
            <color indexed="81"/>
            <rFont val="Tahoma"/>
            <family val="2"/>
          </rPr>
          <t>Jack Smith:</t>
        </r>
        <r>
          <rPr>
            <sz val="9"/>
            <color indexed="81"/>
            <rFont val="Tahoma"/>
            <family val="2"/>
          </rPr>
          <t xml:space="preserve">
Without credit for co-product and
With credit for co-product</t>
        </r>
      </text>
    </comment>
    <comment ref="G99" authorId="0" shapeId="0">
      <text>
        <r>
          <rPr>
            <b/>
            <sz val="9"/>
            <color indexed="81"/>
            <rFont val="Tahoma"/>
            <family val="2"/>
          </rPr>
          <t>Jacks074:</t>
        </r>
        <r>
          <rPr>
            <sz val="9"/>
            <color indexed="81"/>
            <rFont val="Tahoma"/>
            <family val="2"/>
          </rPr>
          <t xml:space="preserve">
attenuate all categories based on electricity export</t>
        </r>
      </text>
    </comment>
  </commentList>
</comments>
</file>

<file path=xl/comments6.xml><?xml version="1.0" encoding="utf-8"?>
<comments xmlns="http://schemas.openxmlformats.org/spreadsheetml/2006/main">
  <authors>
    <author>Jacks074</author>
  </authors>
  <commentList>
    <comment ref="D6" authorId="0" shapeId="0">
      <text>
        <r>
          <rPr>
            <b/>
            <sz val="9"/>
            <color indexed="81"/>
            <rFont val="Tahoma"/>
            <family val="2"/>
          </rPr>
          <t>Jacks074:</t>
        </r>
        <r>
          <rPr>
            <sz val="9"/>
            <color indexed="81"/>
            <rFont val="Tahoma"/>
            <family val="2"/>
          </rPr>
          <t xml:space="preserve">
Clark Model</t>
        </r>
      </text>
    </comment>
    <comment ref="E6" authorId="0" shapeId="0">
      <text>
        <r>
          <rPr>
            <b/>
            <sz val="9"/>
            <color indexed="81"/>
            <rFont val="Tahoma"/>
            <family val="2"/>
          </rPr>
          <t>Jacks074:</t>
        </r>
        <r>
          <rPr>
            <sz val="9"/>
            <color indexed="81"/>
            <rFont val="Tahoma"/>
            <family val="2"/>
          </rPr>
          <t xml:space="preserve">
Clark Model
</t>
        </r>
      </text>
    </comment>
    <comment ref="F6" authorId="0" shapeId="0">
      <text>
        <r>
          <rPr>
            <b/>
            <sz val="9"/>
            <color indexed="81"/>
            <rFont val="Tahoma"/>
            <family val="2"/>
          </rPr>
          <t>Jacks074:</t>
        </r>
        <r>
          <rPr>
            <sz val="9"/>
            <color indexed="81"/>
            <rFont val="Tahoma"/>
            <family val="2"/>
          </rPr>
          <t xml:space="preserve">
$376/ton for Potash
(weight converted)
https://www.dtnpf.com/agriculture/web/ag/crops/article/2020/01/08/fertilizer-prices-mostly-lower-start</t>
        </r>
      </text>
    </comment>
    <comment ref="G6" authorId="0" shapeId="0">
      <text>
        <r>
          <rPr>
            <b/>
            <sz val="9"/>
            <color indexed="81"/>
            <rFont val="Tahoma"/>
            <family val="2"/>
          </rPr>
          <t xml:space="preserve">Jacks074:
</t>
        </r>
        <r>
          <rPr>
            <sz val="9"/>
            <color indexed="81"/>
            <rFont val="Tahoma"/>
            <family val="2"/>
          </rPr>
          <t>$10/ton Aglime from 
https://www.co.polk.wi.us/index.asp?SEC=04C9668C-AE46-431F-9A7F-65D51E92E007&amp;DE=B1FA0061-1930-4324-959E-4F6F769DE0E1</t>
        </r>
      </text>
    </comment>
    <comment ref="I7" authorId="0" shapeId="0">
      <text>
        <r>
          <rPr>
            <b/>
            <sz val="9"/>
            <color indexed="81"/>
            <rFont val="Tahoma"/>
            <family val="2"/>
          </rPr>
          <t>Jacks074:</t>
        </r>
        <r>
          <rPr>
            <sz val="9"/>
            <color indexed="81"/>
            <rFont val="Tahoma"/>
            <family val="2"/>
          </rPr>
          <t xml:space="preserve">
1.6 is pulled from the Clark model; I averaged the costs for all non-harvest machine costs and similarly averaged his scaling of the acreage input. As we continue to devote time to multiple design iterations/cycles, this will need to expand in resolution</t>
        </r>
      </text>
    </comment>
    <comment ref="H12" authorId="0" shapeId="0">
      <text>
        <r>
          <rPr>
            <b/>
            <sz val="9"/>
            <color indexed="81"/>
            <rFont val="Tahoma"/>
            <family val="2"/>
          </rPr>
          <t>Jacks074:</t>
        </r>
        <r>
          <rPr>
            <sz val="9"/>
            <color indexed="81"/>
            <rFont val="Tahoma"/>
            <family val="2"/>
          </rPr>
          <t xml:space="preserve">
773000 tons of dry feedstock per year for commercial cell. EtOH facility - Humbird</t>
        </r>
      </text>
    </comment>
    <comment ref="F13" authorId="0" shapeId="0">
      <text>
        <r>
          <rPr>
            <b/>
            <sz val="9"/>
            <color indexed="81"/>
            <rFont val="Tahoma"/>
            <family val="2"/>
          </rPr>
          <t>Jacks074:</t>
        </r>
        <r>
          <rPr>
            <sz val="9"/>
            <color indexed="81"/>
            <rFont val="Tahoma"/>
            <family val="2"/>
          </rPr>
          <t xml:space="preserve">
This is the portion of economic burden of things like fertilizer which is assigned to stover over grain
Energy Allocation</t>
        </r>
      </text>
    </comment>
    <comment ref="H13" authorId="0" shapeId="0">
      <text>
        <r>
          <rPr>
            <b/>
            <sz val="9"/>
            <color indexed="81"/>
            <rFont val="Tahoma"/>
            <family val="2"/>
          </rPr>
          <t>Jacks074:</t>
        </r>
        <r>
          <rPr>
            <sz val="9"/>
            <color indexed="81"/>
            <rFont val="Tahoma"/>
            <family val="2"/>
          </rPr>
          <t xml:space="preserve">
Average useable corn stover produced from one hectare of land</t>
        </r>
      </text>
    </comment>
    <comment ref="B16" authorId="0" shapeId="0">
      <text>
        <r>
          <rPr>
            <b/>
            <sz val="9"/>
            <color indexed="81"/>
            <rFont val="Tahoma"/>
            <family val="2"/>
          </rPr>
          <t>Jacks074:</t>
        </r>
        <r>
          <rPr>
            <sz val="9"/>
            <color indexed="81"/>
            <rFont val="Tahoma"/>
            <family val="2"/>
          </rPr>
          <t xml:space="preserve">
From NREL's Humbird</t>
        </r>
      </text>
    </comment>
    <comment ref="C16" authorId="0" shapeId="0">
      <text>
        <r>
          <rPr>
            <b/>
            <sz val="9"/>
            <color indexed="81"/>
            <rFont val="Tahoma"/>
            <family val="2"/>
          </rPr>
          <t>Jacks074:</t>
        </r>
        <r>
          <rPr>
            <sz val="9"/>
            <color indexed="81"/>
            <rFont val="Tahoma"/>
            <family val="2"/>
          </rPr>
          <t xml:space="preserve">
Online Sources claim closer to like $50 per acre… so could be something to look into
https://www.extension.iastate.edu/agdm/crops/pdf/a1-70.pdf
file:///C:/Users/Jacks074/Documents/ABM/z_Other%20(Non-Backed)%20Files/Process%20Model%20Draft%20-%20Corn%20Stover%20to%20Ethanol/1%20-%20Feedstock%20Production/Agricultural%20Yields/Cost%20of%20Corn%20Stover%20-%20Too%20low.pdf</t>
        </r>
      </text>
    </comment>
    <comment ref="E16" authorId="0" shapeId="0">
      <text>
        <r>
          <rPr>
            <b/>
            <sz val="9"/>
            <color indexed="81"/>
            <rFont val="Tahoma"/>
            <family val="2"/>
          </rPr>
          <t>Jacks074:</t>
        </r>
        <r>
          <rPr>
            <sz val="9"/>
            <color indexed="81"/>
            <rFont val="Tahoma"/>
            <family val="2"/>
          </rPr>
          <t xml:space="preserve">
First part is cost of electricity - second is cost to pay back capital (mainpulated total MESP and back-solved for Capital Pay-back reqd)</t>
        </r>
      </text>
    </comment>
    <comment ref="B17" authorId="0" shapeId="0">
      <text>
        <r>
          <rPr>
            <b/>
            <sz val="9"/>
            <color indexed="81"/>
            <rFont val="Tahoma"/>
            <family val="2"/>
          </rPr>
          <t>Jacks074:</t>
        </r>
        <r>
          <rPr>
            <sz val="9"/>
            <color indexed="81"/>
            <rFont val="Tahoma"/>
            <family val="2"/>
          </rPr>
          <t xml:space="preserve">
kg Stover from 351 Acres</t>
        </r>
      </text>
    </comment>
    <comment ref="D17" authorId="0" shapeId="0">
      <text>
        <r>
          <rPr>
            <b/>
            <sz val="9"/>
            <color indexed="81"/>
            <rFont val="Tahoma"/>
            <family val="2"/>
          </rPr>
          <t>Jacks074:</t>
        </r>
        <r>
          <rPr>
            <sz val="9"/>
            <color indexed="81"/>
            <rFont val="Tahoma"/>
            <family val="2"/>
          </rPr>
          <t xml:space="preserve">
1500 lb bales</t>
        </r>
      </text>
    </comment>
    <comment ref="E17" authorId="0" shapeId="0">
      <text>
        <r>
          <rPr>
            <b/>
            <sz val="9"/>
            <color indexed="81"/>
            <rFont val="Tahoma"/>
            <family val="2"/>
          </rPr>
          <t>Jacks074:</t>
        </r>
        <r>
          <rPr>
            <sz val="9"/>
            <color indexed="81"/>
            <rFont val="Tahoma"/>
            <family val="2"/>
          </rPr>
          <t xml:space="preserve">
208 kWh/ha for all of Block 200 Electricity</t>
        </r>
      </text>
    </comment>
    <comment ref="C24" authorId="0" shapeId="0">
      <text>
        <r>
          <rPr>
            <b/>
            <sz val="9"/>
            <color indexed="81"/>
            <rFont val="Tahoma"/>
            <family val="2"/>
          </rPr>
          <t>Jacks074:</t>
        </r>
        <r>
          <rPr>
            <sz val="9"/>
            <color indexed="81"/>
            <rFont val="Tahoma"/>
            <family val="2"/>
          </rPr>
          <t xml:space="preserve">
also Energy, anything which scales with production rate
(!) not necessarily linear scale</t>
        </r>
      </text>
    </comment>
    <comment ref="A26" authorId="0" shapeId="0">
      <text>
        <r>
          <rPr>
            <b/>
            <sz val="9"/>
            <color indexed="81"/>
            <rFont val="Tahoma"/>
            <family val="2"/>
          </rPr>
          <t>Jacks074:</t>
        </r>
        <r>
          <rPr>
            <sz val="9"/>
            <color indexed="81"/>
            <rFont val="Tahoma"/>
            <family val="2"/>
          </rPr>
          <t xml:space="preserve">
NREL has;
Sorbitol (0.69 c/gal)
CSL x2 (0.13 c/gal)
Cooling Tower Chem (0.10 c/gal ethanol)
Ash Disposal (2.5 c/gal)</t>
        </r>
      </text>
    </comment>
    <comment ref="B26" authorId="0" shapeId="0">
      <text>
        <r>
          <rPr>
            <b/>
            <sz val="9"/>
            <color indexed="81"/>
            <rFont val="Tahoma"/>
            <family val="2"/>
          </rPr>
          <t>Jacks074:</t>
        </r>
        <r>
          <rPr>
            <sz val="9"/>
            <color indexed="81"/>
            <rFont val="Tahoma"/>
            <family val="2"/>
          </rPr>
          <t xml:space="preserve">
verify these align with the size of the BPP (on a per ha basis - check)</t>
        </r>
      </text>
    </comment>
    <comment ref="G27" authorId="0" shapeId="0">
      <text>
        <r>
          <rPr>
            <b/>
            <sz val="9"/>
            <color indexed="81"/>
            <rFont val="Tahoma"/>
            <family val="2"/>
          </rPr>
          <t>Jacks074:</t>
        </r>
        <r>
          <rPr>
            <sz val="9"/>
            <color indexed="81"/>
            <rFont val="Tahoma"/>
            <family val="2"/>
          </rPr>
          <t xml:space="preserve">
Sum of two water categories is about 4x compared to NREL's "Replacement Water" - Confirm that this is a comparable category</t>
        </r>
      </text>
    </comment>
    <comment ref="B33" authorId="0" shapeId="0">
      <text>
        <r>
          <rPr>
            <b/>
            <sz val="9"/>
            <color indexed="81"/>
            <rFont val="Tahoma"/>
            <family val="2"/>
          </rPr>
          <t>Jacks074:</t>
        </r>
        <r>
          <rPr>
            <sz val="9"/>
            <color indexed="81"/>
            <rFont val="Tahoma"/>
            <family val="2"/>
          </rPr>
          <t xml:space="preserve">
NREL's Humbird expects the Enzymatic Production Step to take 1/10 the NH3 from DAH</t>
        </r>
      </text>
    </comment>
    <comment ref="B35" authorId="0" shapeId="0">
      <text>
        <r>
          <rPr>
            <b/>
            <sz val="9"/>
            <color indexed="81"/>
            <rFont val="Tahoma"/>
            <family val="2"/>
          </rPr>
          <t>Jacks074:</t>
        </r>
        <r>
          <rPr>
            <sz val="9"/>
            <color indexed="81"/>
            <rFont val="Tahoma"/>
            <family val="2"/>
          </rPr>
          <t xml:space="preserve">
Values in Red are Obnamia quantities (backed out from impact data) that have </t>
        </r>
        <r>
          <rPr>
            <i/>
            <sz val="9"/>
            <color indexed="81"/>
            <rFont val="Tahoma"/>
            <family val="2"/>
          </rPr>
          <t>replaced</t>
        </r>
        <r>
          <rPr>
            <sz val="9"/>
            <color indexed="81"/>
            <rFont val="Tahoma"/>
            <family val="2"/>
          </rPr>
          <t xml:space="preserve"> values I previously found (likely erroneously) from Humbird.  It is important to note that the cost per unit and total cost gives the amount of the unit used, and it seems to consistently be well aligned with Obnamia, and not my attempt. (hence their use here)</t>
        </r>
      </text>
    </comment>
    <comment ref="B43" authorId="0" shapeId="0">
      <text>
        <r>
          <rPr>
            <b/>
            <sz val="9"/>
            <color indexed="81"/>
            <rFont val="Tahoma"/>
            <family val="2"/>
          </rPr>
          <t>Jacks074:</t>
        </r>
        <r>
          <rPr>
            <sz val="9"/>
            <color indexed="81"/>
            <rFont val="Tahoma"/>
            <family val="2"/>
          </rPr>
          <t xml:space="preserve">
Quantities in Blue are Obnamia (backed out) quantities that I did not come up with a value for yet (i.e. could not find in Humbird)</t>
        </r>
      </text>
    </comment>
    <comment ref="C43" authorId="0" shapeId="0">
      <text>
        <r>
          <rPr>
            <b/>
            <sz val="9"/>
            <color indexed="81"/>
            <rFont val="Tahoma"/>
            <family val="2"/>
          </rPr>
          <t>Jacks074:</t>
        </r>
        <r>
          <rPr>
            <sz val="9"/>
            <color indexed="81"/>
            <rFont val="Tahoma"/>
            <family val="2"/>
          </rPr>
          <t xml:space="preserve">
$/gal
From NREL's Humbird Report</t>
        </r>
      </text>
    </comment>
    <comment ref="F49" authorId="0" shapeId="0">
      <text>
        <r>
          <rPr>
            <b/>
            <sz val="9"/>
            <color indexed="81"/>
            <rFont val="Tahoma"/>
            <family val="2"/>
          </rPr>
          <t>Jacks074:</t>
        </r>
        <r>
          <rPr>
            <sz val="9"/>
            <color indexed="81"/>
            <rFont val="Tahoma"/>
            <family val="2"/>
          </rPr>
          <t xml:space="preserve">
NREL claims another .6 cent per gallon EtOH credit for feedstock handling which I have not yet worked out.  A few more categories are not shown as well</t>
        </r>
      </text>
    </comment>
    <comment ref="E53" authorId="0" shapeId="0">
      <text>
        <r>
          <rPr>
            <b/>
            <sz val="9"/>
            <color indexed="81"/>
            <rFont val="Tahoma"/>
            <family val="2"/>
          </rPr>
          <t>Jacks074:</t>
        </r>
        <r>
          <rPr>
            <sz val="9"/>
            <color indexed="81"/>
            <rFont val="Tahoma"/>
            <family val="2"/>
          </rPr>
          <t xml:space="preserve">
Assumes 90% Labor Burden</t>
        </r>
      </text>
    </comment>
    <comment ref="I67" authorId="0" shapeId="0">
      <text>
        <r>
          <rPr>
            <b/>
            <sz val="9"/>
            <color indexed="81"/>
            <rFont val="Tahoma"/>
            <family val="2"/>
          </rPr>
          <t>Jacks074:</t>
        </r>
        <r>
          <rPr>
            <sz val="9"/>
            <color indexed="81"/>
            <rFont val="Tahoma"/>
            <family val="2"/>
          </rPr>
          <t xml:space="preserve">
Both NREL and this model exclude the Hammer mill/preprocessing block and incorporate that cost into the cost of the Corn Stover Feedstock</t>
        </r>
      </text>
    </comment>
    <comment ref="F72" authorId="0" shapeId="0">
      <text>
        <r>
          <rPr>
            <b/>
            <sz val="9"/>
            <color indexed="81"/>
            <rFont val="Tahoma"/>
            <family val="2"/>
          </rPr>
          <t>Jacks074:</t>
        </r>
        <r>
          <rPr>
            <sz val="9"/>
            <color indexed="81"/>
            <rFont val="Tahoma"/>
            <family val="2"/>
          </rPr>
          <t xml:space="preserve">
NREL:
10% Prorateable
10% Field Expenses
20% Home Office/Construction Fees
10% Project Contingency
10% Other Costs (Start Up)</t>
        </r>
      </text>
    </comment>
    <comment ref="E74" authorId="0" shapeId="0">
      <text>
        <r>
          <rPr>
            <b/>
            <sz val="9"/>
            <color indexed="81"/>
            <rFont val="Tahoma"/>
            <family val="2"/>
          </rPr>
          <t>Jacks074:</t>
        </r>
        <r>
          <rPr>
            <sz val="9"/>
            <color indexed="81"/>
            <rFont val="Tahoma"/>
            <family val="2"/>
          </rPr>
          <t xml:space="preserve">
These are broken down as there are two different deprec. Rates.</t>
        </r>
      </text>
    </comment>
    <comment ref="C89" authorId="0" shapeId="0">
      <text>
        <r>
          <rPr>
            <b/>
            <sz val="9"/>
            <color indexed="81"/>
            <rFont val="Tahoma"/>
            <family val="2"/>
          </rPr>
          <t>Jacks074:</t>
        </r>
        <r>
          <rPr>
            <sz val="9"/>
            <color indexed="81"/>
            <rFont val="Tahoma"/>
            <family val="2"/>
          </rPr>
          <t xml:space="preserve">
Correspond to a feedstock input flowrate of 773,000 tons of dried stover per year (NREL page 12)</t>
        </r>
      </text>
    </comment>
    <comment ref="F92" authorId="0" shapeId="0">
      <text>
        <r>
          <rPr>
            <b/>
            <sz val="9"/>
            <color indexed="81"/>
            <rFont val="Tahoma"/>
            <family val="2"/>
          </rPr>
          <t>Jacks074:</t>
        </r>
        <r>
          <rPr>
            <sz val="9"/>
            <color indexed="81"/>
            <rFont val="Tahoma"/>
            <family val="2"/>
          </rPr>
          <t xml:space="preserve">
Scaled here rather than one cell above
</t>
        </r>
      </text>
    </comment>
    <comment ref="F95" authorId="0" shapeId="0">
      <text>
        <r>
          <rPr>
            <b/>
            <sz val="9"/>
            <color indexed="81"/>
            <rFont val="Tahoma"/>
            <family val="2"/>
          </rPr>
          <t>Jacks074:</t>
        </r>
        <r>
          <rPr>
            <sz val="9"/>
            <color indexed="81"/>
            <rFont val="Tahoma"/>
            <family val="2"/>
          </rPr>
          <t xml:space="preserve">
NREL does not scale the land at all when cell d1 is changed</t>
        </r>
      </text>
    </comment>
    <comment ref="B130" authorId="0" shapeId="0">
      <text>
        <r>
          <rPr>
            <b/>
            <sz val="9"/>
            <color indexed="81"/>
            <rFont val="Tahoma"/>
            <family val="2"/>
          </rPr>
          <t>Jacks074:</t>
        </r>
        <r>
          <rPr>
            <sz val="9"/>
            <color indexed="81"/>
            <rFont val="Tahoma"/>
            <family val="2"/>
          </rPr>
          <t xml:space="preserve">
Note that, though exported, electricity is not evaluated as a true product as the revenue has been incorporated into the Operational Expenses which correspond to running the plant</t>
        </r>
      </text>
    </comment>
    <comment ref="G137" authorId="0" shapeId="0">
      <text>
        <r>
          <rPr>
            <b/>
            <sz val="9"/>
            <color indexed="81"/>
            <rFont val="Tahoma"/>
            <family val="2"/>
          </rPr>
          <t>Jacks074:</t>
        </r>
        <r>
          <rPr>
            <sz val="9"/>
            <color indexed="81"/>
            <rFont val="Tahoma"/>
            <family val="2"/>
          </rPr>
          <t xml:space="preserve">
The IRS defines 7-yr Property types for that particular Recovery Period: in short, all property not explicitly defined by the IRS (i.e. a Biofuel Production Facility) falls into the 7-yr recovery period plan</t>
        </r>
      </text>
    </comment>
    <comment ref="F152" authorId="0" shapeId="0">
      <text>
        <r>
          <rPr>
            <b/>
            <sz val="9"/>
            <color indexed="81"/>
            <rFont val="Tahoma"/>
            <family val="2"/>
          </rPr>
          <t>Jacks074:</t>
        </r>
        <r>
          <rPr>
            <sz val="9"/>
            <color indexed="81"/>
            <rFont val="Tahoma"/>
            <family val="2"/>
          </rPr>
          <t xml:space="preserve">
Why does this include the payment of interest but not the principle Loan amount?</t>
        </r>
      </text>
    </comment>
    <comment ref="A164" authorId="0" shapeId="0">
      <text>
        <r>
          <rPr>
            <b/>
            <sz val="9"/>
            <color indexed="81"/>
            <rFont val="Tahoma"/>
            <family val="2"/>
          </rPr>
          <t>Jacks074:</t>
        </r>
        <r>
          <rPr>
            <sz val="9"/>
            <color indexed="81"/>
            <rFont val="Tahoma"/>
            <family val="2"/>
          </rPr>
          <t xml:space="preserve">
Just from Ethanol Sales
</t>
        </r>
      </text>
    </comment>
    <comment ref="A165" authorId="0" shapeId="0">
      <text>
        <r>
          <rPr>
            <b/>
            <sz val="9"/>
            <color indexed="81"/>
            <rFont val="Tahoma"/>
            <family val="2"/>
          </rPr>
          <t>Jacks074:</t>
        </r>
        <r>
          <rPr>
            <sz val="9"/>
            <color indexed="81"/>
            <rFont val="Tahoma"/>
            <family val="2"/>
          </rPr>
          <t xml:space="preserve">
Cash Flow Balance for Calculation of Taxes
</t>
        </r>
      </text>
    </comment>
  </commentList>
</comments>
</file>

<file path=xl/comments7.xml><?xml version="1.0" encoding="utf-8"?>
<comments xmlns="http://schemas.openxmlformats.org/spreadsheetml/2006/main">
  <authors>
    <author>Jacks074</author>
  </authors>
  <commentList>
    <comment ref="D4" authorId="0" shapeId="0">
      <text>
        <r>
          <rPr>
            <b/>
            <sz val="9"/>
            <color indexed="81"/>
            <rFont val="Tahoma"/>
            <family val="2"/>
          </rPr>
          <t>Jacks074:</t>
        </r>
        <r>
          <rPr>
            <sz val="9"/>
            <color indexed="81"/>
            <rFont val="Tahoma"/>
            <family val="2"/>
          </rPr>
          <t xml:space="preserve">
789 kg/m3 
and 
1000 L/m3</t>
        </r>
      </text>
    </comment>
  </commentList>
</comments>
</file>

<file path=xl/comments8.xml><?xml version="1.0" encoding="utf-8"?>
<comments xmlns="http://schemas.openxmlformats.org/spreadsheetml/2006/main">
  <authors>
    <author>Jacks074</author>
  </authors>
  <commentList>
    <comment ref="G19" authorId="0" shapeId="0">
      <text>
        <r>
          <rPr>
            <b/>
            <sz val="9"/>
            <color indexed="81"/>
            <rFont val="Tahoma"/>
            <family val="2"/>
          </rPr>
          <t>Jacks074:</t>
        </r>
        <r>
          <rPr>
            <sz val="9"/>
            <color indexed="81"/>
            <rFont val="Tahoma"/>
            <family val="2"/>
          </rPr>
          <t xml:space="preserve">
Sum of the Water, Acid, Base, and Corn Stover</t>
        </r>
      </text>
    </comment>
    <comment ref="B22" authorId="0" shapeId="0">
      <text>
        <r>
          <rPr>
            <b/>
            <sz val="9"/>
            <color indexed="81"/>
            <rFont val="Tahoma"/>
            <family val="2"/>
          </rPr>
          <t>Jacks074:</t>
        </r>
        <r>
          <rPr>
            <sz val="9"/>
            <color indexed="81"/>
            <rFont val="Tahoma"/>
            <family val="2"/>
          </rPr>
          <t xml:space="preserve">
Preliminary Validation against ES's Guayule model; close (lean end)</t>
        </r>
      </text>
    </comment>
    <comment ref="F22" authorId="0" shapeId="0">
      <text>
        <r>
          <rPr>
            <b/>
            <sz val="9"/>
            <color indexed="81"/>
            <rFont val="Tahoma"/>
            <family val="2"/>
          </rPr>
          <t>Jacks074:</t>
        </r>
        <r>
          <rPr>
            <sz val="9"/>
            <color indexed="81"/>
            <rFont val="Tahoma"/>
            <family val="2"/>
          </rPr>
          <t xml:space="preserve">
Unvalidated</t>
        </r>
      </text>
    </comment>
    <comment ref="J22" authorId="0" shapeId="0">
      <text>
        <r>
          <rPr>
            <b/>
            <sz val="9"/>
            <color indexed="81"/>
            <rFont val="Tahoma"/>
            <family val="2"/>
          </rPr>
          <t>Jacks074:</t>
        </r>
        <r>
          <rPr>
            <sz val="9"/>
            <color indexed="81"/>
            <rFont val="Tahoma"/>
            <family val="2"/>
          </rPr>
          <t xml:space="preserve">
Way too low; I am not satisfied with my method here, might be worth it to look for an outside source. For now, placeholder value</t>
        </r>
      </text>
    </comment>
    <comment ref="B46" authorId="0" shapeId="0">
      <text>
        <r>
          <rPr>
            <b/>
            <sz val="9"/>
            <color indexed="81"/>
            <rFont val="Tahoma"/>
            <family val="2"/>
          </rPr>
          <t>Jacks074:</t>
        </r>
        <r>
          <rPr>
            <sz val="9"/>
            <color indexed="81"/>
            <rFont val="Tahoma"/>
            <family val="2"/>
          </rPr>
          <t xml:space="preserve">
Falls very very close to the value presented in Yang</t>
        </r>
      </text>
    </comment>
  </commentList>
</comments>
</file>

<file path=xl/sharedStrings.xml><?xml version="1.0" encoding="utf-8"?>
<sst xmlns="http://schemas.openxmlformats.org/spreadsheetml/2006/main" count="1803" uniqueCount="1102">
  <si>
    <t>Agriculture Production Process - Block 100</t>
  </si>
  <si>
    <t>Size Reduction Process - Comminution - Block 200</t>
  </si>
  <si>
    <t>Dilute Acid Hydrolysis - Block 300</t>
  </si>
  <si>
    <t>Enzymatic Hydrolysis - Block 400</t>
  </si>
  <si>
    <t>Enzyme Production - Block 500</t>
  </si>
  <si>
    <t>Fermentation - Block 600</t>
  </si>
  <si>
    <t>Bushel/Acre</t>
  </si>
  <si>
    <t>ha</t>
  </si>
  <si>
    <t>kg/ha</t>
  </si>
  <si>
    <t>(Total Yield)</t>
  </si>
  <si>
    <t>(Available for Process)</t>
  </si>
  <si>
    <t>kg Corn Stover</t>
  </si>
  <si>
    <t>Inputs</t>
  </si>
  <si>
    <t>miles</t>
  </si>
  <si>
    <t>Storage and Transportation to Biorefinery - Block 190</t>
  </si>
  <si>
    <t>Lime Use - State Avgs</t>
  </si>
  <si>
    <t>Soil pH Management - Block 140</t>
  </si>
  <si>
    <t xml:space="preserve"> </t>
  </si>
  <si>
    <t>Corn Water Consumpt</t>
  </si>
  <si>
    <t>Arable Land:</t>
  </si>
  <si>
    <t>Corn Yield:</t>
  </si>
  <si>
    <t>Area</t>
  </si>
  <si>
    <t>Hectare to Acre</t>
  </si>
  <si>
    <t>acres</t>
  </si>
  <si>
    <t>Mass</t>
  </si>
  <si>
    <t>Bushel Corn</t>
  </si>
  <si>
    <t>kg</t>
  </si>
  <si>
    <t>Outputs</t>
  </si>
  <si>
    <t>Fertilizers (N,P,K) - Block 130</t>
  </si>
  <si>
    <t>Herbicide - Block 160</t>
  </si>
  <si>
    <t>(Conversions and Yield)</t>
  </si>
  <si>
    <t>Acres</t>
  </si>
  <si>
    <t>ft2</t>
  </si>
  <si>
    <t>100 Ft2 to Acre</t>
  </si>
  <si>
    <t>kg Lime/Acre</t>
  </si>
  <si>
    <t>Lime Treat.:</t>
  </si>
  <si>
    <t>lbs to kg</t>
  </si>
  <si>
    <t>lb</t>
  </si>
  <si>
    <t>Estim./Avg Use Lime</t>
  </si>
  <si>
    <t>Seeds/Acre</t>
  </si>
  <si>
    <t>Purdue Avg Est.</t>
  </si>
  <si>
    <t>Land Dedication and Seeding - Block 110</t>
  </si>
  <si>
    <t>Seeds/ha</t>
  </si>
  <si>
    <t>ha Seeded (S) Land</t>
  </si>
  <si>
    <t>ha S, Watered (W) Land</t>
  </si>
  <si>
    <t>ha S, W, Fertilized (F) Land</t>
  </si>
  <si>
    <t>ha S, W, F, Limed (L) Land</t>
  </si>
  <si>
    <t>kg N/ha</t>
  </si>
  <si>
    <t>kg Lime/ha</t>
  </si>
  <si>
    <t>Herbicide:</t>
  </si>
  <si>
    <t>Type of Herbicide</t>
  </si>
  <si>
    <t>Atrazine</t>
  </si>
  <si>
    <t>lbs Atrazine/acre</t>
  </si>
  <si>
    <t>kg Atrazine/acre</t>
  </si>
  <si>
    <t>kg Atrazine/ha</t>
  </si>
  <si>
    <t>ha S, W, F, L, Herbicide Treated (H) Land</t>
  </si>
  <si>
    <t>Labor:</t>
  </si>
  <si>
    <t>hours/ha</t>
  </si>
  <si>
    <t>ha, Fully_Treated Land</t>
  </si>
  <si>
    <t>Treated Land:</t>
  </si>
  <si>
    <t>ha Fully Treated Land</t>
  </si>
  <si>
    <t>kg Corn Stover/ha</t>
  </si>
  <si>
    <t>kg Stover/ha</t>
  </si>
  <si>
    <t>Diesel:</t>
  </si>
  <si>
    <t>hours/acre</t>
  </si>
  <si>
    <t>USDA Corn Breakdown</t>
  </si>
  <si>
    <t>Gallons/acre</t>
  </si>
  <si>
    <t>Gallons/ha</t>
  </si>
  <si>
    <t>Liters/ha</t>
  </si>
  <si>
    <t>Volume</t>
  </si>
  <si>
    <t>Bushels Corn - kg</t>
  </si>
  <si>
    <t>Gallons to L</t>
  </si>
  <si>
    <t>gal</t>
  </si>
  <si>
    <t>Liters</t>
  </si>
  <si>
    <t>Liters Diesel/ha</t>
  </si>
  <si>
    <t>Transport:</t>
  </si>
  <si>
    <t>Biomass:</t>
  </si>
  <si>
    <t>km</t>
  </si>
  <si>
    <t>Length</t>
  </si>
  <si>
    <t>Miles to km</t>
  </si>
  <si>
    <t>mi</t>
  </si>
  <si>
    <t>Trucks:</t>
  </si>
  <si>
    <t>Trucks</t>
  </si>
  <si>
    <t>Truck Capacity, Tonnes</t>
  </si>
  <si>
    <t>Trucks Required</t>
  </si>
  <si>
    <t>NASS Fert Data</t>
  </si>
  <si>
    <t>lb N/Acre</t>
  </si>
  <si>
    <t>lb K2O/Acre</t>
  </si>
  <si>
    <t>lb P2O5/Acre</t>
  </si>
  <si>
    <t>kg P2O5/ha</t>
  </si>
  <si>
    <t>kg K2O/ha</t>
  </si>
  <si>
    <t>Distribution and End-Use - Block 900</t>
  </si>
  <si>
    <t>Corn Stover Biomass:</t>
  </si>
  <si>
    <t>Electricity:</t>
  </si>
  <si>
    <t>kg Stover to BP/ha</t>
  </si>
  <si>
    <t>(Conversion and Yield)</t>
  </si>
  <si>
    <t>kWh/tonne stover</t>
  </si>
  <si>
    <t>Energy</t>
  </si>
  <si>
    <t>kWh</t>
  </si>
  <si>
    <t>MJ</t>
  </si>
  <si>
    <t>kWh to MJ (Elec)</t>
  </si>
  <si>
    <t>MJ/kg stover BM</t>
  </si>
  <si>
    <t>Size Reduction</t>
  </si>
  <si>
    <t>BM Pass-through</t>
  </si>
  <si>
    <t>Size-Red. Biomass:</t>
  </si>
  <si>
    <t>kg SR Stover/ha</t>
  </si>
  <si>
    <t>Water:</t>
  </si>
  <si>
    <t>Acid (H2SO4):</t>
  </si>
  <si>
    <t>Base (NH3):</t>
  </si>
  <si>
    <t>kg H20/ha</t>
  </si>
  <si>
    <t>kg H2SO4/ha</t>
  </si>
  <si>
    <t>kg NH3/ha</t>
  </si>
  <si>
    <t>MJ/ha</t>
  </si>
  <si>
    <t>Ratio Water/Stover</t>
  </si>
  <si>
    <t>Percent Acid by Weight</t>
  </si>
  <si>
    <t>Molar Mass H2SO4 (g/mol)</t>
  </si>
  <si>
    <t>Molar Mass NH3 (g/mol)</t>
  </si>
  <si>
    <t>Base to Neutralize (kg NH3/kg H2SO4)</t>
  </si>
  <si>
    <t>C_p Water (kJ/kg*C)</t>
  </si>
  <si>
    <t>C_p H2SO4 (kJ/kg*C)</t>
  </si>
  <si>
    <t>Final Temp (*C)</t>
  </si>
  <si>
    <t>Avg Temp (*C)</t>
  </si>
  <si>
    <t>Q_Required (MJ)</t>
  </si>
  <si>
    <t>C_p Stover (kJ/kg*C)</t>
  </si>
  <si>
    <t>Heating Energy:</t>
  </si>
  <si>
    <t>Dilute Acid Hydroly.</t>
  </si>
  <si>
    <t>C_p Values NCBI</t>
  </si>
  <si>
    <t>** Initial Corn Stover Chemical Makeup **</t>
  </si>
  <si>
    <t>Cellulose</t>
  </si>
  <si>
    <t>Hemicellulose</t>
  </si>
  <si>
    <t>Lignin</t>
  </si>
  <si>
    <t>Ash (Non-convert.)</t>
  </si>
  <si>
    <t>Extractives</t>
  </si>
  <si>
    <t>Corn Stover Comp</t>
  </si>
  <si>
    <t>** DAH Chemical Makeup After Conversion **</t>
  </si>
  <si>
    <t>Cellulose to Glucose</t>
  </si>
  <si>
    <t>Hemicellulose to Xylose</t>
  </si>
  <si>
    <t>Glucose</t>
  </si>
  <si>
    <t>Xylose</t>
  </si>
  <si>
    <t>kg Comm. Stover/ha</t>
  </si>
  <si>
    <t>Total Mass Conv.</t>
  </si>
  <si>
    <t>Pre-Hydrolysate:</t>
  </si>
  <si>
    <t>kg PreHydrolysate_Slurry/ha</t>
  </si>
  <si>
    <t>kg Stover_PostDAH/ha</t>
  </si>
  <si>
    <t>Stover_PostDAH:</t>
  </si>
  <si>
    <t>Enzyme:</t>
  </si>
  <si>
    <t>kg Cellulase/ha</t>
  </si>
  <si>
    <t>kg H2O/ha</t>
  </si>
  <si>
    <t>Ratio Water/Prehydrolysate</t>
  </si>
  <si>
    <t>Ratio Cellulase/Cellulose</t>
  </si>
  <si>
    <t>NREL Humbird</t>
  </si>
  <si>
    <t>Initial Temp Slurry *C</t>
  </si>
  <si>
    <t>Final Temp Slurry *C</t>
  </si>
  <si>
    <t>Conversion Rates:</t>
  </si>
  <si>
    <t>Glucan to Glucose</t>
  </si>
  <si>
    <t>**Chemical Makeup after Enzymatic Hydrolysis**</t>
  </si>
  <si>
    <t>kg Hydrolysate/ha</t>
  </si>
  <si>
    <t>kg Stover_PostEH/ha</t>
  </si>
  <si>
    <t>Final Protein Titer:</t>
  </si>
  <si>
    <t>g/L</t>
  </si>
  <si>
    <t>Calcium Chloride:</t>
  </si>
  <si>
    <t>Magnesium Sulfate:</t>
  </si>
  <si>
    <t>Potassium Phosphate:</t>
  </si>
  <si>
    <t>Ammonium Sulfate:</t>
  </si>
  <si>
    <t>v/v</t>
  </si>
  <si>
    <t>Corn Oil:</t>
  </si>
  <si>
    <t>w/w</t>
  </si>
  <si>
    <t>Corn Steep Liquor:</t>
  </si>
  <si>
    <t>SO2:</t>
  </si>
  <si>
    <t>Ammonia:</t>
  </si>
  <si>
    <t>kg/kg Cell.</t>
  </si>
  <si>
    <t>Glucose:</t>
  </si>
  <si>
    <t>Ammonia</t>
  </si>
  <si>
    <t>kWh/kg Cell.</t>
  </si>
  <si>
    <t>Cellulase Required:</t>
  </si>
  <si>
    <t>Glucose per ha:</t>
  </si>
  <si>
    <t>kg Glucose/ha</t>
  </si>
  <si>
    <t>Glucose Req'd:</t>
  </si>
  <si>
    <t>Hydrolysate:</t>
  </si>
  <si>
    <t>Treated Biomass:</t>
  </si>
  <si>
    <t>Glucose to Ethanol</t>
  </si>
  <si>
    <t>Xylose to Ethanol</t>
  </si>
  <si>
    <t>Restate Amounts:</t>
  </si>
  <si>
    <t>Glucose Proportion</t>
  </si>
  <si>
    <t>Xylose Propotion</t>
  </si>
  <si>
    <t>Proport. BM to Eth:</t>
  </si>
  <si>
    <t>kg Ethanol/kg BM</t>
  </si>
  <si>
    <t>kg Ethanol/ha</t>
  </si>
  <si>
    <t>Bioprocessing and Conversion - Blocks 200-600</t>
  </si>
  <si>
    <t>kg Corn Beer/ha</t>
  </si>
  <si>
    <t>Corn Beer:</t>
  </si>
  <si>
    <t>Maximum Stoich Conv:</t>
  </si>
  <si>
    <t>Max Gluc to Ethanol</t>
  </si>
  <si>
    <t>Gluc to Ethn Conv.</t>
  </si>
  <si>
    <t>Tumbalam</t>
  </si>
  <si>
    <t>Electricity Power:</t>
  </si>
  <si>
    <t>Heat Power:</t>
  </si>
  <si>
    <t>Yang et al - Sust. Dist</t>
  </si>
  <si>
    <t>L eth Prod/kWh Elec.</t>
  </si>
  <si>
    <t>Distillation and Dehydration - Block 700</t>
  </si>
  <si>
    <t>Hydrous Eth Analys.</t>
  </si>
  <si>
    <t>MJ/L eth Produced</t>
  </si>
  <si>
    <t>MJ Elec/ha</t>
  </si>
  <si>
    <t>MJ Heat/ha</t>
  </si>
  <si>
    <t>kg ethanol</t>
  </si>
  <si>
    <t>Custom</t>
  </si>
  <si>
    <t>L Ethanol</t>
  </si>
  <si>
    <t>kg Ethanol to L</t>
  </si>
  <si>
    <t>kg CO_2/ha</t>
  </si>
  <si>
    <t>kg Water/ha</t>
  </si>
  <si>
    <t>kg Lignin/ha</t>
  </si>
  <si>
    <t>Gal Eth/Ton Stover</t>
  </si>
  <si>
    <t>kg to Ton</t>
  </si>
  <si>
    <t>ton</t>
  </si>
  <si>
    <t>L Anhydrous Eth/ha</t>
  </si>
  <si>
    <t>Gal Anhydr. Eth/ha</t>
  </si>
  <si>
    <t>Or</t>
  </si>
  <si>
    <t>Gal Eth/Bu Corn Grain</t>
  </si>
  <si>
    <t>ton to bushel</t>
  </si>
  <si>
    <t>bushel</t>
  </si>
  <si>
    <t>kg to Bushel</t>
  </si>
  <si>
    <t>Bushel</t>
  </si>
  <si>
    <t>(about 2.8 gal/bu for corn grain)</t>
  </si>
  <si>
    <t>NREL Aden</t>
  </si>
  <si>
    <t>Co-Product:</t>
  </si>
  <si>
    <t>Main Product:</t>
  </si>
  <si>
    <t>kg Anhydrous Ethanol</t>
  </si>
  <si>
    <t>Gallons to acre-feet</t>
  </si>
  <si>
    <t>acre-feet</t>
  </si>
  <si>
    <t>Lime Treatment Use</t>
  </si>
  <si>
    <t>Herbicide (Atrazine) Use</t>
  </si>
  <si>
    <t>Labor for Crop Operations (h)</t>
  </si>
  <si>
    <t>Diesel for Crop Operation (gal)</t>
  </si>
  <si>
    <t>h/ha</t>
  </si>
  <si>
    <t>gal/ha</t>
  </si>
  <si>
    <t>Dilution Water DAHydrolysis</t>
  </si>
  <si>
    <t>Sulfuric Acid for DAH</t>
  </si>
  <si>
    <t>Ammonia (Base) for DAH</t>
  </si>
  <si>
    <t>Heating Energy for DAH</t>
  </si>
  <si>
    <t>Glucose Stream for EP</t>
  </si>
  <si>
    <t>Corn Steep Liquor for EP</t>
  </si>
  <si>
    <t>Ammonia for EP</t>
  </si>
  <si>
    <t>SO2 for Enzyme Production (EP)</t>
  </si>
  <si>
    <t>Corn Oil for EP</t>
  </si>
  <si>
    <t>Ammonium Sulfate for EP</t>
  </si>
  <si>
    <t>Potassium Phosphate for EP</t>
  </si>
  <si>
    <t>Metabolic Conversion:</t>
  </si>
  <si>
    <t>Heating Power Dist/Dehydra.</t>
  </si>
  <si>
    <t>Magnesium Sulfate for EP</t>
  </si>
  <si>
    <t>Value</t>
  </si>
  <si>
    <t>Input</t>
  </si>
  <si>
    <t>Unit</t>
  </si>
  <si>
    <t>Block</t>
  </si>
  <si>
    <t>hp</t>
  </si>
  <si>
    <t>kW</t>
  </si>
  <si>
    <t>Equipment List from Humbird</t>
  </si>
  <si>
    <t>Tranfer Conveyor</t>
  </si>
  <si>
    <t>High Angle Conveyor</t>
  </si>
  <si>
    <t>Reversing Load-in Conveyor</t>
  </si>
  <si>
    <t>Dome Reclaim System</t>
  </si>
  <si>
    <t>Reclaim Conveyor</t>
  </si>
  <si>
    <t>High Angle Transfer Conveyor</t>
  </si>
  <si>
    <t>Elevated Transfer Conveyor</t>
  </si>
  <si>
    <t>Process Feed Conveyor</t>
  </si>
  <si>
    <t>Truck Dumper</t>
  </si>
  <si>
    <t>Truck Dumper Hopper</t>
  </si>
  <si>
    <t>EQUIPMENT NAME</t>
  </si>
  <si>
    <t>POWER - HP</t>
  </si>
  <si>
    <t>NUM REQ'D</t>
  </si>
  <si>
    <t>hp to kW</t>
  </si>
  <si>
    <t>kW Subtotal:</t>
  </si>
  <si>
    <t>Mass Served:</t>
  </si>
  <si>
    <t>Mass Stover/ha:</t>
  </si>
  <si>
    <t>kWh/ha</t>
  </si>
  <si>
    <t>POWER (HP)</t>
  </si>
  <si>
    <t>Comminution Electricity:</t>
  </si>
  <si>
    <t>Block 200 - Size Reduction and Comminution E Req.</t>
  </si>
  <si>
    <t>kWh/kg Biomass moved:</t>
  </si>
  <si>
    <t>kWh/ha Farmland Serviced:</t>
  </si>
  <si>
    <t>MJ per ha load for handling Stover:</t>
  </si>
  <si>
    <t>Block 300 - Dilute Acid Hydrolysis E Req.</t>
  </si>
  <si>
    <t>Agitators and Mixers</t>
  </si>
  <si>
    <t>Plug Screw Feeder</t>
  </si>
  <si>
    <t>Conveyors (Belt)</t>
  </si>
  <si>
    <t>Blowdown Discharge Pump</t>
  </si>
  <si>
    <t>Flash Tank Discharge Pump</t>
  </si>
  <si>
    <t>Olig. Hold Tank Discharge Pump</t>
  </si>
  <si>
    <t>Reacidified Hydrolysate Pump</t>
  </si>
  <si>
    <t>kg/hr</t>
  </si>
  <si>
    <t>kWh/ha:</t>
  </si>
  <si>
    <t>kg hydr/hr</t>
  </si>
  <si>
    <t>Biomass/ha:</t>
  </si>
  <si>
    <t>kg phydr/hr</t>
  </si>
  <si>
    <t>kWh/kg phydr</t>
  </si>
  <si>
    <t>MJ per ha for Materials Handling:</t>
  </si>
  <si>
    <t>Hydrolysate Pump</t>
  </si>
  <si>
    <t>kg BM/hour</t>
  </si>
  <si>
    <t>kWh/kg BM</t>
  </si>
  <si>
    <t>Cooling Energy:</t>
  </si>
  <si>
    <t>Q_Required (MJ/ha)</t>
  </si>
  <si>
    <t>Fermentor Agitator:</t>
  </si>
  <si>
    <t>Seed Hold Tank Agitator:</t>
  </si>
  <si>
    <t>4th Seed Vessel Agitator:</t>
  </si>
  <si>
    <t>5th Seed Vessel Agitator:</t>
  </si>
  <si>
    <t>Beer Surge Tank Agitator:</t>
  </si>
  <si>
    <t>Enzyme-Hydrolysate Mixer:</t>
  </si>
  <si>
    <t>Fermentor Recirc/Trans Pump:</t>
  </si>
  <si>
    <t>Seed Hold Transfer Pump:</t>
  </si>
  <si>
    <t>Seed Transfer Pump:</t>
  </si>
  <si>
    <t>Beer Transfer Pump:</t>
  </si>
  <si>
    <t>Sacc. Transfer Pump:</t>
  </si>
  <si>
    <t>Biomass/ha</t>
  </si>
  <si>
    <t>kWh/kh Hydrolysate Moved:</t>
  </si>
  <si>
    <t>kWh/kg preHydrolysate Moved:</t>
  </si>
  <si>
    <t>kWh/kg hydr</t>
  </si>
  <si>
    <t>Block 700 - Dist/Dehydr E Req.</t>
  </si>
  <si>
    <t>Filtrate Tank Agitator:</t>
  </si>
  <si>
    <t>Lignin Belt Conveyor:</t>
  </si>
  <si>
    <t>Lignin Screw Conveyor:</t>
  </si>
  <si>
    <t>Pressure Filter Pressing Compressor:</t>
  </si>
  <si>
    <t>Pressure Filter Drying Compressor:</t>
  </si>
  <si>
    <t>Beer Column Bottom Recirc Pump:</t>
  </si>
  <si>
    <t>Beer Column Stilage Pump:</t>
  </si>
  <si>
    <t>Rectification Column Reflux Pump:</t>
  </si>
  <si>
    <t>Feed Pump:</t>
  </si>
  <si>
    <t>Manifold Flush Pump:</t>
  </si>
  <si>
    <t>Cloth Wash Pump:</t>
  </si>
  <si>
    <t>Filtrate Discharge Pump:</t>
  </si>
  <si>
    <t>kWh/kg Corn Beer Moved:</t>
  </si>
  <si>
    <t>Beer/ha</t>
  </si>
  <si>
    <t>kWh/kg Beer</t>
  </si>
  <si>
    <t>Cellulase Density:</t>
  </si>
  <si>
    <t>Cellulase Volume:</t>
  </si>
  <si>
    <t>L/ha</t>
  </si>
  <si>
    <t>Matr'l Handling Energy:</t>
  </si>
  <si>
    <t>Summarized Inputs and Outputs - Cellulosic Ethanol (Corn Stover)</t>
  </si>
  <si>
    <t>Major Inputs</t>
  </si>
  <si>
    <t>Major Outputs</t>
  </si>
  <si>
    <t>Land Use:</t>
  </si>
  <si>
    <t>Conversions Table</t>
  </si>
  <si>
    <t>Fuel Out:</t>
  </si>
  <si>
    <t>Gallons to m3</t>
  </si>
  <si>
    <t>m3</t>
  </si>
  <si>
    <t>Name Cells</t>
  </si>
  <si>
    <t>2015 E Balance CE</t>
  </si>
  <si>
    <t>Block 400/600 - EH and Fermentation E Req.</t>
  </si>
  <si>
    <t>Seeds Per ha</t>
  </si>
  <si>
    <t>EH Dilution Water</t>
  </si>
  <si>
    <t>Mat'l Handling Energy:</t>
  </si>
  <si>
    <t>Bioprocessing and Conversion - Block 200-600 - ENERGY INPUTS</t>
  </si>
  <si>
    <t>Agricultural Inputs - Block 100 - ENERGY INPUTS</t>
  </si>
  <si>
    <t>Distillation and Dehydration - Block 700-800 - MASS INPUTS</t>
  </si>
  <si>
    <t>Distillation and Dehydration - Block 700-800 - ENERGY INPUTS</t>
  </si>
  <si>
    <t>Dilution Water:</t>
  </si>
  <si>
    <t>Diesel for Crop Operation (MJ)</t>
  </si>
  <si>
    <t>Mass Sum</t>
  </si>
  <si>
    <t>Energy Sum</t>
  </si>
  <si>
    <t>Bioprocessing and Conversion - Block 200-600 - ENERGY OUTPUTS</t>
  </si>
  <si>
    <t>Bioprocessing and Conversion - Block 200-600 - MASS OUTPUTS</t>
  </si>
  <si>
    <t>Water From Distillation</t>
  </si>
  <si>
    <t>kg Lost BM/ha</t>
  </si>
  <si>
    <t>kg Waste Water/ha</t>
  </si>
  <si>
    <t>kg Corn Grain/ha</t>
  </si>
  <si>
    <t>kg seeds/ha</t>
  </si>
  <si>
    <t>kg N Leeched, Runoff, etc/ha</t>
  </si>
  <si>
    <t>kg P Leeched, Runoff, etc/ha</t>
  </si>
  <si>
    <t>kg K Leeched, Runoff, etc/ha</t>
  </si>
  <si>
    <t>Nitrogen Emissions/Leach</t>
  </si>
  <si>
    <t>Phosphorous Emissions/Leach</t>
  </si>
  <si>
    <t>Potassium Emissions/Leach</t>
  </si>
  <si>
    <t>kg returned water</t>
  </si>
  <si>
    <t>Irrigation (returned)</t>
  </si>
  <si>
    <t>kg Unused Stover/ha</t>
  </si>
  <si>
    <t>Corn Grain Produced</t>
  </si>
  <si>
    <t>Lost Biomass on Input</t>
  </si>
  <si>
    <t>Waste Water Post_DAH</t>
  </si>
  <si>
    <t>kg/ha TOTAL</t>
  </si>
  <si>
    <t>CO_2 From Distillation</t>
  </si>
  <si>
    <t>Anhydrous Ethanol</t>
  </si>
  <si>
    <t xml:space="preserve">Sum Mass </t>
  </si>
  <si>
    <t>Total MJ/ha</t>
  </si>
  <si>
    <t>kg Waste Nutrients</t>
  </si>
  <si>
    <t>Calcium Chloride for EP</t>
  </si>
  <si>
    <t>Nutrient Stream Loss EP</t>
  </si>
  <si>
    <t>Bioprocessing Block Sum</t>
  </si>
  <si>
    <t>kg Lime emissions</t>
  </si>
  <si>
    <t>Lime Emissions and Loss</t>
  </si>
  <si>
    <t>Herbicide Emissions and Loss</t>
  </si>
  <si>
    <t>kg herbicide emissions</t>
  </si>
  <si>
    <t>kg Dry Corn Stover/ha</t>
  </si>
  <si>
    <t>Non-Water Stover kg/ha</t>
  </si>
  <si>
    <t>kg Total Wet BM/ha</t>
  </si>
  <si>
    <t>Upgrading Block Sum</t>
  </si>
  <si>
    <t>kg Water Lost from Collected Stover/ha</t>
  </si>
  <si>
    <t>Mass in From Soil:</t>
  </si>
  <si>
    <t>Difference:</t>
  </si>
  <si>
    <t>Agriculture - Block 100 - MASS OUTPUTS</t>
  </si>
  <si>
    <t>Agriculture  - Block 100 - ENERGY OUTPUTS</t>
  </si>
  <si>
    <t>TRACI v2.1 IMPACT CATEGORIES</t>
  </si>
  <si>
    <t>Acidification               (kg SO2 eq)</t>
  </si>
  <si>
    <t>Ecotoxicity         (CTUe)</t>
  </si>
  <si>
    <t>Eutrophication         (kg N eq)</t>
  </si>
  <si>
    <t>Global Warming       (kg CO2 eq)</t>
  </si>
  <si>
    <t>Human Health - Carcinogenics (CTUh)</t>
  </si>
  <si>
    <t>Human Health - Non-Carcinogenics (CTUh)</t>
  </si>
  <si>
    <t>Ozone Depletion       (kg CFC-11 eq)</t>
  </si>
  <si>
    <t>Photochemical Ozone Formation (kg O3 eq)</t>
  </si>
  <si>
    <t>Resource Depletion - Fossil Fuels (MJ Surp)</t>
  </si>
  <si>
    <t>Respiratory Effects    (kg PM2.5 eq)</t>
  </si>
  <si>
    <t>Crop Operations - Block 170</t>
  </si>
  <si>
    <t>Growth and Harvest Yield - Block 180</t>
  </si>
  <si>
    <t>Carbon Dioxide in:</t>
  </si>
  <si>
    <t>Resource or Flow</t>
  </si>
  <si>
    <t>Corn Oil</t>
  </si>
  <si>
    <t>Corn Seeds</t>
  </si>
  <si>
    <t>Water (Irrigation)</t>
  </si>
  <si>
    <t>N Fert</t>
  </si>
  <si>
    <t>P Fert</t>
  </si>
  <si>
    <t>K Fert</t>
  </si>
  <si>
    <t>Lime</t>
  </si>
  <si>
    <t>Water (Dilution)</t>
  </si>
  <si>
    <t>H2SO4</t>
  </si>
  <si>
    <t>NH3</t>
  </si>
  <si>
    <t xml:space="preserve">Glucose </t>
  </si>
  <si>
    <t>SO2</t>
  </si>
  <si>
    <t>CSL</t>
  </si>
  <si>
    <t>Ammonium Sulfate</t>
  </si>
  <si>
    <t>Potassium Phosphate</t>
  </si>
  <si>
    <t>Magnesium Sulfate</t>
  </si>
  <si>
    <t>Calcium Chloride</t>
  </si>
  <si>
    <t>maize seed production, organic, at farm | maize seed, organic, at farm | APOS, U</t>
  </si>
  <si>
    <t>EcoInvent</t>
  </si>
  <si>
    <t>irrigation | irrigation | APOS, U</t>
  </si>
  <si>
    <t>/m3</t>
  </si>
  <si>
    <t>/ha</t>
  </si>
  <si>
    <t>ammonium nitrate phosphate production | phosphate fertiliser, as P2O5 | APOS, U</t>
  </si>
  <si>
    <t>/kg</t>
  </si>
  <si>
    <t>potassium chloride production | potassium chloride, as K2O | APOS, U</t>
  </si>
  <si>
    <t>lime production, hydrated, loose weight | lime, hydrated, loose weight | Cutoff, S</t>
  </si>
  <si>
    <t>atrazine production | atrazine | APOS, U</t>
  </si>
  <si>
    <t>tap water production, underground water with chemical treatment | tap water | Cutoff, S</t>
  </si>
  <si>
    <t>sulfuric acid production | sulfuric acid | APOS, U</t>
  </si>
  <si>
    <t>urea ammonium nitrate production | nitrogen fertiliser, as N | APOS, U</t>
  </si>
  <si>
    <t>glucose production | glucose | APOS, U</t>
  </si>
  <si>
    <t>sulfur dioxide production, liquid | sulfur dioxide, liquid | Cutoff, S</t>
  </si>
  <si>
    <t>soda production, solvay process | calcium chloride | APOS, U</t>
  </si>
  <si>
    <t>magnesium sulfate production | magnesium sulfate | APOS, U</t>
  </si>
  <si>
    <t>Planting/Seeding</t>
  </si>
  <si>
    <t>Tillage</t>
  </si>
  <si>
    <t>Swathing</t>
  </si>
  <si>
    <t>fertilising, by broadcaster | fertilising, by broadcaster | APOS, U</t>
  </si>
  <si>
    <t>planting | planting | APOS, U</t>
  </si>
  <si>
    <t>tillage, rotary cultivator | tillage, rotary cultivator | APOS, U</t>
  </si>
  <si>
    <t>swath, by rotary windrower | swath, by rotary windrower | APOS, U</t>
  </si>
  <si>
    <t>Drying of Stillage</t>
  </si>
  <si>
    <t>drying of maize straw and whole-plant | drying of maize straw and whole-plant | APOS, U</t>
  </si>
  <si>
    <t>/l</t>
  </si>
  <si>
    <t>Fertilizer Application</t>
  </si>
  <si>
    <t>Bale Loading</t>
  </si>
  <si>
    <t>Baling</t>
  </si>
  <si>
    <t>bale loading | bale loading | APOS, U</t>
  </si>
  <si>
    <t>/bale</t>
  </si>
  <si>
    <t>baling | baling | APOS, U</t>
  </si>
  <si>
    <t>diesel, burned in agricultural machinery | diesel, burned in agricultural machinery | APOS, S</t>
  </si>
  <si>
    <t>Additional Diesel Use</t>
  </si>
  <si>
    <t>/MJ</t>
  </si>
  <si>
    <t>Electricity</t>
  </si>
  <si>
    <t>/kWh</t>
  </si>
  <si>
    <t>Steam Heat</t>
  </si>
  <si>
    <t>heat production, natural gas, at boiler atmospheric non-modulating &lt;100kW | heat, central or small-scale, natural gas | Cutoff, S</t>
  </si>
  <si>
    <t>transport, freight, lorry 16-32 metric ton, EURO3 | transport, freight, lorry 16-32 metric ton, EURO3 | Cutoff, S</t>
  </si>
  <si>
    <t>/t*km</t>
  </si>
  <si>
    <t>Transportation</t>
  </si>
  <si>
    <t>Acid</t>
  </si>
  <si>
    <t>Eco</t>
  </si>
  <si>
    <t>Eutroph</t>
  </si>
  <si>
    <t>GWP</t>
  </si>
  <si>
    <t>Carcin</t>
  </si>
  <si>
    <t>Non-Carcin</t>
  </si>
  <si>
    <t>O3 Depl</t>
  </si>
  <si>
    <t>O3 Form</t>
  </si>
  <si>
    <t>Resource Depl</t>
  </si>
  <si>
    <t>PM2.5</t>
  </si>
  <si>
    <t>USLCI</t>
  </si>
  <si>
    <t>Corn Steep Liquor - NREL USLCI Database</t>
  </si>
  <si>
    <t>PM Use</t>
  </si>
  <si>
    <t>SUMS</t>
  </si>
  <si>
    <t>Acidification</t>
  </si>
  <si>
    <t>Ecotoxicity</t>
  </si>
  <si>
    <t>Eutrophication</t>
  </si>
  <si>
    <t>Carcinogenics</t>
  </si>
  <si>
    <t>Non-Carcinogenics</t>
  </si>
  <si>
    <t>O3 Depletion</t>
  </si>
  <si>
    <t>O3 Formation</t>
  </si>
  <si>
    <t>Resource Depletion - Fossil Fuels</t>
  </si>
  <si>
    <t>Respiratory Effects</t>
  </si>
  <si>
    <t>for</t>
  </si>
  <si>
    <t>MJ Ethanol</t>
  </si>
  <si>
    <t>(Water Evaped)</t>
  </si>
  <si>
    <t>ammonium sulfate production | ammonium sulfate | APOS, U</t>
  </si>
  <si>
    <t>ammonia production, steam reforming, liquid | ammonia, liquid | APOS, U</t>
  </si>
  <si>
    <t>Carbon Dioxide Mass Input</t>
  </si>
  <si>
    <t>Water Loss Drying Stover kg/ha</t>
  </si>
  <si>
    <t>kg Dry Corn Grain/ha</t>
  </si>
  <si>
    <t>Non-Water Corn Grain kg/ha</t>
  </si>
  <si>
    <t>Water Loss Drying Corn Grain kg/ha</t>
  </si>
  <si>
    <t>Wet Stover kg/ha</t>
  </si>
  <si>
    <t>Wet Corn Grain kg/ha</t>
  </si>
  <si>
    <t>H2O Loss During Drying kg/ha</t>
  </si>
  <si>
    <t>kg CO2 Input/ha</t>
  </si>
  <si>
    <t>kg Carbon Content/ha</t>
  </si>
  <si>
    <t>O2 Emissions from CO2 In</t>
  </si>
  <si>
    <t>kg O2 Emissions/ha</t>
  </si>
  <si>
    <t>kg O Content/ha</t>
  </si>
  <si>
    <t>kg C in Used BM/ha</t>
  </si>
  <si>
    <t>kg O in Used BM/ha</t>
  </si>
  <si>
    <t>kg Lost Carbon/ha</t>
  </si>
  <si>
    <t>kg Remain C/ha</t>
  </si>
  <si>
    <t>kg C Runoff/ha</t>
  </si>
  <si>
    <t>kg C Remain/ha</t>
  </si>
  <si>
    <t>NREL Humbird pg 45</t>
  </si>
  <si>
    <t>kg Burnable Biomass/ha</t>
  </si>
  <si>
    <t>Carbon Content/Carbon Balance Outputs</t>
  </si>
  <si>
    <t>% Total C In</t>
  </si>
  <si>
    <t>kg C in CO2</t>
  </si>
  <si>
    <t>kg C in Ethanol</t>
  </si>
  <si>
    <t>kg C Lost on Input</t>
  </si>
  <si>
    <t>kg C Lost to DAH/EH</t>
  </si>
  <si>
    <t>kg C in Remaining BM</t>
  </si>
  <si>
    <t>kg C out of System</t>
  </si>
  <si>
    <t>kg C into System</t>
  </si>
  <si>
    <t>kg C Deficit</t>
  </si>
  <si>
    <t>% C in Rem BM Humbird:</t>
  </si>
  <si>
    <t>C_out/C_in</t>
  </si>
  <si>
    <t>MJ from Burn BM/ha</t>
  </si>
  <si>
    <t>Nutrient Uptake Patrns</t>
  </si>
  <si>
    <t>Total kg/ha Uptake</t>
  </si>
  <si>
    <t>kg H2O Req for O/ha</t>
  </si>
  <si>
    <t>Burnable BM</t>
  </si>
  <si>
    <t>NASA Fast Carbon Cycle</t>
  </si>
  <si>
    <t>Pest:</t>
  </si>
  <si>
    <t>Small</t>
  </si>
  <si>
    <t>Captl Cost</t>
  </si>
  <si>
    <t>m3/ha</t>
  </si>
  <si>
    <t>MJ Content per kg Corn Grain</t>
  </si>
  <si>
    <t>MJ Content per ha (Grain)</t>
  </si>
  <si>
    <t>MJ Content per kg Stover</t>
  </si>
  <si>
    <t>MJ Content per ha (Stover)</t>
  </si>
  <si>
    <t>Stover Harvested</t>
  </si>
  <si>
    <t>Dependent</t>
  </si>
  <si>
    <t>N applied</t>
  </si>
  <si>
    <t>K applied</t>
  </si>
  <si>
    <t>P applied</t>
  </si>
  <si>
    <t>N uptake</t>
  </si>
  <si>
    <t>P uptake</t>
  </si>
  <si>
    <t>K uptake</t>
  </si>
  <si>
    <t>Nitrogen Fert Applied per ha</t>
  </si>
  <si>
    <t>User Inputs</t>
  </si>
  <si>
    <t>Nitrogen Intake from Soil</t>
  </si>
  <si>
    <t>Phosphorus Intake from Soil</t>
  </si>
  <si>
    <t>Potassium Intake from Soil</t>
  </si>
  <si>
    <t>Sulfur Intake from Soil</t>
  </si>
  <si>
    <t>kg P/ha</t>
  </si>
  <si>
    <t>kg K/ha</t>
  </si>
  <si>
    <t>Phosphorus to Phosphate Ratio</t>
  </si>
  <si>
    <t>Potassium to Potash Ratio</t>
  </si>
  <si>
    <t>Nitrogen to N Fert Ratio</t>
  </si>
  <si>
    <t>Phosphorus Fert Applied per ha</t>
  </si>
  <si>
    <t>Potassium Fert Applied per ha</t>
  </si>
  <si>
    <t>Water Throughput - Block 120</t>
  </si>
  <si>
    <t>inches</t>
  </si>
  <si>
    <t>Avg Yearly Rainwater  - Iowa</t>
  </si>
  <si>
    <t>feet</t>
  </si>
  <si>
    <t>Water Consumed</t>
  </si>
  <si>
    <t>Water Available per ha - Iowa</t>
  </si>
  <si>
    <t>Water Cycled Through</t>
  </si>
  <si>
    <t>Corn Stover Produced</t>
  </si>
  <si>
    <t>Percent Avail. Stover Collected</t>
  </si>
  <si>
    <t>Corn Stover Sent to BP Plant</t>
  </si>
  <si>
    <t>Rainwater Per Yr:</t>
  </si>
  <si>
    <t>in</t>
  </si>
  <si>
    <t>Available kg/ha</t>
  </si>
  <si>
    <t>Impact/gal eth</t>
  </si>
  <si>
    <t>Allocation Amnt</t>
  </si>
  <si>
    <t>Agricultural Inputs - Block 100 - SYSTEM MASS INPUTS</t>
  </si>
  <si>
    <t>Bioprocessing and Conversion - Block 200-600 - SYSTEM MASS INPUTS</t>
  </si>
  <si>
    <t>Impact/MJ eth</t>
  </si>
  <si>
    <t>Fuel Use</t>
  </si>
  <si>
    <t>/MJ EtOH</t>
  </si>
  <si>
    <t>kg/gal</t>
  </si>
  <si>
    <t>Z. Mobilis</t>
  </si>
  <si>
    <t>g CO2eq/MJ</t>
  </si>
  <si>
    <t>kg/ha electricity credit</t>
  </si>
  <si>
    <t>GREET/GHGenius Harm.</t>
  </si>
  <si>
    <t>electricity, high voltage, production mix | electricity, high voltage | APOS, U (MRO)</t>
  </si>
  <si>
    <t>Electricity Credit</t>
  </si>
  <si>
    <t>??</t>
  </si>
  <si>
    <t>LHV Corn Stover:</t>
  </si>
  <si>
    <t>MJ/kg</t>
  </si>
  <si>
    <t>MJ from Gas</t>
  </si>
  <si>
    <t>kg CO2 eq from Gas</t>
  </si>
  <si>
    <t>g co2 from gas</t>
  </si>
  <si>
    <t>NaOH</t>
  </si>
  <si>
    <t>Sodium Hydroxide</t>
  </si>
  <si>
    <t>Vent Scrubbing Lime</t>
  </si>
  <si>
    <t>NaOH - From Obnamia</t>
  </si>
  <si>
    <t>kg NaOH</t>
  </si>
  <si>
    <t>Vent Scrub. Lime</t>
  </si>
  <si>
    <t>Lime - From Obnamia</t>
  </si>
  <si>
    <t>kg Lime (scrub)</t>
  </si>
  <si>
    <t>Glucose - From Obnamia</t>
  </si>
  <si>
    <t>kg Glucose</t>
  </si>
  <si>
    <t>-</t>
  </si>
  <si>
    <t>Obnamia</t>
  </si>
  <si>
    <t>gCo2/MJ</t>
  </si>
  <si>
    <t>(136-133)</t>
  </si>
  <si>
    <t>kg CSL</t>
  </si>
  <si>
    <t>kg NH3</t>
  </si>
  <si>
    <t>CSL - From Obnamia</t>
  </si>
  <si>
    <t>Electricity - Hammer Mill</t>
  </si>
  <si>
    <t>lb/gal</t>
  </si>
  <si>
    <t>Energy Allocation:</t>
  </si>
  <si>
    <t>Mass:</t>
  </si>
  <si>
    <t>Amount</t>
  </si>
  <si>
    <t>Herbicide</t>
  </si>
  <si>
    <t>Nitrogen Fert</t>
  </si>
  <si>
    <t>Potassium Fert</t>
  </si>
  <si>
    <t>All inputs are in kg (White Cells) or in MJ (Red Cells) or are otherwise indicated.  (Likely will need to unify to just kg/MJ)</t>
  </si>
  <si>
    <t>H2O (DAH)</t>
  </si>
  <si>
    <t>H2SO4 (DAH)</t>
  </si>
  <si>
    <t>NH3 (DAH)</t>
  </si>
  <si>
    <t>H2O (EH)</t>
  </si>
  <si>
    <t>NH3 (EP)</t>
  </si>
  <si>
    <t>Phosph. Fert</t>
  </si>
  <si>
    <t>Am. Sulf</t>
  </si>
  <si>
    <t>DAP</t>
  </si>
  <si>
    <t>$/kg</t>
  </si>
  <si>
    <t>Diammonium Phosphate</t>
  </si>
  <si>
    <t>kg Corn Steep Liquor/ha</t>
  </si>
  <si>
    <t>kg Diammonium Phosphate/ha</t>
  </si>
  <si>
    <t>Corn Steep Liquor for Fermentation</t>
  </si>
  <si>
    <t>Revenue</t>
  </si>
  <si>
    <t>Total $</t>
  </si>
  <si>
    <t>NREL $ Same Cat</t>
  </si>
  <si>
    <t>$/Ethanol Gallon</t>
  </si>
  <si>
    <t>Ratio of Quant.</t>
  </si>
  <si>
    <t>NaOH Waste-water pH</t>
  </si>
  <si>
    <t>Flue Gas Desulf (FGD) Lime</t>
  </si>
  <si>
    <t>Diammonium Phosphate (DAP)</t>
  </si>
  <si>
    <t>Electricity Grid Credit</t>
  </si>
  <si>
    <t>$/kWh</t>
  </si>
  <si>
    <t>Credits and Revenue:</t>
  </si>
  <si>
    <t>Variable Opex</t>
  </si>
  <si>
    <t>Feedstock:</t>
  </si>
  <si>
    <t>Fixed Opex</t>
  </si>
  <si>
    <t>Salaries</t>
  </si>
  <si>
    <t>Labor Burden</t>
  </si>
  <si>
    <t>Maintenance</t>
  </si>
  <si>
    <t>Insurance (prprty)</t>
  </si>
  <si>
    <t>c/Gal EtOH prod</t>
  </si>
  <si>
    <t>Process Area</t>
  </si>
  <si>
    <t>Purchased Cost</t>
  </si>
  <si>
    <t>Installed Cost</t>
  </si>
  <si>
    <t>Area 100: Feedstock handling*</t>
  </si>
  <si>
    <t>Area 200: Pretreatment</t>
  </si>
  <si>
    <t>Area 200: Neutralization</t>
  </si>
  <si>
    <t>Area 300: Enzymatic Hydrolysis &amp; Fermentation</t>
  </si>
  <si>
    <t>Area 400: Enzyme Production</t>
  </si>
  <si>
    <t>Area 500: Recovery</t>
  </si>
  <si>
    <t>Area 600: Wastewater</t>
  </si>
  <si>
    <t>Area 700: Storage</t>
  </si>
  <si>
    <t>Area 800: Boiler</t>
  </si>
  <si>
    <t>Area 900: Utilities</t>
  </si>
  <si>
    <t>Variable Operating Costs (BPP)         (Materials and Waste)</t>
  </si>
  <si>
    <t>Gasoline Denaturant</t>
  </si>
  <si>
    <t>Gasoline - Denaturant</t>
  </si>
  <si>
    <t>kJ/MJ EtOH</t>
  </si>
  <si>
    <t>total MJ Gasoline</t>
  </si>
  <si>
    <t>LHV Gas</t>
  </si>
  <si>
    <t>MJ/l</t>
  </si>
  <si>
    <t>L Gasoline</t>
  </si>
  <si>
    <t>(2% was target from lit.)</t>
  </si>
  <si>
    <t>gal Gas</t>
  </si>
  <si>
    <t>Block 100</t>
  </si>
  <si>
    <t>Block 200</t>
  </si>
  <si>
    <t>Block 300</t>
  </si>
  <si>
    <t>Ag</t>
  </si>
  <si>
    <t>Size Red</t>
  </si>
  <si>
    <t>Dah</t>
  </si>
  <si>
    <t>EH</t>
  </si>
  <si>
    <t>Enzyme</t>
  </si>
  <si>
    <t>Ferm</t>
  </si>
  <si>
    <t>Dist/dehydr</t>
  </si>
  <si>
    <t>Block 400</t>
  </si>
  <si>
    <t>Block 500</t>
  </si>
  <si>
    <t>Block 600</t>
  </si>
  <si>
    <t>Block 700</t>
  </si>
  <si>
    <t>Spare Biomass Burner - Electricity Generation - Block 800</t>
  </si>
  <si>
    <t>Block 800</t>
  </si>
  <si>
    <t>Boiler/Gen</t>
  </si>
  <si>
    <t>Other Overhead</t>
  </si>
  <si>
    <t>Block 1000</t>
  </si>
  <si>
    <t>Block 400/600</t>
  </si>
  <si>
    <t>Feedstock Handling (need mill)</t>
  </si>
  <si>
    <t>Dilute Acid Hydrolysis</t>
  </si>
  <si>
    <t>EH and Fermentation</t>
  </si>
  <si>
    <t>Enzyme Production</t>
  </si>
  <si>
    <t>Other (WW, Utilities &amp; Storage)</t>
  </si>
  <si>
    <t>Boiler/Electricity Generation</t>
  </si>
  <si>
    <t>Distillation/Dehydration</t>
  </si>
  <si>
    <t>Capital Expenditures</t>
  </si>
  <si>
    <t>Total Direct Costs (TDC):</t>
  </si>
  <si>
    <t>Total Indirect Costs (TIC):</t>
  </si>
  <si>
    <t>Estimated Acres:</t>
  </si>
  <si>
    <t>Cost of Land:</t>
  </si>
  <si>
    <t>$/Acre</t>
  </si>
  <si>
    <t>Total Cost of Land:</t>
  </si>
  <si>
    <t>$ Land Cost</t>
  </si>
  <si>
    <t>Fixed Capital Investment (FCI):</t>
  </si>
  <si>
    <t>Piping, Site Dev, Warehouse:</t>
  </si>
  <si>
    <t>Working Capital:</t>
  </si>
  <si>
    <t>Total Capital Investment (TCI):</t>
  </si>
  <si>
    <t>Operational Cost:</t>
  </si>
  <si>
    <t>Equipment and Facilities Capital Cost:</t>
  </si>
  <si>
    <t>Land Capital Cost:</t>
  </si>
  <si>
    <t>MMGal EtOH/yr:</t>
  </si>
  <si>
    <t>Variable Operating Cost:</t>
  </si>
  <si>
    <t>Per Gal Var Op Cost:</t>
  </si>
  <si>
    <t>Fixed Operating Cost:</t>
  </si>
  <si>
    <t>Fixed Capital Investment:</t>
  </si>
  <si>
    <t>Loan Information</t>
  </si>
  <si>
    <t>Annual Loan Payment:</t>
  </si>
  <si>
    <t>Loan Interest:</t>
  </si>
  <si>
    <t>Equity:</t>
  </si>
  <si>
    <t>Loan Term:</t>
  </si>
  <si>
    <t>yrs</t>
  </si>
  <si>
    <t>Construction Breakdown</t>
  </si>
  <si>
    <t>Year -2:</t>
  </si>
  <si>
    <t>Year -1:</t>
  </si>
  <si>
    <t>Year 0:</t>
  </si>
  <si>
    <t>Productivity Breakdown</t>
  </si>
  <si>
    <t>Start Up Time (yrs):</t>
  </si>
  <si>
    <t>Start-Up % of Full Prod:</t>
  </si>
  <si>
    <t>Full Prod Rate:</t>
  </si>
  <si>
    <t>IRR and Tax Rate</t>
  </si>
  <si>
    <t>IRR:</t>
  </si>
  <si>
    <t>Tax Rate:</t>
  </si>
  <si>
    <t>Cash Flow Analysis</t>
  </si>
  <si>
    <t>Year</t>
  </si>
  <si>
    <t>Equipment and Facilities Capital</t>
  </si>
  <si>
    <t>Land Capital</t>
  </si>
  <si>
    <t>Working Capital</t>
  </si>
  <si>
    <t>Loan Payment</t>
  </si>
  <si>
    <t>Principle</t>
  </si>
  <si>
    <t>Product Sales</t>
  </si>
  <si>
    <t>Ethanol</t>
  </si>
  <si>
    <t>Annual Costs</t>
  </si>
  <si>
    <t>Depreciation</t>
  </si>
  <si>
    <t>Net Revenue</t>
  </si>
  <si>
    <t>Losses forward</t>
  </si>
  <si>
    <t>Taxable income</t>
  </si>
  <si>
    <t>Income tax</t>
  </si>
  <si>
    <t>Annual cash income</t>
  </si>
  <si>
    <t>discount facor</t>
  </si>
  <si>
    <t>Total capital investment + interest</t>
  </si>
  <si>
    <t>NPV tax</t>
  </si>
  <si>
    <t>NPV sales</t>
  </si>
  <si>
    <t>NPV Operating Costs</t>
  </si>
  <si>
    <t>Interest Payment</t>
  </si>
  <si>
    <t>Gallons EtOH/yr</t>
  </si>
  <si>
    <t>MESP</t>
  </si>
  <si>
    <t>$/gal</t>
  </si>
  <si>
    <t>Page 29, 37 Table</t>
  </si>
  <si>
    <t>NPV Equip + Facilities Cap Cost</t>
  </si>
  <si>
    <t>NPV Land Cost</t>
  </si>
  <si>
    <t>NPV</t>
  </si>
  <si>
    <t>Accuracy:</t>
  </si>
  <si>
    <t>$/Gal From NREL</t>
  </si>
  <si>
    <t>Data for Plot</t>
  </si>
  <si>
    <t>Operational Costs</t>
  </si>
  <si>
    <t>Taxes</t>
  </si>
  <si>
    <t>Net Present Worth</t>
  </si>
  <si>
    <t>MACRS 7-Yr Markdown General Plant</t>
  </si>
  <si>
    <t>Depreciation Charge</t>
  </si>
  <si>
    <t>Remaining Value</t>
  </si>
  <si>
    <t>MACRS 20-Yr Markdown Steam Plant</t>
  </si>
  <si>
    <t>General Plant Cost:</t>
  </si>
  <si>
    <t>Steam Plant Cost:</t>
  </si>
  <si>
    <t>Annual present value</t>
  </si>
  <si>
    <t>MM$/yr</t>
  </si>
  <si>
    <t>Total</t>
  </si>
  <si>
    <t>Feedstock</t>
  </si>
  <si>
    <t>Plant Scaling Ratio:</t>
  </si>
  <si>
    <t>(new scen/baseline)</t>
  </si>
  <si>
    <t>Scaling Factor</t>
  </si>
  <si>
    <t>Baseline Expenses</t>
  </si>
  <si>
    <t>New Scenario Expenses</t>
  </si>
  <si>
    <t>Percent of Total</t>
  </si>
  <si>
    <t>Percent of OPEX</t>
  </si>
  <si>
    <t>Percent of CAPEX</t>
  </si>
  <si>
    <t>Nutrients for EP</t>
  </si>
  <si>
    <t>Capex/Loan Interest</t>
  </si>
  <si>
    <t>Variable Operating</t>
  </si>
  <si>
    <t>Fixed Operating</t>
  </si>
  <si>
    <t>Equip/Facilities</t>
  </si>
  <si>
    <t>Land Cost</t>
  </si>
  <si>
    <t>NPV Loan Total</t>
  </si>
  <si>
    <t>Loan Total</t>
  </si>
  <si>
    <t>Name</t>
  </si>
  <si>
    <t>$/Unit</t>
  </si>
  <si>
    <t>Quantity</t>
  </si>
  <si>
    <t>Corn Grain</t>
  </si>
  <si>
    <t>Bushels</t>
  </si>
  <si>
    <t>Seed</t>
  </si>
  <si>
    <t>Lime (Matr'l)</t>
  </si>
  <si>
    <t xml:space="preserve">All App/maint. </t>
  </si>
  <si>
    <t>Acre</t>
  </si>
  <si>
    <t>Property Insurance</t>
  </si>
  <si>
    <t>Property Tax</t>
  </si>
  <si>
    <t>Other</t>
  </si>
  <si>
    <t>Interest on OPEX</t>
  </si>
  <si>
    <t>Percent</t>
  </si>
  <si>
    <t>Percent on Sum</t>
  </si>
  <si>
    <t>Replacement/Conting</t>
  </si>
  <si>
    <t>Harvest</t>
  </si>
  <si>
    <t>Interest on Harvest</t>
  </si>
  <si>
    <t>Percent on Total</t>
  </si>
  <si>
    <t>/1000 Seeds</t>
  </si>
  <si>
    <t>Revenue Total</t>
  </si>
  <si>
    <t>Expenses Total</t>
  </si>
  <si>
    <t>ha/yr</t>
  </si>
  <si>
    <t>Dry US ton/yr</t>
  </si>
  <si>
    <t>dry kg/yr</t>
  </si>
  <si>
    <t>Avg Iowa Corn Farm Size (Iowa, acres)</t>
  </si>
  <si>
    <t>Scale for PM #'s:</t>
  </si>
  <si>
    <t>Total Profit from Corn</t>
  </si>
  <si>
    <t>Corn Stover</t>
  </si>
  <si>
    <t>Harvesting Cost</t>
  </si>
  <si>
    <t>Transportation Cost</t>
  </si>
  <si>
    <t>Preprocessing</t>
  </si>
  <si>
    <t>Mile/Bale</t>
  </si>
  <si>
    <t>kg*kWh</t>
  </si>
  <si>
    <t>Farmer Margin</t>
  </si>
  <si>
    <t>System Mass Inputs</t>
  </si>
  <si>
    <t>System Energy Inputs</t>
  </si>
  <si>
    <t>%</t>
  </si>
  <si>
    <t>Nitrogen Fert Uptake</t>
  </si>
  <si>
    <t>Phopshorus Fert Uptake</t>
  </si>
  <si>
    <t>Potassium Fert Uptake</t>
  </si>
  <si>
    <t>Nitrogen Mass Required</t>
  </si>
  <si>
    <t>Phosphorus Mass Required</t>
  </si>
  <si>
    <t>Potassium Mass Required</t>
  </si>
  <si>
    <t>Sulfur Mass Required</t>
  </si>
  <si>
    <t>Total Mass in From Soil</t>
  </si>
  <si>
    <t>N required</t>
  </si>
  <si>
    <t>User Defnd</t>
  </si>
  <si>
    <t>P required</t>
  </si>
  <si>
    <t>K required</t>
  </si>
  <si>
    <t>S required</t>
  </si>
  <si>
    <t>Total Mass in Soil</t>
  </si>
  <si>
    <t>Avg Rainfall</t>
  </si>
  <si>
    <t>Water Cons.</t>
  </si>
  <si>
    <t>Lime Appld</t>
  </si>
  <si>
    <t>Water Supplied/ha</t>
  </si>
  <si>
    <t>Water Supplied</t>
  </si>
  <si>
    <t>H2O for BM Structure</t>
  </si>
  <si>
    <t>Biomass Prod - Cons. H2O</t>
  </si>
  <si>
    <t>Water Cycled</t>
  </si>
  <si>
    <t>Stover Cllctd</t>
  </si>
  <si>
    <t>List of User Defined/Dependant Var.</t>
  </si>
  <si>
    <t>Water for BM Struct</t>
  </si>
  <si>
    <t>BM Prod. - Cons. H20</t>
  </si>
  <si>
    <t>Corn Stover to BPP</t>
  </si>
  <si>
    <t>System Mass Outputs</t>
  </si>
  <si>
    <t>System Energy Outputs</t>
  </si>
  <si>
    <t>Flue Gas Desulfur. (Lime)</t>
  </si>
  <si>
    <t>NaOH Waste Neutralizer</t>
  </si>
  <si>
    <t>Total Mass Outputs</t>
  </si>
  <si>
    <t>ha required</t>
  </si>
  <si>
    <t xml:space="preserve">about 1/4 of Iowa; </t>
  </si>
  <si>
    <t xml:space="preserve">about 1000 farmers of avg </t>
  </si>
  <si>
    <t>farm size (351 Acres)</t>
  </si>
  <si>
    <t>Diammonium Phosphate:</t>
  </si>
  <si>
    <t>(Corresponds with 50 mi rad.)</t>
  </si>
  <si>
    <t>N/A</t>
  </si>
  <si>
    <t>Allocation Calcs</t>
  </si>
  <si>
    <t>Total Sales</t>
  </si>
  <si>
    <t>Steam Plant (Scaled):</t>
  </si>
  <si>
    <t>General Plant (Scaled):</t>
  </si>
  <si>
    <t>Total Opex</t>
  </si>
  <si>
    <t>Me</t>
  </si>
  <si>
    <t>NREL</t>
  </si>
  <si>
    <t>Diff</t>
  </si>
  <si>
    <t xml:space="preserve">Seeds per Hectare </t>
  </si>
  <si>
    <t>Nitrogen Fert Applied</t>
  </si>
  <si>
    <t>Phosphorus Fert Applied</t>
  </si>
  <si>
    <t>Potassium Fert Applied</t>
  </si>
  <si>
    <t>or</t>
  </si>
  <si>
    <t>Rain Water:</t>
  </si>
  <si>
    <t>GHGe:</t>
  </si>
  <si>
    <t>Water Consumption:</t>
  </si>
  <si>
    <t>MESP:</t>
  </si>
  <si>
    <t>Criteria Pollutants:</t>
  </si>
  <si>
    <t>Acidification:</t>
  </si>
  <si>
    <t>Ecotoxicity:</t>
  </si>
  <si>
    <t>Eutrophication:</t>
  </si>
  <si>
    <t>Carcinogenics:</t>
  </si>
  <si>
    <t>Non-Carcinogenics:</t>
  </si>
  <si>
    <t>O3 Depletion:</t>
  </si>
  <si>
    <t>O3 Formation:</t>
  </si>
  <si>
    <t>Respiratory Effects:</t>
  </si>
  <si>
    <t>$/Gal EtOH</t>
  </si>
  <si>
    <t>Resource Depletion - Fossil Fuels:</t>
  </si>
  <si>
    <t>kg CO_2 eq/Gal EtOH</t>
  </si>
  <si>
    <t>kg H_2O/Gal EtOH</t>
  </si>
  <si>
    <t xml:space="preserve"> kg SO2 eq/Gal EtOH</t>
  </si>
  <si>
    <t xml:space="preserve"> CTUe/Gal EtOH</t>
  </si>
  <si>
    <t xml:space="preserve"> kg N eq/Gal EtOH</t>
  </si>
  <si>
    <t xml:space="preserve"> CTUh/Gal EtOH</t>
  </si>
  <si>
    <t xml:space="preserve"> kg CFC-11 eq/Gal EtOH</t>
  </si>
  <si>
    <t xml:space="preserve"> kg O3 eq/Gal EtOH</t>
  </si>
  <si>
    <t xml:space="preserve"> MJ Surplus/Gal EtOH</t>
  </si>
  <si>
    <t xml:space="preserve"> kg PM2.5 eq/Gal EtOH</t>
  </si>
  <si>
    <t>Gas Denaturant:</t>
  </si>
  <si>
    <t>Total Cost 30 yr Prod:</t>
  </si>
  <si>
    <t>Difference</t>
  </si>
  <si>
    <t>My MCSSP</t>
  </si>
  <si>
    <t>NREL's MCSSP</t>
  </si>
  <si>
    <t>Grower Margin</t>
  </si>
  <si>
    <t>grower fee</t>
  </si>
  <si>
    <t>preprocess</t>
  </si>
  <si>
    <t>gal eth</t>
  </si>
  <si>
    <t>Input BM</t>
  </si>
  <si>
    <t>Ratio- BM/gal</t>
  </si>
  <si>
    <t>Mine</t>
  </si>
  <si>
    <t>Discount Factor</t>
  </si>
  <si>
    <t>Taxes (Not Discounted)</t>
  </si>
  <si>
    <t>Cash Flows - No EtOH Sold</t>
  </si>
  <si>
    <t>Total EtOH Revenue - $1 MESP</t>
  </si>
  <si>
    <t>Total Costs (Capex and Interest)</t>
  </si>
  <si>
    <t>Electricity Sales</t>
  </si>
  <si>
    <t>Opex</t>
  </si>
  <si>
    <t>Depreciation Charge 7 yr</t>
  </si>
  <si>
    <t>Depreciation Charge 20 yr</t>
  </si>
  <si>
    <t>No EtOH Cash Flows - No Disc.</t>
  </si>
  <si>
    <t>Discounted No EtOH Cash Flows</t>
  </si>
  <si>
    <t>Sum of Non Ethanol Present Values</t>
  </si>
  <si>
    <t>Input Name</t>
  </si>
  <si>
    <t>Varied Input (-x%)</t>
  </si>
  <si>
    <t>Varied Input (+x%)</t>
  </si>
  <si>
    <t>MESP +</t>
  </si>
  <si>
    <t>MESP -</t>
  </si>
  <si>
    <t>Fert and Other Apps</t>
  </si>
  <si>
    <t>Alloc. Port. Of Matl's</t>
  </si>
  <si>
    <t>Current MESP</t>
  </si>
  <si>
    <t>Baseline</t>
  </si>
  <si>
    <t>Seeds</t>
  </si>
  <si>
    <t>N Up</t>
  </si>
  <si>
    <t>P Up</t>
  </si>
  <si>
    <t>K Up</t>
  </si>
  <si>
    <t>N App</t>
  </si>
  <si>
    <t>P App</t>
  </si>
  <si>
    <t>K App</t>
  </si>
  <si>
    <t>% Collected</t>
  </si>
  <si>
    <t>Rainwater (in)</t>
  </si>
  <si>
    <t>Percent Stover of all Prod</t>
  </si>
  <si>
    <t>/ton</t>
  </si>
  <si>
    <t>N Appl</t>
  </si>
  <si>
    <t>P Appl</t>
  </si>
  <si>
    <t>K Appl</t>
  </si>
  <si>
    <t xml:space="preserve">Water Cycled </t>
  </si>
  <si>
    <t>Percent Stover Collected</t>
  </si>
  <si>
    <t>Rainwater (in.)</t>
  </si>
  <si>
    <t>sodium hydroxide to generic market for neutralising agent | neutralising agent, sodium hy</t>
  </si>
  <si>
    <t>crop:</t>
  </si>
  <si>
    <t>location:</t>
  </si>
  <si>
    <t>Iowa</t>
  </si>
  <si>
    <t>kg S/ha</t>
  </si>
  <si>
    <t>Functional Unit</t>
  </si>
  <si>
    <t>Gallon Ethanol</t>
  </si>
  <si>
    <t>Capex/interest</t>
  </si>
  <si>
    <t>Total Cost</t>
  </si>
  <si>
    <t>DAH</t>
  </si>
  <si>
    <t>EH and EP</t>
  </si>
  <si>
    <t>Waste Treat/Other Conv</t>
  </si>
  <si>
    <t>Fixed Opex/Taxes</t>
  </si>
  <si>
    <t>% VarOpex</t>
  </si>
  <si>
    <t>Gal Ethanol</t>
  </si>
  <si>
    <t>input assumptions</t>
  </si>
  <si>
    <t>List of changing user parameters</t>
  </si>
  <si>
    <t>Things to change:</t>
  </si>
  <si>
    <t>g Co2/g CSL</t>
  </si>
  <si>
    <t>g Co2/NaOH</t>
  </si>
  <si>
    <t>Linear</t>
  </si>
  <si>
    <t>Rain</t>
  </si>
  <si>
    <t>(Expected)</t>
  </si>
  <si>
    <t>kg CO2 eq/MJ eth</t>
  </si>
  <si>
    <t>Bounded - 1.75</t>
  </si>
  <si>
    <t>Bounded - 2</t>
  </si>
  <si>
    <t>Bounded - 4</t>
  </si>
  <si>
    <t xml:space="preserve">Starch </t>
  </si>
  <si>
    <t>Cellulose + Lignin</t>
  </si>
  <si>
    <t>Protein</t>
  </si>
  <si>
    <t>Fat</t>
  </si>
  <si>
    <t>Ash</t>
  </si>
  <si>
    <t>Average % mass (Dry Basis)</t>
  </si>
  <si>
    <t xml:space="preserve">NREL </t>
  </si>
  <si>
    <t>Hofer</t>
  </si>
  <si>
    <t>kg CO2 eq</t>
  </si>
  <si>
    <t>MJ EtOH</t>
  </si>
  <si>
    <t>kg CO2 eq/MJ</t>
  </si>
  <si>
    <t>g CO2 eq/MJ</t>
  </si>
  <si>
    <t>km/gal</t>
  </si>
  <si>
    <t>g CO2 eq per MJ EtOH</t>
  </si>
  <si>
    <t>GHG</t>
  </si>
  <si>
    <t>Kim</t>
  </si>
  <si>
    <t>Zhang-Kendall</t>
  </si>
  <si>
    <t>14.6-32.1</t>
  </si>
  <si>
    <t>Murphy-Kendall</t>
  </si>
  <si>
    <t>50.0-25</t>
  </si>
  <si>
    <t>45-60</t>
  </si>
  <si>
    <t>20-30</t>
  </si>
  <si>
    <t>Hsu</t>
  </si>
  <si>
    <t>Cherubini</t>
  </si>
  <si>
    <t>Zhang - Low</t>
  </si>
  <si>
    <t>Zhang - High</t>
  </si>
  <si>
    <t>Murphy - Low</t>
  </si>
  <si>
    <t>Murphy - High</t>
  </si>
  <si>
    <t xml:space="preserve">GHG Impact </t>
  </si>
  <si>
    <t>This Work</t>
  </si>
  <si>
    <t>g CO2 eq/MJ EtOH</t>
  </si>
  <si>
    <t>Elec. Credit</t>
  </si>
  <si>
    <t>kg/l</t>
  </si>
  <si>
    <t>g co2/l</t>
  </si>
  <si>
    <t>c go2/MJ</t>
  </si>
  <si>
    <t>Williams</t>
  </si>
  <si>
    <t>Bounded - 3</t>
  </si>
  <si>
    <t>Bounded - 2.5</t>
  </si>
  <si>
    <t>kg CO2/kg</t>
  </si>
  <si>
    <t>kg CO2/MJ</t>
  </si>
  <si>
    <t>kg EtOH</t>
  </si>
  <si>
    <t>L EtOH</t>
  </si>
  <si>
    <t>km/L</t>
  </si>
  <si>
    <t>MJ/km</t>
  </si>
  <si>
    <t>No Credit</t>
  </si>
  <si>
    <t>CH4 and Pyrolysis of Lignin</t>
  </si>
  <si>
    <t>kW/gal</t>
  </si>
  <si>
    <t>W/gal</t>
  </si>
  <si>
    <t>MW</t>
  </si>
  <si>
    <t>Net Electricity</t>
  </si>
  <si>
    <t>kWh produced/ha</t>
  </si>
  <si>
    <t>kWh used/ha</t>
  </si>
  <si>
    <t>kWh/ha for export</t>
  </si>
  <si>
    <t>Hours/yr</t>
  </si>
  <si>
    <t>kW Produced/ha</t>
  </si>
  <si>
    <t>W</t>
  </si>
  <si>
    <t>kWh Produced/ha</t>
  </si>
  <si>
    <t>Enzymatic Hydrol.</t>
  </si>
  <si>
    <t>Crop Harvest</t>
  </si>
  <si>
    <t>Planting/Fertilizer App</t>
  </si>
  <si>
    <t>Seeds, Herb, P, K</t>
  </si>
  <si>
    <t>N Fertilizer</t>
  </si>
  <si>
    <t>Waste Treatment</t>
  </si>
  <si>
    <t>Aglime</t>
  </si>
  <si>
    <t>Gas Denature.</t>
  </si>
  <si>
    <t>Totals</t>
  </si>
  <si>
    <t>W/Gal</t>
  </si>
  <si>
    <t>kW/Gal</t>
  </si>
  <si>
    <t>kW/ha</t>
  </si>
  <si>
    <t>Excess to Grid</t>
  </si>
  <si>
    <t>Feedstock Handl</t>
  </si>
  <si>
    <t>Pretreat (DAH)</t>
  </si>
  <si>
    <t>EH &amp; Ferm</t>
  </si>
  <si>
    <t>EP</t>
  </si>
  <si>
    <t>Recovery</t>
  </si>
  <si>
    <t>Storage</t>
  </si>
  <si>
    <t>Utilities</t>
  </si>
  <si>
    <t>Excess Electricity to Grid</t>
  </si>
  <si>
    <t>Feedstock Input Handling</t>
  </si>
  <si>
    <t>Electricity for DAH</t>
  </si>
  <si>
    <t>Electricity for EH and Ferm</t>
  </si>
  <si>
    <t>Electrical Load D&amp;D</t>
  </si>
  <si>
    <t>Other Electricity (Utilities)</t>
  </si>
  <si>
    <t>Electricity for Waste Treatment</t>
  </si>
  <si>
    <t>Electricity for Enzyme Production</t>
  </si>
  <si>
    <t>Heating Energy for EH</t>
  </si>
  <si>
    <t>Humbird Elec Use:</t>
  </si>
  <si>
    <t>Process Use:</t>
  </si>
  <si>
    <t>Excess Grid Elec:</t>
  </si>
  <si>
    <t>Figure 15; Elec BD</t>
  </si>
  <si>
    <t>Size Reduction Electricity</t>
  </si>
  <si>
    <t>Electricity for BPP</t>
  </si>
  <si>
    <t>WECC</t>
  </si>
  <si>
    <t>MRO</t>
  </si>
  <si>
    <t>SPP</t>
  </si>
  <si>
    <t>TRE</t>
  </si>
  <si>
    <t>RFC</t>
  </si>
  <si>
    <t>SERC</t>
  </si>
  <si>
    <t>FRCC</t>
  </si>
  <si>
    <t>GREET</t>
  </si>
  <si>
    <t>H2O Passing Through Plants</t>
  </si>
  <si>
    <t>Corn Stover Left in Field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</si>
</sst>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0">
    <numFmt numFmtId="6" formatCode="&quot;$&quot;#,##0_);[Red]\(&quot;$&quot;#,##0\)"/>
    <numFmt numFmtId="44" formatCode="_(&quot;$&quot;* #,##0.00_);_(&quot;$&quot;* \(#,##0.00\);_(&quot;$&quot;* &quot;-&quot;??_);_(@_)"/>
    <numFmt numFmtId="164" formatCode="0.0"/>
    <numFmt numFmtId="165" formatCode="0.000"/>
    <numFmt numFmtId="166" formatCode="0.0000"/>
    <numFmt numFmtId="167" formatCode="0.00000"/>
    <numFmt numFmtId="168" formatCode="0.00000000"/>
    <numFmt numFmtId="169" formatCode="0.0000000"/>
    <numFmt numFmtId="170" formatCode="0.0E+00"/>
    <numFmt numFmtId="171" formatCode="0.000%"/>
    <numFmt numFmtId="172" formatCode="_(&quot;$&quot;* #,##0.0000_);_(&quot;$&quot;* \(#,##0.0000\);_(&quot;$&quot;* &quot;-&quot;??_);_(@_)"/>
    <numFmt numFmtId="173" formatCode="_(&quot;$&quot;* #,##0.000000_);_(&quot;$&quot;* \(#,##0.000000\);_(&quot;$&quot;* &quot;-&quot;??_);_(@_)"/>
    <numFmt numFmtId="174" formatCode="_(&quot;$&quot;* #,##0.0000000_);_(&quot;$&quot;* \(#,##0.0000000\);_(&quot;$&quot;* &quot;-&quot;??_);_(@_)"/>
    <numFmt numFmtId="175" formatCode="0.0%"/>
    <numFmt numFmtId="176" formatCode="[$-F400]h:mm:ss\ AM/PM"/>
    <numFmt numFmtId="177" formatCode="_(&quot;$&quot;* #,##0_);_(&quot;$&quot;* \(#,##0\);_(&quot;$&quot;* &quot;-&quot;??_);_(@_)"/>
    <numFmt numFmtId="178" formatCode="0.000000000"/>
    <numFmt numFmtId="179" formatCode="_(&quot;$&quot;* #,##0.00000_);_(&quot;$&quot;* \(#,##0.00000\);_(&quot;$&quot;* &quot;-&quot;??_);_(@_)"/>
    <numFmt numFmtId="180" formatCode="0.000000"/>
    <numFmt numFmtId="181" formatCode="0.00000000000"/>
  </numFmts>
  <fonts count="22" x14ac:knownFonts="1">
    <font>
      <sz val="11"/>
      <color theme="1"/>
      <name val="Calibri"/>
      <family val="2"/>
      <scheme val="minor"/>
    </font>
    <font>
      <b/>
      <sz val="11"/>
      <color theme="1"/>
      <name val="Calibri"/>
      <family val="2"/>
      <scheme val="minor"/>
    </font>
    <font>
      <b/>
      <u/>
      <sz val="11"/>
      <color theme="1"/>
      <name val="Calibri"/>
      <family val="2"/>
      <scheme val="minor"/>
    </font>
    <font>
      <u/>
      <sz val="11"/>
      <color theme="1"/>
      <name val="Calibri"/>
      <family val="2"/>
      <scheme val="minor"/>
    </font>
    <font>
      <b/>
      <sz val="9"/>
      <color indexed="81"/>
      <name val="Tahoma"/>
      <family val="2"/>
    </font>
    <font>
      <sz val="9"/>
      <color indexed="81"/>
      <name val="Tahoma"/>
      <family val="2"/>
    </font>
    <font>
      <u/>
      <sz val="11"/>
      <color theme="10"/>
      <name val="Calibri"/>
      <family val="2"/>
      <scheme val="minor"/>
    </font>
    <font>
      <sz val="11"/>
      <name val="Calibri"/>
      <family val="2"/>
      <scheme val="minor"/>
    </font>
    <font>
      <sz val="11"/>
      <color rgb="FF9C0006"/>
      <name val="Calibri"/>
      <family val="2"/>
      <scheme val="minor"/>
    </font>
    <font>
      <b/>
      <sz val="11"/>
      <color rgb="FF3F3F3F"/>
      <name val="Calibri"/>
      <family val="2"/>
      <scheme val="minor"/>
    </font>
    <font>
      <b/>
      <u/>
      <sz val="11"/>
      <name val="Calibri"/>
      <family val="2"/>
      <scheme val="minor"/>
    </font>
    <font>
      <u/>
      <sz val="20"/>
      <color theme="0"/>
      <name val="Calibri"/>
      <family val="2"/>
      <scheme val="minor"/>
    </font>
    <font>
      <i/>
      <sz val="9"/>
      <color indexed="81"/>
      <name val="Tahoma"/>
      <family val="2"/>
    </font>
    <font>
      <sz val="11"/>
      <color rgb="FF9C6500"/>
      <name val="Calibri"/>
      <family val="2"/>
      <scheme val="minor"/>
    </font>
    <font>
      <sz val="20"/>
      <color theme="0"/>
      <name val="Calibri"/>
      <family val="2"/>
      <scheme val="minor"/>
    </font>
    <font>
      <sz val="11"/>
      <color theme="1"/>
      <name val="Calibri"/>
      <family val="2"/>
      <scheme val="minor"/>
    </font>
    <font>
      <sz val="10"/>
      <name val="Arial"/>
      <family val="2"/>
    </font>
    <font>
      <sz val="11"/>
      <color rgb="FF3F3F76"/>
      <name val="Calibri"/>
      <family val="2"/>
      <scheme val="minor"/>
    </font>
    <font>
      <sz val="11"/>
      <color theme="0"/>
      <name val="Calibri"/>
      <family val="2"/>
      <scheme val="minor"/>
    </font>
    <font>
      <sz val="11"/>
      <color rgb="FFFF0000"/>
      <name val="Calibri"/>
      <family val="2"/>
      <scheme val="minor"/>
    </font>
    <font>
      <sz val="11"/>
      <color rgb="FFFFC000"/>
      <name val="Calibri"/>
      <family val="2"/>
      <scheme val="minor"/>
    </font>
    <font>
      <sz val="11"/>
      <color rgb="FF000000"/>
      <name val="Calibri"/>
      <family val="2"/>
    </font>
  </fonts>
  <fills count="55">
    <fill>
      <patternFill patternType="none"/>
    </fill>
    <fill>
      <patternFill patternType="gray125"/>
    </fill>
    <fill>
      <patternFill patternType="solid">
        <fgColor rgb="FF23DF0F"/>
        <bgColor indexed="64"/>
      </patternFill>
    </fill>
    <fill>
      <patternFill patternType="solid">
        <fgColor theme="4" tint="0.39997558519241921"/>
        <bgColor indexed="64"/>
      </patternFill>
    </fill>
    <fill>
      <patternFill patternType="solid">
        <fgColor rgb="FFFFFF0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7CE"/>
      </patternFill>
    </fill>
    <fill>
      <patternFill patternType="solid">
        <fgColor rgb="FFF2F2F2"/>
      </patternFill>
    </fill>
    <fill>
      <patternFill patternType="solid">
        <fgColor theme="2" tint="-0.249977111117893"/>
        <bgColor indexed="64"/>
      </patternFill>
    </fill>
    <fill>
      <patternFill patternType="solid">
        <fgColor rgb="FFFF4B4B"/>
        <bgColor indexed="64"/>
      </patternFill>
    </fill>
    <fill>
      <patternFill patternType="solid">
        <fgColor theme="4" tint="0.59999389629810485"/>
        <bgColor indexed="64"/>
      </patternFill>
    </fill>
    <fill>
      <patternFill patternType="solid">
        <fgColor rgb="FF00FF00"/>
        <bgColor indexed="64"/>
      </patternFill>
    </fill>
    <fill>
      <patternFill patternType="solid">
        <fgColor theme="9" tint="-0.249977111117893"/>
        <bgColor indexed="64"/>
      </patternFill>
    </fill>
    <fill>
      <patternFill patternType="solid">
        <fgColor rgb="FFFFEB9C"/>
      </patternFill>
    </fill>
    <fill>
      <patternFill patternType="solid">
        <fgColor theme="9"/>
        <bgColor indexed="64"/>
      </patternFill>
    </fill>
    <fill>
      <patternFill patternType="solid">
        <fgColor theme="4"/>
        <bgColor indexed="64"/>
      </patternFill>
    </fill>
    <fill>
      <patternFill patternType="solid">
        <fgColor rgb="FFFF3B3B"/>
        <bgColor indexed="64"/>
      </patternFill>
    </fill>
    <fill>
      <patternFill patternType="solid">
        <fgColor theme="9" tint="0.79998168889431442"/>
        <bgColor indexed="64"/>
      </patternFill>
    </fill>
    <fill>
      <patternFill patternType="solid">
        <fgColor theme="0"/>
        <bgColor indexed="64"/>
      </patternFill>
    </fill>
    <fill>
      <patternFill patternType="solid">
        <fgColor theme="2" tint="-0.499984740745262"/>
        <bgColor indexed="64"/>
      </patternFill>
    </fill>
    <fill>
      <patternFill patternType="solid">
        <fgColor rgb="FFC1C1FF"/>
        <bgColor indexed="64"/>
      </patternFill>
    </fill>
    <fill>
      <patternFill patternType="solid">
        <fgColor theme="9" tint="0.59999389629810485"/>
        <bgColor indexed="64"/>
      </patternFill>
    </fill>
    <fill>
      <patternFill patternType="solid">
        <fgColor rgb="FF5DFF5D"/>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theme="2"/>
        <bgColor indexed="64"/>
      </patternFill>
    </fill>
    <fill>
      <patternFill patternType="solid">
        <fgColor theme="8"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FFCC99"/>
      </patternFill>
    </fill>
    <fill>
      <patternFill patternType="solid">
        <fgColor theme="1"/>
        <bgColor indexed="64"/>
      </patternFill>
    </fill>
    <fill>
      <patternFill patternType="solid">
        <fgColor rgb="FFFF0000"/>
        <bgColor indexed="64"/>
      </patternFill>
    </fill>
    <fill>
      <patternFill patternType="solid">
        <fgColor theme="5" tint="0.79998168889431442"/>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rgb="FFCC1204"/>
        <bgColor indexed="64"/>
      </patternFill>
    </fill>
    <fill>
      <patternFill patternType="solid">
        <fgColor rgb="FFDE0000"/>
        <bgColor indexed="64"/>
      </patternFill>
    </fill>
    <fill>
      <patternFill patternType="solid">
        <fgColor rgb="FFFF1111"/>
        <bgColor indexed="64"/>
      </patternFill>
    </fill>
    <fill>
      <patternFill patternType="solid">
        <fgColor rgb="FFFF4F4F"/>
        <bgColor indexed="64"/>
      </patternFill>
    </fill>
    <fill>
      <patternFill patternType="solid">
        <fgColor rgb="FFFF7171"/>
        <bgColor indexed="64"/>
      </patternFill>
    </fill>
    <fill>
      <patternFill patternType="solid">
        <fgColor rgb="FFFF9B9B"/>
        <bgColor indexed="64"/>
      </patternFill>
    </fill>
    <fill>
      <patternFill patternType="solid">
        <fgColor rgb="FFFFD5D5"/>
        <bgColor indexed="64"/>
      </patternFill>
    </fill>
    <fill>
      <patternFill patternType="solid">
        <fgColor rgb="FF005800"/>
        <bgColor indexed="64"/>
      </patternFill>
    </fill>
    <fill>
      <patternFill patternType="solid">
        <fgColor rgb="FF009900"/>
        <bgColor indexed="64"/>
      </patternFill>
    </fill>
    <fill>
      <patternFill patternType="solid">
        <fgColor rgb="FF008200"/>
        <bgColor indexed="64"/>
      </patternFill>
    </fill>
    <fill>
      <patternFill patternType="solid">
        <fgColor rgb="FF00A800"/>
        <bgColor indexed="64"/>
      </patternFill>
    </fill>
    <fill>
      <patternFill patternType="solid">
        <fgColor rgb="FF00C000"/>
        <bgColor indexed="64"/>
      </patternFill>
    </fill>
    <fill>
      <patternFill patternType="solid">
        <fgColor rgb="FF00D200"/>
        <bgColor indexed="64"/>
      </patternFill>
    </fill>
    <fill>
      <patternFill patternType="solid">
        <fgColor rgb="FF00FA00"/>
        <bgColor indexed="64"/>
      </patternFill>
    </fill>
    <fill>
      <patternFill patternType="solid">
        <fgColor rgb="FF61FF61"/>
        <bgColor indexed="64"/>
      </patternFill>
    </fill>
    <fill>
      <patternFill patternType="solid">
        <fgColor rgb="FF93FF93"/>
        <bgColor indexed="64"/>
      </patternFill>
    </fill>
    <fill>
      <patternFill patternType="solid">
        <fgColor rgb="FF004C00"/>
        <bgColor indexed="64"/>
      </patternFill>
    </fill>
  </fills>
  <borders count="29">
    <border>
      <left/>
      <right/>
      <top/>
      <bottom/>
      <diagonal/>
    </border>
    <border>
      <left style="thin">
        <color rgb="FF3F3F3F"/>
      </left>
      <right style="thin">
        <color rgb="FF3F3F3F"/>
      </right>
      <top style="thin">
        <color rgb="FF3F3F3F"/>
      </top>
      <bottom style="thin">
        <color rgb="FF3F3F3F"/>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style="thin">
        <color theme="2" tint="-9.9978637043366805E-2"/>
      </left>
      <right style="thin">
        <color theme="2" tint="-9.9978637043366805E-2"/>
      </right>
      <top style="thin">
        <color theme="2" tint="-9.9978637043366805E-2"/>
      </top>
      <bottom/>
      <diagonal/>
    </border>
    <border>
      <left style="thin">
        <color theme="2" tint="-9.9978637043366805E-2"/>
      </left>
      <right style="thin">
        <color theme="2" tint="-9.9978637043366805E-2"/>
      </right>
      <top/>
      <bottom style="thin">
        <color theme="2" tint="-9.9978637043366805E-2"/>
      </bottom>
      <diagonal/>
    </border>
    <border>
      <left style="thin">
        <color theme="2" tint="-9.9978637043366805E-2"/>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bottom style="thin">
        <color theme="0" tint="-0.14999847407452621"/>
      </bottom>
      <diagonal/>
    </border>
    <border>
      <left style="thin">
        <color theme="0" tint="-0.14999847407452621"/>
      </left>
      <right style="thin">
        <color theme="0" tint="-0.14999847407452621"/>
      </right>
      <top style="thin">
        <color theme="0" tint="-0.14999847407452621"/>
      </top>
      <bottom/>
      <diagonal/>
    </border>
    <border>
      <left/>
      <right style="thin">
        <color theme="0" tint="-0.14999847407452621"/>
      </right>
      <top/>
      <bottom/>
      <diagonal/>
    </border>
    <border>
      <left style="thin">
        <color theme="0" tint="-0.14999847407452621"/>
      </left>
      <right/>
      <top style="thin">
        <color theme="0" tint="-0.14999847407452621"/>
      </top>
      <bottom style="thin">
        <color theme="0" tint="-0.1499984740745262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7F7F7F"/>
      </left>
      <right style="thin">
        <color rgb="FF7F7F7F"/>
      </right>
      <top style="thin">
        <color rgb="FF7F7F7F"/>
      </top>
      <bottom style="thin">
        <color rgb="FF7F7F7F"/>
      </bottom>
      <diagonal/>
    </border>
    <border>
      <left/>
      <right/>
      <top style="thin">
        <color indexed="64"/>
      </top>
      <bottom/>
      <diagonal/>
    </border>
    <border>
      <left/>
      <right/>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s>
  <cellStyleXfs count="9">
    <xf numFmtId="0" fontId="0" fillId="0" borderId="0"/>
    <xf numFmtId="0" fontId="6" fillId="0" borderId="0" applyNumberFormat="0" applyFill="0" applyBorder="0" applyAlignment="0" applyProtection="0"/>
    <xf numFmtId="0" fontId="8" fillId="7" borderId="0" applyNumberFormat="0" applyBorder="0" applyAlignment="0" applyProtection="0"/>
    <xf numFmtId="0" fontId="9" fillId="8" borderId="1" applyNumberFormat="0" applyAlignment="0" applyProtection="0"/>
    <xf numFmtId="0" fontId="13" fillId="14" borderId="0" applyNumberFormat="0" applyBorder="0" applyAlignment="0" applyProtection="0"/>
    <xf numFmtId="9" fontId="15" fillId="0" borderId="0" applyFont="0" applyFill="0" applyBorder="0" applyAlignment="0" applyProtection="0"/>
    <xf numFmtId="44" fontId="15" fillId="0" borderId="0" applyFont="0" applyFill="0" applyBorder="0" applyAlignment="0" applyProtection="0"/>
    <xf numFmtId="176" fontId="16" fillId="0" borderId="0"/>
    <xf numFmtId="0" fontId="17" fillId="32" borderId="19" applyNumberFormat="0" applyAlignment="0" applyProtection="0"/>
  </cellStyleXfs>
  <cellXfs count="361">
    <xf numFmtId="0" fontId="0" fillId="0" borderId="0" xfId="0"/>
    <xf numFmtId="0" fontId="0" fillId="5" borderId="0" xfId="0" applyFill="1"/>
    <xf numFmtId="0" fontId="0" fillId="4" borderId="0" xfId="0" applyFill="1"/>
    <xf numFmtId="0" fontId="0" fillId="0" borderId="0" xfId="0" applyFill="1"/>
    <xf numFmtId="0" fontId="0" fillId="0" borderId="0" xfId="0" applyAlignment="1">
      <alignment horizontal="right"/>
    </xf>
    <xf numFmtId="164" fontId="0" fillId="0" borderId="0" xfId="0" applyNumberFormat="1"/>
    <xf numFmtId="2" fontId="0" fillId="0" borderId="0" xfId="0" applyNumberFormat="1"/>
    <xf numFmtId="0" fontId="0" fillId="0" borderId="0" xfId="0" applyAlignment="1">
      <alignment horizontal="center"/>
    </xf>
    <xf numFmtId="2" fontId="0" fillId="0" borderId="0" xfId="0" applyNumberFormat="1" applyAlignment="1">
      <alignment horizontal="center"/>
    </xf>
    <xf numFmtId="0" fontId="2" fillId="0" borderId="0" xfId="0" applyFont="1"/>
    <xf numFmtId="0" fontId="0" fillId="0" borderId="0" xfId="0" applyAlignment="1">
      <alignment horizontal="left"/>
    </xf>
    <xf numFmtId="165" fontId="0" fillId="0" borderId="0" xfId="0" applyNumberFormat="1"/>
    <xf numFmtId="0" fontId="6" fillId="0" borderId="0" xfId="1" applyAlignment="1">
      <alignment horizontal="center"/>
    </xf>
    <xf numFmtId="2" fontId="0" fillId="0" borderId="0" xfId="0" applyNumberFormat="1" applyAlignment="1">
      <alignment horizontal="left"/>
    </xf>
    <xf numFmtId="2" fontId="6" fillId="0" borderId="0" xfId="1" applyNumberFormat="1" applyAlignment="1">
      <alignment horizontal="center"/>
    </xf>
    <xf numFmtId="0" fontId="0" fillId="0" borderId="0" xfId="0" applyAlignment="1"/>
    <xf numFmtId="1" fontId="0" fillId="0" borderId="0" xfId="0" applyNumberFormat="1"/>
    <xf numFmtId="0" fontId="0" fillId="0" borderId="0" xfId="0" applyAlignment="1">
      <alignment horizontal="center"/>
    </xf>
    <xf numFmtId="0" fontId="0" fillId="6" borderId="0" xfId="0" applyFill="1"/>
    <xf numFmtId="0" fontId="2" fillId="6" borderId="0" xfId="0" applyFont="1" applyFill="1" applyAlignment="1"/>
    <xf numFmtId="0" fontId="3" fillId="6" borderId="0" xfId="0" applyFont="1" applyFill="1" applyAlignment="1">
      <alignment horizontal="center"/>
    </xf>
    <xf numFmtId="0" fontId="0" fillId="0" borderId="0" xfId="0" applyFill="1" applyBorder="1"/>
    <xf numFmtId="2" fontId="0" fillId="0" borderId="0" xfId="0" applyNumberFormat="1" applyFill="1"/>
    <xf numFmtId="2" fontId="0" fillId="0" borderId="0" xfId="0" applyNumberFormat="1" applyFill="1" applyAlignment="1">
      <alignment horizontal="right"/>
    </xf>
    <xf numFmtId="3" fontId="0" fillId="0" borderId="0" xfId="0" applyNumberFormat="1"/>
    <xf numFmtId="0" fontId="6" fillId="0" borderId="0" xfId="1"/>
    <xf numFmtId="0" fontId="7" fillId="0" borderId="0" xfId="1" applyFont="1" applyAlignment="1">
      <alignment horizontal="center"/>
    </xf>
    <xf numFmtId="0" fontId="0" fillId="0" borderId="0" xfId="0" applyFont="1" applyAlignment="1"/>
    <xf numFmtId="1" fontId="0" fillId="0" borderId="0" xfId="0" applyNumberFormat="1" applyFill="1"/>
    <xf numFmtId="1" fontId="0" fillId="0" borderId="0" xfId="0" applyNumberFormat="1" applyFill="1" applyAlignment="1">
      <alignment horizontal="right"/>
    </xf>
    <xf numFmtId="0" fontId="0" fillId="0" borderId="0" xfId="0" applyFont="1" applyAlignment="1">
      <alignment horizontal="right"/>
    </xf>
    <xf numFmtId="0" fontId="3" fillId="0" borderId="0" xfId="0" applyFont="1"/>
    <xf numFmtId="10" fontId="0" fillId="0" borderId="0" xfId="0" applyNumberFormat="1"/>
    <xf numFmtId="9" fontId="0" fillId="0" borderId="0" xfId="0" applyNumberFormat="1"/>
    <xf numFmtId="166" fontId="0" fillId="0" borderId="0" xfId="0" applyNumberFormat="1"/>
    <xf numFmtId="0" fontId="8" fillId="7" borderId="0" xfId="2"/>
    <xf numFmtId="0" fontId="3" fillId="0" borderId="0" xfId="0" applyFont="1" applyAlignment="1">
      <alignment horizontal="center"/>
    </xf>
    <xf numFmtId="0" fontId="0" fillId="0" borderId="0" xfId="0" applyFill="1" applyAlignment="1">
      <alignment horizontal="right"/>
    </xf>
    <xf numFmtId="0" fontId="3" fillId="0" borderId="0" xfId="0" applyFont="1" applyFill="1" applyAlignment="1"/>
    <xf numFmtId="0" fontId="2" fillId="0" borderId="0" xfId="0" applyFont="1" applyFill="1" applyAlignment="1"/>
    <xf numFmtId="2" fontId="9" fillId="8" borderId="1" xfId="3" applyNumberFormat="1"/>
    <xf numFmtId="0" fontId="9" fillId="8" borderId="1" xfId="3"/>
    <xf numFmtId="0" fontId="6" fillId="0" borderId="0" xfId="1" applyFill="1" applyAlignment="1">
      <alignment horizontal="center"/>
    </xf>
    <xf numFmtId="0" fontId="0" fillId="9" borderId="0" xfId="0" applyFill="1"/>
    <xf numFmtId="0" fontId="3" fillId="0" borderId="0" xfId="0" applyFont="1" applyFill="1" applyAlignment="1">
      <alignment horizontal="center"/>
    </xf>
    <xf numFmtId="2" fontId="0" fillId="0" borderId="0" xfId="0" applyNumberFormat="1" applyAlignment="1">
      <alignment horizontal="right"/>
    </xf>
    <xf numFmtId="1" fontId="0" fillId="0" borderId="0" xfId="0" applyNumberFormat="1" applyAlignment="1">
      <alignment horizontal="right"/>
    </xf>
    <xf numFmtId="2" fontId="9" fillId="8" borderId="1" xfId="3" applyNumberFormat="1" applyAlignment="1">
      <alignment horizontal="right"/>
    </xf>
    <xf numFmtId="0" fontId="2" fillId="6" borderId="0" xfId="0" applyFont="1" applyFill="1" applyAlignment="1">
      <alignment horizontal="center"/>
    </xf>
    <xf numFmtId="0" fontId="0" fillId="6" borderId="0" xfId="0" applyFill="1" applyAlignment="1">
      <alignment horizontal="center"/>
    </xf>
    <xf numFmtId="0" fontId="0" fillId="0" borderId="0" xfId="0" applyAlignment="1">
      <alignment horizontal="center" vertical="center" wrapText="1"/>
    </xf>
    <xf numFmtId="0" fontId="0" fillId="9" borderId="0" xfId="0" applyFill="1" applyAlignment="1">
      <alignment horizontal="right"/>
    </xf>
    <xf numFmtId="0" fontId="0" fillId="0" borderId="0" xfId="0"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Fill="1" applyAlignment="1">
      <alignment horizontal="center"/>
    </xf>
    <xf numFmtId="167" fontId="0" fillId="0" borderId="0" xfId="0" applyNumberFormat="1"/>
    <xf numFmtId="165" fontId="7" fillId="0" borderId="0" xfId="4" applyNumberFormat="1" applyFont="1" applyFill="1"/>
    <xf numFmtId="165" fontId="0" fillId="0" borderId="0" xfId="0" applyNumberFormat="1" applyFont="1" applyFill="1" applyAlignment="1"/>
    <xf numFmtId="166" fontId="0" fillId="0" borderId="0" xfId="0" applyNumberFormat="1" applyFill="1"/>
    <xf numFmtId="2" fontId="0" fillId="0" borderId="0" xfId="0" applyNumberFormat="1" applyFont="1" applyFill="1"/>
    <xf numFmtId="164" fontId="0" fillId="0" borderId="0" xfId="0" applyNumberFormat="1" applyFill="1"/>
    <xf numFmtId="1" fontId="0" fillId="0" borderId="0" xfId="0" applyNumberFormat="1" applyAlignment="1">
      <alignment horizontal="center"/>
    </xf>
    <xf numFmtId="1" fontId="3" fillId="0" borderId="0" xfId="0" applyNumberFormat="1" applyFont="1" applyAlignment="1">
      <alignment horizontal="center"/>
    </xf>
    <xf numFmtId="0" fontId="3" fillId="0" borderId="0" xfId="0" quotePrefix="1" applyFont="1" applyAlignment="1">
      <alignment horizontal="center"/>
    </xf>
    <xf numFmtId="0" fontId="0" fillId="0" borderId="0" xfId="0" applyFill="1" applyAlignment="1">
      <alignment horizontal="center"/>
    </xf>
    <xf numFmtId="0" fontId="0" fillId="0" borderId="0" xfId="0" applyAlignment="1">
      <alignment horizontal="center"/>
    </xf>
    <xf numFmtId="0" fontId="0" fillId="16" borderId="0" xfId="0" applyFill="1"/>
    <xf numFmtId="11" fontId="0" fillId="0" borderId="0" xfId="0" applyNumberFormat="1"/>
    <xf numFmtId="0" fontId="0" fillId="9" borderId="0" xfId="0" applyFill="1" applyAlignment="1">
      <alignment horizontal="center"/>
    </xf>
    <xf numFmtId="0" fontId="0" fillId="17" borderId="0" xfId="0" applyFill="1" applyAlignment="1">
      <alignment horizontal="center"/>
    </xf>
    <xf numFmtId="0" fontId="0" fillId="18" borderId="0" xfId="0" applyFill="1" applyAlignment="1">
      <alignment horizontal="center" vertical="center" wrapText="1"/>
    </xf>
    <xf numFmtId="0" fontId="0" fillId="12" borderId="0" xfId="0" applyFill="1" applyAlignment="1">
      <alignment horizontal="center"/>
    </xf>
    <xf numFmtId="0" fontId="0" fillId="16" borderId="0" xfId="0" applyFill="1" applyAlignment="1">
      <alignment horizontal="center"/>
    </xf>
    <xf numFmtId="0" fontId="0" fillId="0" borderId="0" xfId="0" applyNumberFormat="1"/>
    <xf numFmtId="0" fontId="0" fillId="0" borderId="0" xfId="0" applyAlignment="1">
      <alignment horizontal="center"/>
    </xf>
    <xf numFmtId="0" fontId="0" fillId="0" borderId="0" xfId="0" applyFill="1" applyAlignment="1">
      <alignment horizontal="center"/>
    </xf>
    <xf numFmtId="0" fontId="0" fillId="0" borderId="0" xfId="0" applyFill="1" applyAlignment="1"/>
    <xf numFmtId="0" fontId="0" fillId="16" borderId="0" xfId="0" applyFill="1" applyAlignment="1"/>
    <xf numFmtId="11" fontId="0" fillId="0" borderId="0" xfId="0" applyNumberFormat="1" applyFill="1"/>
    <xf numFmtId="0" fontId="0" fillId="20" borderId="0" xfId="0" applyFill="1" applyAlignment="1">
      <alignment horizontal="center"/>
    </xf>
    <xf numFmtId="11" fontId="0" fillId="20" borderId="0" xfId="0" applyNumberFormat="1" applyFill="1"/>
    <xf numFmtId="11" fontId="0" fillId="0" borderId="0" xfId="0" applyNumberFormat="1" applyAlignment="1">
      <alignment horizontal="center"/>
    </xf>
    <xf numFmtId="167" fontId="0" fillId="0" borderId="0" xfId="0" applyNumberFormat="1" applyFill="1"/>
    <xf numFmtId="11" fontId="0" fillId="0" borderId="5" xfId="0" applyNumberFormat="1" applyBorder="1"/>
    <xf numFmtId="0" fontId="3" fillId="0" borderId="0" xfId="0" applyFont="1" applyAlignment="1">
      <alignment horizontal="center"/>
    </xf>
    <xf numFmtId="10" fontId="0" fillId="0" borderId="0" xfId="5" applyNumberFormat="1" applyFont="1" applyAlignment="1">
      <alignment horizontal="center"/>
    </xf>
    <xf numFmtId="10" fontId="0" fillId="0" borderId="0" xfId="5" applyNumberFormat="1" applyFont="1" applyFill="1" applyAlignment="1">
      <alignment horizontal="center"/>
    </xf>
    <xf numFmtId="10" fontId="0" fillId="0" borderId="0" xfId="0" applyNumberFormat="1" applyFill="1" applyAlignment="1">
      <alignment horizontal="center"/>
    </xf>
    <xf numFmtId="0" fontId="3" fillId="0" borderId="0" xfId="0" applyFont="1" applyFill="1" applyBorder="1"/>
    <xf numFmtId="0" fontId="0" fillId="0" borderId="0" xfId="0" applyNumberFormat="1" applyFill="1"/>
    <xf numFmtId="165" fontId="0" fillId="0" borderId="0" xfId="0" applyNumberFormat="1" applyFill="1"/>
    <xf numFmtId="9" fontId="0" fillId="0" borderId="0" xfId="5" applyFont="1"/>
    <xf numFmtId="2" fontId="0" fillId="22" borderId="0" xfId="0" applyNumberFormat="1" applyFill="1"/>
    <xf numFmtId="169" fontId="0" fillId="0" borderId="0" xfId="0" applyNumberFormat="1"/>
    <xf numFmtId="1" fontId="0" fillId="22" borderId="0" xfId="0" applyNumberFormat="1" applyFill="1"/>
    <xf numFmtId="10" fontId="0" fillId="0" borderId="0" xfId="5" applyNumberFormat="1" applyFont="1"/>
    <xf numFmtId="0" fontId="0" fillId="23" borderId="0" xfId="0" applyFill="1" applyAlignment="1">
      <alignment horizontal="center"/>
    </xf>
    <xf numFmtId="0" fontId="0" fillId="21" borderId="0" xfId="0" applyFill="1" applyAlignment="1">
      <alignment horizontal="center"/>
    </xf>
    <xf numFmtId="0" fontId="0" fillId="21" borderId="3" xfId="0" applyFill="1" applyBorder="1" applyAlignment="1">
      <alignment horizontal="center"/>
    </xf>
    <xf numFmtId="0" fontId="0" fillId="21" borderId="2" xfId="0" applyFill="1" applyBorder="1" applyAlignment="1">
      <alignment horizontal="center"/>
    </xf>
    <xf numFmtId="0" fontId="0" fillId="21" borderId="4" xfId="0" applyFill="1" applyBorder="1" applyAlignment="1">
      <alignment horizontal="center"/>
    </xf>
    <xf numFmtId="170" fontId="0" fillId="0" borderId="0" xfId="0" applyNumberFormat="1" applyAlignment="1">
      <alignment horizontal="center"/>
    </xf>
    <xf numFmtId="1" fontId="13" fillId="0" borderId="0" xfId="4" applyNumberFormat="1" applyFill="1"/>
    <xf numFmtId="0" fontId="0" fillId="0" borderId="7" xfId="0" applyFill="1" applyBorder="1" applyAlignment="1">
      <alignment horizontal="center"/>
    </xf>
    <xf numFmtId="0" fontId="0" fillId="0" borderId="8" xfId="0" applyBorder="1" applyAlignment="1">
      <alignment horizontal="center"/>
    </xf>
    <xf numFmtId="0" fontId="0" fillId="19" borderId="6" xfId="0" applyFill="1" applyBorder="1" applyAlignment="1">
      <alignment horizontal="center"/>
    </xf>
    <xf numFmtId="0" fontId="0" fillId="16" borderId="9" xfId="0" applyFill="1" applyBorder="1" applyAlignment="1"/>
    <xf numFmtId="9" fontId="0" fillId="0" borderId="0" xfId="0" applyNumberFormat="1" applyFill="1"/>
    <xf numFmtId="171" fontId="0" fillId="0" borderId="0" xfId="5" applyNumberFormat="1" applyFont="1" applyFill="1"/>
    <xf numFmtId="0" fontId="0" fillId="0" borderId="10" xfId="0" applyBorder="1" applyAlignment="1">
      <alignment horizontal="center"/>
    </xf>
    <xf numFmtId="0" fontId="0" fillId="19" borderId="10" xfId="0" applyFill="1" applyBorder="1" applyAlignment="1">
      <alignment horizontal="center"/>
    </xf>
    <xf numFmtId="0" fontId="0" fillId="24" borderId="0" xfId="0" applyFill="1" applyAlignment="1">
      <alignment horizontal="center"/>
    </xf>
    <xf numFmtId="0" fontId="0" fillId="25" borderId="0" xfId="0" applyFill="1" applyAlignment="1">
      <alignment horizontal="center"/>
    </xf>
    <xf numFmtId="0" fontId="7" fillId="0" borderId="0" xfId="4" applyFont="1" applyFill="1" applyAlignment="1">
      <alignment horizontal="center"/>
    </xf>
    <xf numFmtId="0" fontId="0" fillId="24" borderId="0" xfId="0" applyFill="1"/>
    <xf numFmtId="11" fontId="0" fillId="24" borderId="0" xfId="0" applyNumberFormat="1" applyFill="1"/>
    <xf numFmtId="167" fontId="0" fillId="25" borderId="0" xfId="0" applyNumberFormat="1" applyFill="1"/>
    <xf numFmtId="0" fontId="0" fillId="25" borderId="0" xfId="0" applyFill="1"/>
    <xf numFmtId="2" fontId="0" fillId="26" borderId="0" xfId="0" applyNumberFormat="1" applyFill="1"/>
    <xf numFmtId="0" fontId="0" fillId="26" borderId="0" xfId="0" applyFill="1" applyAlignment="1">
      <alignment horizontal="center"/>
    </xf>
    <xf numFmtId="0" fontId="0" fillId="18" borderId="0" xfId="0" applyFill="1"/>
    <xf numFmtId="44" fontId="0" fillId="0" borderId="0" xfId="6" applyFont="1"/>
    <xf numFmtId="44" fontId="0" fillId="0" borderId="0" xfId="0" applyNumberFormat="1"/>
    <xf numFmtId="2" fontId="8" fillId="7" borderId="0" xfId="2" applyNumberFormat="1"/>
    <xf numFmtId="0" fontId="0" fillId="0" borderId="0" xfId="0" applyFont="1"/>
    <xf numFmtId="173" fontId="0" fillId="0" borderId="0" xfId="0" applyNumberFormat="1"/>
    <xf numFmtId="172" fontId="0" fillId="0" borderId="0" xfId="6" applyNumberFormat="1" applyFont="1"/>
    <xf numFmtId="0" fontId="0" fillId="0" borderId="0" xfId="6" applyNumberFormat="1" applyFont="1"/>
    <xf numFmtId="174" fontId="0" fillId="0" borderId="0" xfId="6" applyNumberFormat="1" applyFont="1"/>
    <xf numFmtId="174" fontId="0" fillId="26" borderId="0" xfId="6" applyNumberFormat="1" applyFont="1" applyFill="1"/>
    <xf numFmtId="0" fontId="0" fillId="26" borderId="0" xfId="0" applyFill="1"/>
    <xf numFmtId="173" fontId="0" fillId="26" borderId="0" xfId="0" applyNumberFormat="1" applyFill="1"/>
    <xf numFmtId="172" fontId="0" fillId="26" borderId="0" xfId="6" applyNumberFormat="1" applyFont="1" applyFill="1"/>
    <xf numFmtId="0" fontId="0" fillId="27" borderId="0" xfId="0" applyFill="1"/>
    <xf numFmtId="168" fontId="0" fillId="27" borderId="0" xfId="0" applyNumberFormat="1" applyFill="1"/>
    <xf numFmtId="169" fontId="0" fillId="27" borderId="0" xfId="0" applyNumberFormat="1" applyFill="1"/>
    <xf numFmtId="172" fontId="0" fillId="28" borderId="0" xfId="6" applyNumberFormat="1" applyFont="1" applyFill="1"/>
    <xf numFmtId="11" fontId="0" fillId="5" borderId="0" xfId="0" applyNumberFormat="1" applyFill="1"/>
    <xf numFmtId="173" fontId="0" fillId="0" borderId="0" xfId="6" applyNumberFormat="1" applyFont="1"/>
    <xf numFmtId="0" fontId="1" fillId="0" borderId="0" xfId="0" applyFont="1" applyAlignment="1">
      <alignment horizontal="right"/>
    </xf>
    <xf numFmtId="0" fontId="1" fillId="0" borderId="0" xfId="0" applyFont="1"/>
    <xf numFmtId="172" fontId="0" fillId="0" borderId="0" xfId="6" applyNumberFormat="1" applyFont="1" applyFill="1"/>
    <xf numFmtId="9" fontId="0" fillId="0" borderId="0" xfId="5" applyFont="1" applyFill="1"/>
    <xf numFmtId="10" fontId="0" fillId="0" borderId="0" xfId="5" applyNumberFormat="1" applyFont="1" applyFill="1"/>
    <xf numFmtId="9" fontId="1" fillId="0" borderId="0" xfId="5" applyFont="1"/>
    <xf numFmtId="173" fontId="0" fillId="0" borderId="0" xfId="0" applyNumberFormat="1" applyFont="1"/>
    <xf numFmtId="172" fontId="0" fillId="0" borderId="0" xfId="0" applyNumberFormat="1" applyFont="1"/>
    <xf numFmtId="9" fontId="15" fillId="0" borderId="0" xfId="5" applyFont="1"/>
    <xf numFmtId="0" fontId="3" fillId="0" borderId="0" xfId="0" applyFont="1" applyAlignment="1">
      <alignment horizontal="right"/>
    </xf>
    <xf numFmtId="44" fontId="1" fillId="0" borderId="0" xfId="0" applyNumberFormat="1" applyFont="1"/>
    <xf numFmtId="44" fontId="0" fillId="29" borderId="0" xfId="6" applyFont="1" applyFill="1"/>
    <xf numFmtId="0" fontId="0" fillId="29" borderId="0" xfId="0" applyFill="1"/>
    <xf numFmtId="44" fontId="0" fillId="24" borderId="0" xfId="6" applyFont="1" applyFill="1"/>
    <xf numFmtId="44" fontId="0" fillId="30" borderId="0" xfId="6" applyFont="1" applyFill="1"/>
    <xf numFmtId="0" fontId="0" fillId="30" borderId="0" xfId="0" applyFill="1"/>
    <xf numFmtId="44" fontId="0" fillId="31" borderId="0" xfId="6" applyFont="1" applyFill="1"/>
    <xf numFmtId="0" fontId="0" fillId="31" borderId="0" xfId="0" applyFill="1"/>
    <xf numFmtId="44" fontId="0" fillId="4" borderId="0" xfId="6" applyFont="1" applyFill="1"/>
    <xf numFmtId="44" fontId="0" fillId="9" borderId="0" xfId="6" applyFont="1" applyFill="1"/>
    <xf numFmtId="44" fontId="0" fillId="0" borderId="0" xfId="0" applyNumberFormat="1" applyAlignment="1"/>
    <xf numFmtId="6" fontId="0" fillId="0" borderId="0" xfId="0" applyNumberFormat="1"/>
    <xf numFmtId="175" fontId="0" fillId="0" borderId="0" xfId="5" applyNumberFormat="1" applyFont="1"/>
    <xf numFmtId="9" fontId="0" fillId="0" borderId="0" xfId="0" applyNumberFormat="1" applyAlignment="1">
      <alignment horizontal="left"/>
    </xf>
    <xf numFmtId="177" fontId="0" fillId="0" borderId="0" xfId="6" applyNumberFormat="1" applyFont="1"/>
    <xf numFmtId="0" fontId="0" fillId="0" borderId="0" xfId="5" applyNumberFormat="1" applyFont="1"/>
    <xf numFmtId="0" fontId="0" fillId="9" borderId="0" xfId="6" applyNumberFormat="1" applyFont="1" applyFill="1"/>
    <xf numFmtId="44" fontId="0" fillId="0" borderId="0" xfId="6" applyFont="1" applyAlignment="1">
      <alignment horizontal="right"/>
    </xf>
    <xf numFmtId="0" fontId="0" fillId="0" borderId="11" xfId="0" applyBorder="1" applyAlignment="1">
      <alignment horizontal="right"/>
    </xf>
    <xf numFmtId="0" fontId="0" fillId="0" borderId="12" xfId="0" applyBorder="1"/>
    <xf numFmtId="0" fontId="0" fillId="0" borderId="13" xfId="0" applyBorder="1"/>
    <xf numFmtId="0" fontId="0" fillId="0" borderId="14" xfId="0" applyBorder="1" applyAlignment="1">
      <alignment horizontal="right"/>
    </xf>
    <xf numFmtId="0" fontId="0" fillId="0" borderId="0" xfId="0" applyBorder="1"/>
    <xf numFmtId="44" fontId="0" fillId="0" borderId="0" xfId="6" applyFont="1" applyBorder="1"/>
    <xf numFmtId="44" fontId="0" fillId="0" borderId="15" xfId="6" applyFont="1" applyBorder="1"/>
    <xf numFmtId="44" fontId="6" fillId="0" borderId="0" xfId="1" applyNumberFormat="1" applyBorder="1" applyAlignment="1">
      <alignment horizontal="center"/>
    </xf>
    <xf numFmtId="10" fontId="0" fillId="0" borderId="0" xfId="5" applyNumberFormat="1" applyFont="1" applyBorder="1"/>
    <xf numFmtId="10" fontId="0" fillId="0" borderId="15" xfId="5" applyNumberFormat="1" applyFont="1" applyBorder="1"/>
    <xf numFmtId="0" fontId="0" fillId="0" borderId="14" xfId="0" applyNumberFormat="1" applyBorder="1" applyAlignment="1">
      <alignment horizontal="right"/>
    </xf>
    <xf numFmtId="0" fontId="0" fillId="0" borderId="0" xfId="0" applyNumberFormat="1" applyBorder="1"/>
    <xf numFmtId="0" fontId="0" fillId="0" borderId="0" xfId="6" applyNumberFormat="1" applyFont="1" applyBorder="1"/>
    <xf numFmtId="0" fontId="0" fillId="0" borderId="15" xfId="6" applyNumberFormat="1" applyFont="1" applyBorder="1"/>
    <xf numFmtId="177" fontId="0" fillId="0" borderId="0" xfId="0" applyNumberFormat="1" applyBorder="1"/>
    <xf numFmtId="0" fontId="0" fillId="0" borderId="16" xfId="0" applyBorder="1" applyAlignment="1">
      <alignment horizontal="right"/>
    </xf>
    <xf numFmtId="0" fontId="0" fillId="0" borderId="17" xfId="0" applyBorder="1"/>
    <xf numFmtId="44" fontId="0" fillId="0" borderId="17" xfId="6" applyFont="1" applyBorder="1"/>
    <xf numFmtId="44" fontId="0" fillId="0" borderId="18" xfId="6" applyFont="1" applyBorder="1"/>
    <xf numFmtId="0" fontId="0" fillId="0" borderId="15" xfId="0" applyBorder="1"/>
    <xf numFmtId="0" fontId="0" fillId="26" borderId="14" xfId="0" applyFill="1" applyBorder="1" applyAlignment="1">
      <alignment horizontal="right"/>
    </xf>
    <xf numFmtId="0" fontId="0" fillId="26" borderId="0" xfId="0" applyFill="1" applyBorder="1"/>
    <xf numFmtId="44" fontId="0" fillId="26" borderId="0" xfId="6" applyFont="1" applyFill="1" applyBorder="1"/>
    <xf numFmtId="44" fontId="0" fillId="26" borderId="15" xfId="6" applyFont="1" applyFill="1" applyBorder="1"/>
    <xf numFmtId="44" fontId="0" fillId="26" borderId="0" xfId="6" applyFont="1" applyFill="1"/>
    <xf numFmtId="44" fontId="0" fillId="0" borderId="0" xfId="0" applyNumberFormat="1" applyBorder="1"/>
    <xf numFmtId="177" fontId="0" fillId="0" borderId="0" xfId="6" applyNumberFormat="1" applyFont="1" applyBorder="1"/>
    <xf numFmtId="44" fontId="0" fillId="0" borderId="0" xfId="5" applyNumberFormat="1" applyFont="1" applyBorder="1"/>
    <xf numFmtId="0" fontId="2" fillId="0" borderId="0" xfId="0" applyFont="1" applyAlignment="1">
      <alignment horizontal="center"/>
    </xf>
    <xf numFmtId="0" fontId="0" fillId="0" borderId="0" xfId="0" applyAlignment="1">
      <alignment horizontal="center"/>
    </xf>
    <xf numFmtId="0" fontId="0" fillId="0" borderId="0" xfId="0" applyFont="1" applyFill="1" applyAlignment="1">
      <alignment horizontal="center"/>
    </xf>
    <xf numFmtId="0" fontId="0" fillId="0" borderId="0" xfId="0" applyFill="1" applyAlignment="1">
      <alignment horizontal="center"/>
    </xf>
    <xf numFmtId="0" fontId="0" fillId="0" borderId="0" xfId="0" applyFont="1" applyAlignment="1">
      <alignment horizontal="center"/>
    </xf>
    <xf numFmtId="0" fontId="1" fillId="0" borderId="0" xfId="0" applyFont="1" applyAlignment="1">
      <alignment horizontal="center"/>
    </xf>
    <xf numFmtId="0" fontId="0" fillId="0" borderId="0" xfId="0" applyAlignment="1">
      <alignment horizontal="center"/>
    </xf>
    <xf numFmtId="0" fontId="0" fillId="11" borderId="0" xfId="0" applyFill="1" applyAlignment="1">
      <alignment horizontal="center"/>
    </xf>
    <xf numFmtId="9" fontId="0" fillId="0" borderId="0" xfId="5" applyFont="1" applyAlignment="1">
      <alignment horizontal="right"/>
    </xf>
    <xf numFmtId="0" fontId="0" fillId="0" borderId="0" xfId="0" applyBorder="1" applyAlignment="1">
      <alignment horizontal="right"/>
    </xf>
    <xf numFmtId="171" fontId="0" fillId="0" borderId="0" xfId="5" applyNumberFormat="1" applyFont="1"/>
    <xf numFmtId="44" fontId="0" fillId="0" borderId="0" xfId="6" applyNumberFormat="1" applyFont="1"/>
    <xf numFmtId="177" fontId="0" fillId="0" borderId="0" xfId="0" applyNumberFormat="1"/>
    <xf numFmtId="177" fontId="0" fillId="0" borderId="17" xfId="0" applyNumberFormat="1" applyBorder="1"/>
    <xf numFmtId="0" fontId="0" fillId="0" borderId="0" xfId="0" applyFill="1" applyBorder="1" applyAlignment="1">
      <alignment horizontal="right"/>
    </xf>
    <xf numFmtId="9" fontId="0" fillId="0" borderId="0" xfId="5" applyFont="1" applyAlignment="1">
      <alignment horizontal="center"/>
    </xf>
    <xf numFmtId="44" fontId="0" fillId="0" borderId="0" xfId="0" applyNumberFormat="1" applyAlignment="1">
      <alignment horizontal="right"/>
    </xf>
    <xf numFmtId="2" fontId="0" fillId="0" borderId="0" xfId="6" applyNumberFormat="1" applyFont="1"/>
    <xf numFmtId="0" fontId="0" fillId="0" borderId="20" xfId="0" applyBorder="1"/>
    <xf numFmtId="174" fontId="0" fillId="26" borderId="20" xfId="6" applyNumberFormat="1" applyFont="1" applyFill="1" applyBorder="1"/>
    <xf numFmtId="0" fontId="0" fillId="26" borderId="20" xfId="0" applyFill="1" applyBorder="1"/>
    <xf numFmtId="173" fontId="0" fillId="26" borderId="20" xfId="0" applyNumberFormat="1" applyFill="1" applyBorder="1"/>
    <xf numFmtId="172" fontId="0" fillId="26" borderId="20" xfId="6" applyNumberFormat="1" applyFont="1" applyFill="1" applyBorder="1"/>
    <xf numFmtId="0" fontId="0" fillId="0" borderId="21" xfId="0" applyBorder="1"/>
    <xf numFmtId="174" fontId="0" fillId="26" borderId="21" xfId="6" applyNumberFormat="1" applyFont="1" applyFill="1" applyBorder="1"/>
    <xf numFmtId="0" fontId="0" fillId="26" borderId="21" xfId="0" applyFill="1" applyBorder="1"/>
    <xf numFmtId="173" fontId="0" fillId="26" borderId="21" xfId="0" applyNumberFormat="1" applyFill="1" applyBorder="1"/>
    <xf numFmtId="172" fontId="0" fillId="26" borderId="21" xfId="6" applyNumberFormat="1" applyFont="1" applyFill="1" applyBorder="1"/>
    <xf numFmtId="0" fontId="0" fillId="22" borderId="0" xfId="0" applyFill="1" applyAlignment="1">
      <alignment horizontal="center"/>
    </xf>
    <xf numFmtId="0" fontId="0" fillId="25" borderId="0" xfId="0" applyFont="1" applyFill="1" applyAlignment="1">
      <alignment horizontal="center"/>
    </xf>
    <xf numFmtId="9" fontId="0" fillId="25" borderId="0" xfId="5" applyFont="1" applyFill="1"/>
    <xf numFmtId="1" fontId="0" fillId="6" borderId="0" xfId="0" applyNumberFormat="1" applyFill="1"/>
    <xf numFmtId="164" fontId="0" fillId="6" borderId="0" xfId="0" applyNumberFormat="1" applyFill="1"/>
    <xf numFmtId="1" fontId="0" fillId="0" borderId="0" xfId="6" applyNumberFormat="1" applyFont="1"/>
    <xf numFmtId="164" fontId="0" fillId="0" borderId="0" xfId="0" applyNumberFormat="1" applyFont="1" applyAlignment="1">
      <alignment horizontal="right"/>
    </xf>
    <xf numFmtId="0" fontId="17" fillId="32" borderId="19" xfId="8" applyAlignment="1">
      <alignment horizontal="center"/>
    </xf>
    <xf numFmtId="178" fontId="0" fillId="0" borderId="0" xfId="6" applyNumberFormat="1" applyFont="1" applyAlignment="1">
      <alignment horizontal="center"/>
    </xf>
    <xf numFmtId="44" fontId="0" fillId="35" borderId="0" xfId="0" applyNumberFormat="1" applyFill="1"/>
    <xf numFmtId="44" fontId="0" fillId="35" borderId="0" xfId="6" applyFont="1" applyFill="1"/>
    <xf numFmtId="0" fontId="0" fillId="0" borderId="0" xfId="0" applyAlignment="1">
      <alignment horizontal="right"/>
    </xf>
    <xf numFmtId="0" fontId="7" fillId="25" borderId="0" xfId="0" applyFont="1" applyFill="1" applyAlignment="1">
      <alignment horizontal="right"/>
    </xf>
    <xf numFmtId="2" fontId="0" fillId="25" borderId="0" xfId="5" applyNumberFormat="1" applyFont="1" applyFill="1"/>
    <xf numFmtId="0" fontId="0" fillId="0" borderId="0" xfId="0" applyFill="1" applyAlignment="1">
      <alignment horizontal="center" vertical="center" wrapText="1"/>
    </xf>
    <xf numFmtId="0" fontId="0" fillId="0" borderId="22" xfId="0" applyFill="1" applyBorder="1"/>
    <xf numFmtId="0" fontId="0" fillId="0" borderId="22" xfId="0" applyFill="1" applyBorder="1" applyAlignment="1">
      <alignment horizontal="right"/>
    </xf>
    <xf numFmtId="0" fontId="0" fillId="0" borderId="22" xfId="0" applyBorder="1"/>
    <xf numFmtId="2" fontId="0" fillId="0" borderId="22" xfId="0" applyNumberFormat="1" applyBorder="1"/>
    <xf numFmtId="2" fontId="0" fillId="0" borderId="22" xfId="0" applyNumberFormat="1" applyFill="1" applyBorder="1"/>
    <xf numFmtId="11" fontId="0" fillId="0" borderId="22" xfId="0" applyNumberFormat="1" applyFill="1" applyBorder="1"/>
    <xf numFmtId="0" fontId="0" fillId="0" borderId="22" xfId="0" applyFill="1" applyBorder="1" applyAlignment="1">
      <alignment horizontal="left"/>
    </xf>
    <xf numFmtId="164" fontId="7" fillId="0" borderId="0" xfId="2" applyNumberFormat="1" applyFont="1" applyFill="1"/>
    <xf numFmtId="0" fontId="0" fillId="0" borderId="0" xfId="0" applyAlignment="1">
      <alignment horizontal="right"/>
    </xf>
    <xf numFmtId="0" fontId="0" fillId="0" borderId="0" xfId="0" applyAlignment="1">
      <alignment horizontal="right"/>
    </xf>
    <xf numFmtId="179" fontId="0" fillId="0" borderId="0" xfId="6" applyNumberFormat="1" applyFont="1"/>
    <xf numFmtId="168" fontId="0" fillId="0" borderId="0" xfId="0" applyNumberFormat="1"/>
    <xf numFmtId="179" fontId="0" fillId="0" borderId="0" xfId="0" applyNumberFormat="1"/>
    <xf numFmtId="44" fontId="0" fillId="4" borderId="0" xfId="0" applyNumberFormat="1" applyFill="1"/>
    <xf numFmtId="0" fontId="0" fillId="0" borderId="0" xfId="0" applyAlignment="1">
      <alignment horizontal="right"/>
    </xf>
    <xf numFmtId="177" fontId="0" fillId="24" borderId="0" xfId="0" applyNumberFormat="1" applyFill="1" applyBorder="1"/>
    <xf numFmtId="44" fontId="0" fillId="24" borderId="0" xfId="6" applyFont="1" applyFill="1" applyBorder="1"/>
    <xf numFmtId="44" fontId="0" fillId="0" borderId="0" xfId="6" applyFont="1" applyFill="1"/>
    <xf numFmtId="0" fontId="0" fillId="0" borderId="0" xfId="0" applyAlignment="1">
      <alignment horizontal="right"/>
    </xf>
    <xf numFmtId="0" fontId="0" fillId="0" borderId="0" xfId="0" applyAlignment="1">
      <alignment horizontal="center"/>
    </xf>
    <xf numFmtId="0" fontId="0" fillId="0" borderId="0" xfId="0" applyAlignment="1">
      <alignment horizontal="center"/>
    </xf>
    <xf numFmtId="0" fontId="0" fillId="0" borderId="0" xfId="0" applyFont="1" applyFill="1" applyAlignment="1">
      <alignment horizontal="center"/>
    </xf>
    <xf numFmtId="0" fontId="0" fillId="0" borderId="0" xfId="0" applyFill="1" applyAlignment="1">
      <alignment horizontal="center"/>
    </xf>
    <xf numFmtId="0" fontId="0" fillId="0" borderId="0" xfId="0" applyFont="1" applyAlignment="1">
      <alignment horizontal="center"/>
    </xf>
    <xf numFmtId="0" fontId="0" fillId="24" borderId="0" xfId="0" applyFill="1" applyAlignment="1">
      <alignment horizontal="center"/>
    </xf>
    <xf numFmtId="0" fontId="0" fillId="0" borderId="0" xfId="0" applyAlignment="1">
      <alignment horizontal="center"/>
    </xf>
    <xf numFmtId="178" fontId="0" fillId="0" borderId="0" xfId="6" applyNumberFormat="1" applyFont="1" applyAlignment="1">
      <alignment horizontal="right"/>
    </xf>
    <xf numFmtId="0" fontId="19" fillId="0" borderId="0" xfId="0" applyFont="1" applyAlignment="1">
      <alignment horizontal="right"/>
    </xf>
    <xf numFmtId="0" fontId="7" fillId="0" borderId="0" xfId="0" applyFont="1" applyAlignment="1">
      <alignment horizontal="right"/>
    </xf>
    <xf numFmtId="0" fontId="0" fillId="36" borderId="0" xfId="0" applyFill="1"/>
    <xf numFmtId="2" fontId="0" fillId="36" borderId="0" xfId="0" applyNumberFormat="1" applyFill="1"/>
    <xf numFmtId="0" fontId="0" fillId="0" borderId="0" xfId="0" applyAlignment="1">
      <alignment horizontal="center"/>
    </xf>
    <xf numFmtId="9" fontId="17" fillId="32" borderId="19" xfId="8" applyNumberFormat="1"/>
    <xf numFmtId="0" fontId="7" fillId="0" borderId="0" xfId="0" applyFont="1" applyFill="1" applyAlignment="1">
      <alignment horizontal="right"/>
    </xf>
    <xf numFmtId="0" fontId="19" fillId="0" borderId="0" xfId="0" applyFont="1"/>
    <xf numFmtId="0" fontId="20" fillId="0" borderId="0" xfId="0" applyFont="1" applyAlignment="1">
      <alignment horizontal="right"/>
    </xf>
    <xf numFmtId="0" fontId="20" fillId="0" borderId="0" xfId="0" applyFont="1"/>
    <xf numFmtId="0" fontId="0" fillId="0" borderId="0" xfId="0" quotePrefix="1"/>
    <xf numFmtId="0" fontId="0" fillId="0" borderId="0" xfId="0" applyAlignment="1">
      <alignment horizontal="center"/>
    </xf>
    <xf numFmtId="178" fontId="0" fillId="0" borderId="0" xfId="0" applyNumberFormat="1"/>
    <xf numFmtId="178" fontId="0" fillId="0" borderId="0" xfId="0" applyNumberFormat="1" applyAlignment="1">
      <alignment horizontal="left"/>
    </xf>
    <xf numFmtId="10" fontId="0" fillId="37" borderId="0" xfId="0" applyNumberFormat="1" applyFill="1"/>
    <xf numFmtId="10" fontId="0" fillId="37" borderId="0" xfId="5" applyNumberFormat="1" applyFont="1" applyFill="1"/>
    <xf numFmtId="44" fontId="0" fillId="0" borderId="0" xfId="0" applyNumberFormat="1" applyAlignment="1">
      <alignment horizontal="left"/>
    </xf>
    <xf numFmtId="0" fontId="0" fillId="0" borderId="0" xfId="0" applyAlignment="1">
      <alignment horizontal="center"/>
    </xf>
    <xf numFmtId="0" fontId="0" fillId="0" borderId="26" xfId="0" applyFill="1" applyBorder="1"/>
    <xf numFmtId="0" fontId="0" fillId="5" borderId="26" xfId="0" applyFill="1" applyBorder="1"/>
    <xf numFmtId="180" fontId="0" fillId="0" borderId="0" xfId="0" applyNumberFormat="1"/>
    <xf numFmtId="181" fontId="0" fillId="0" borderId="0" xfId="0" applyNumberFormat="1"/>
    <xf numFmtId="1" fontId="0" fillId="0" borderId="0" xfId="0" applyNumberFormat="1" applyAlignment="1"/>
    <xf numFmtId="0" fontId="0" fillId="0" borderId="0" xfId="0" applyAlignment="1">
      <alignment horizontal="center"/>
    </xf>
    <xf numFmtId="2" fontId="0" fillId="0" borderId="27" xfId="0" applyNumberFormat="1" applyFill="1" applyBorder="1"/>
    <xf numFmtId="2" fontId="0" fillId="0" borderId="28" xfId="0" applyNumberFormat="1" applyFill="1" applyBorder="1"/>
    <xf numFmtId="0" fontId="0" fillId="0" borderId="25" xfId="0" applyBorder="1"/>
    <xf numFmtId="0" fontId="0" fillId="0" borderId="0" xfId="0" applyAlignment="1">
      <alignment horizontal="center"/>
    </xf>
    <xf numFmtId="11" fontId="0" fillId="34" borderId="0" xfId="0" applyNumberFormat="1" applyFill="1"/>
    <xf numFmtId="0" fontId="0" fillId="38" borderId="0" xfId="0" applyFill="1"/>
    <xf numFmtId="0" fontId="0" fillId="39" borderId="0" xfId="0" applyFill="1"/>
    <xf numFmtId="0" fontId="0" fillId="40" borderId="0" xfId="0" applyFill="1"/>
    <xf numFmtId="0" fontId="0" fillId="41" borderId="0" xfId="0" applyFill="1"/>
    <xf numFmtId="0" fontId="0" fillId="42" borderId="0" xfId="0" applyFill="1"/>
    <xf numFmtId="0" fontId="0" fillId="43" borderId="0" xfId="0" applyFill="1"/>
    <xf numFmtId="0" fontId="0" fillId="44" borderId="0" xfId="0" applyFill="1"/>
    <xf numFmtId="0" fontId="0" fillId="45" borderId="0" xfId="0" applyFill="1"/>
    <xf numFmtId="0" fontId="0" fillId="46" borderId="0" xfId="0" applyFill="1"/>
    <xf numFmtId="0" fontId="0" fillId="47" borderId="0" xfId="0" applyFill="1"/>
    <xf numFmtId="0" fontId="0" fillId="48" borderId="0" xfId="0" applyFill="1"/>
    <xf numFmtId="0" fontId="0" fillId="49" borderId="0" xfId="0" applyFill="1"/>
    <xf numFmtId="0" fontId="0" fillId="50" borderId="0" xfId="0" applyFill="1"/>
    <xf numFmtId="0" fontId="0" fillId="51" borderId="0" xfId="0" applyFill="1"/>
    <xf numFmtId="0" fontId="0" fillId="52" borderId="0" xfId="0" applyFill="1"/>
    <xf numFmtId="0" fontId="0" fillId="53" borderId="0" xfId="0" applyFill="1"/>
    <xf numFmtId="0" fontId="0" fillId="54" borderId="0" xfId="0" applyFill="1"/>
    <xf numFmtId="10" fontId="0" fillId="0" borderId="6" xfId="0" applyNumberFormat="1" applyBorder="1"/>
    <xf numFmtId="10" fontId="0" fillId="24" borderId="6" xfId="0" applyNumberFormat="1" applyFill="1" applyBorder="1"/>
    <xf numFmtId="10" fontId="0" fillId="0" borderId="0" xfId="0" applyNumberFormat="1" applyFill="1"/>
    <xf numFmtId="2" fontId="0" fillId="0" borderId="0" xfId="5" applyNumberFormat="1" applyFont="1" applyAlignment="1">
      <alignment horizontal="center"/>
    </xf>
    <xf numFmtId="0" fontId="0" fillId="0" borderId="0" xfId="0" applyNumberFormat="1" applyAlignment="1">
      <alignment horizontal="center"/>
    </xf>
    <xf numFmtId="164" fontId="0" fillId="0" borderId="0" xfId="0" applyNumberFormat="1" applyAlignment="1">
      <alignment horizontal="center"/>
    </xf>
    <xf numFmtId="0" fontId="0" fillId="0" borderId="23" xfId="0" applyFill="1" applyBorder="1" applyAlignment="1">
      <alignment horizontal="center"/>
    </xf>
    <xf numFmtId="0" fontId="0" fillId="0" borderId="25" xfId="0" applyFill="1" applyBorder="1" applyAlignment="1">
      <alignment horizontal="center"/>
    </xf>
    <xf numFmtId="0" fontId="2" fillId="4" borderId="0" xfId="0" applyFont="1" applyFill="1" applyAlignment="1">
      <alignment horizontal="center"/>
    </xf>
    <xf numFmtId="0" fontId="0" fillId="0" borderId="24" xfId="0" applyFill="1" applyBorder="1" applyAlignment="1">
      <alignment horizontal="center"/>
    </xf>
    <xf numFmtId="0" fontId="0" fillId="0" borderId="22" xfId="0" applyFill="1" applyBorder="1" applyAlignment="1">
      <alignment horizontal="center"/>
    </xf>
    <xf numFmtId="0" fontId="3" fillId="0" borderId="22" xfId="0" applyFont="1" applyFill="1" applyBorder="1" applyAlignment="1">
      <alignment horizontal="center"/>
    </xf>
    <xf numFmtId="0" fontId="3" fillId="0" borderId="23" xfId="0" applyFont="1" applyFill="1" applyBorder="1" applyAlignment="1">
      <alignment horizontal="center"/>
    </xf>
    <xf numFmtId="0" fontId="3" fillId="0" borderId="25" xfId="0" applyFont="1" applyFill="1" applyBorder="1" applyAlignment="1">
      <alignment horizontal="center"/>
    </xf>
    <xf numFmtId="0" fontId="0" fillId="0" borderId="0" xfId="0" applyAlignment="1">
      <alignment horizontal="center"/>
    </xf>
    <xf numFmtId="0" fontId="10" fillId="4" borderId="0" xfId="0" applyFont="1" applyFill="1" applyAlignment="1">
      <alignment horizontal="center"/>
    </xf>
    <xf numFmtId="0" fontId="2" fillId="12" borderId="0" xfId="0" applyFont="1" applyFill="1" applyAlignment="1">
      <alignment horizontal="center"/>
    </xf>
    <xf numFmtId="0" fontId="2" fillId="3" borderId="0" xfId="0" applyFont="1" applyFill="1" applyAlignment="1">
      <alignment horizontal="center"/>
    </xf>
    <xf numFmtId="0" fontId="19" fillId="0" borderId="0" xfId="0" applyFont="1" applyAlignment="1">
      <alignment horizontal="center"/>
    </xf>
    <xf numFmtId="0" fontId="14" fillId="33" borderId="0" xfId="0" applyFont="1" applyFill="1" applyAlignment="1">
      <alignment horizontal="center"/>
    </xf>
    <xf numFmtId="0" fontId="7" fillId="0" borderId="0" xfId="0" applyFont="1" applyFill="1" applyAlignment="1">
      <alignment horizontal="center"/>
    </xf>
    <xf numFmtId="0" fontId="18" fillId="33" borderId="0" xfId="0" applyFont="1" applyFill="1" applyAlignment="1">
      <alignment horizontal="center"/>
    </xf>
    <xf numFmtId="0" fontId="3" fillId="12" borderId="0" xfId="0" applyFont="1" applyFill="1" applyAlignment="1">
      <alignment horizontal="center"/>
    </xf>
    <xf numFmtId="0" fontId="2" fillId="0" borderId="0" xfId="0" applyFont="1" applyAlignment="1">
      <alignment horizontal="center"/>
    </xf>
    <xf numFmtId="165" fontId="2" fillId="0" borderId="0" xfId="0" applyNumberFormat="1" applyFont="1" applyAlignment="1">
      <alignment horizontal="center"/>
    </xf>
    <xf numFmtId="0" fontId="3" fillId="6" borderId="0" xfId="0" applyFont="1" applyFill="1" applyAlignment="1">
      <alignment horizontal="center"/>
    </xf>
    <xf numFmtId="165" fontId="0" fillId="0" borderId="0" xfId="0" applyNumberFormat="1" applyAlignment="1">
      <alignment horizontal="center"/>
    </xf>
    <xf numFmtId="0" fontId="0" fillId="0" borderId="0" xfId="0" applyFont="1" applyAlignment="1">
      <alignment horizontal="center"/>
    </xf>
    <xf numFmtId="2" fontId="2" fillId="0" borderId="0" xfId="0" applyNumberFormat="1" applyFont="1" applyFill="1" applyAlignment="1">
      <alignment horizontal="center"/>
    </xf>
    <xf numFmtId="0" fontId="2" fillId="0" borderId="0" xfId="0" applyFont="1" applyFill="1" applyAlignment="1">
      <alignment horizontal="center"/>
    </xf>
    <xf numFmtId="0" fontId="1" fillId="0" borderId="0" xfId="0" applyFont="1" applyFill="1" applyAlignment="1">
      <alignment horizontal="center"/>
    </xf>
    <xf numFmtId="0" fontId="0" fillId="0" borderId="0" xfId="0" applyFill="1" applyAlignment="1">
      <alignment horizontal="center"/>
    </xf>
    <xf numFmtId="0" fontId="3" fillId="0" borderId="0" xfId="0" applyFont="1" applyAlignment="1">
      <alignment horizontal="center"/>
    </xf>
    <xf numFmtId="0" fontId="2" fillId="2" borderId="0" xfId="0" applyFont="1" applyFill="1" applyAlignment="1">
      <alignment horizontal="center"/>
    </xf>
    <xf numFmtId="0" fontId="2" fillId="11" borderId="0" xfId="0" applyFont="1" applyFill="1" applyAlignment="1">
      <alignment horizontal="center"/>
    </xf>
    <xf numFmtId="0" fontId="3" fillId="4" borderId="0" xfId="0" applyFont="1" applyFill="1" applyAlignment="1">
      <alignment horizontal="center"/>
    </xf>
    <xf numFmtId="0" fontId="3" fillId="10" borderId="0" xfId="0" applyFont="1" applyFill="1" applyAlignment="1">
      <alignment horizontal="center"/>
    </xf>
    <xf numFmtId="0" fontId="0" fillId="0" borderId="0" xfId="0" applyFont="1" applyFill="1" applyAlignment="1">
      <alignment horizontal="center"/>
    </xf>
    <xf numFmtId="0" fontId="0" fillId="12" borderId="0" xfId="0" applyFill="1" applyAlignment="1">
      <alignment horizontal="center"/>
    </xf>
    <xf numFmtId="0" fontId="14" fillId="15" borderId="0" xfId="0" applyFont="1" applyFill="1" applyAlignment="1">
      <alignment horizontal="center" vertical="center"/>
    </xf>
    <xf numFmtId="0" fontId="0" fillId="18" borderId="0" xfId="0" applyFill="1" applyAlignment="1">
      <alignment horizontal="center" wrapText="1"/>
    </xf>
    <xf numFmtId="0" fontId="1" fillId="0" borderId="0" xfId="0" applyFont="1" applyAlignment="1">
      <alignment horizontal="center" wrapText="1"/>
    </xf>
    <xf numFmtId="0" fontId="0" fillId="4" borderId="0" xfId="0" applyFill="1" applyAlignment="1">
      <alignment horizontal="center"/>
    </xf>
    <xf numFmtId="0" fontId="1" fillId="0" borderId="0" xfId="0" applyFont="1" applyAlignment="1">
      <alignment horizontal="center"/>
    </xf>
    <xf numFmtId="0" fontId="0" fillId="24" borderId="0" xfId="0" applyFill="1" applyAlignment="1">
      <alignment horizontal="center"/>
    </xf>
    <xf numFmtId="0" fontId="0" fillId="29" borderId="0" xfId="0" applyFill="1" applyAlignment="1">
      <alignment horizontal="center"/>
    </xf>
    <xf numFmtId="0" fontId="0" fillId="30" borderId="0" xfId="0" applyFill="1" applyAlignment="1">
      <alignment horizontal="center"/>
    </xf>
    <xf numFmtId="0" fontId="0" fillId="31" borderId="0" xfId="0" applyFill="1" applyAlignment="1">
      <alignment horizontal="center"/>
    </xf>
    <xf numFmtId="0" fontId="11" fillId="13" borderId="0" xfId="0" applyFont="1" applyFill="1" applyAlignment="1">
      <alignment horizontal="center" vertical="center"/>
    </xf>
  </cellXfs>
  <cellStyles count="9">
    <cellStyle name="Bad" xfId="2" builtinId="27"/>
    <cellStyle name="Currency" xfId="6" builtinId="4"/>
    <cellStyle name="Hyperlink" xfId="1" builtinId="8"/>
    <cellStyle name="Input" xfId="8" builtinId="20"/>
    <cellStyle name="Neutral" xfId="4" builtinId="28"/>
    <cellStyle name="Normal" xfId="0" builtinId="0"/>
    <cellStyle name="Normal 3" xfId="7"/>
    <cellStyle name="Output" xfId="3" builtinId="21"/>
    <cellStyle name="Percent" xfId="5" builtinId="5"/>
  </cellStyles>
  <dxfs count="42">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5700"/>
      </font>
      <fill>
        <patternFill>
          <fgColor indexed="64"/>
          <bgColor rgb="FFFFEB9C"/>
        </patternFill>
      </fill>
    </dxf>
    <dxf>
      <font>
        <color rgb="FF9C0006"/>
      </font>
      <fill>
        <patternFill>
          <fgColor indexed="64"/>
          <bgColor rgb="FFFFC7CE"/>
        </patternFill>
      </fill>
    </dxf>
    <dxf>
      <font>
        <color rgb="FF9C0006"/>
      </font>
      <fill>
        <patternFill>
          <fgColor indexed="64"/>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93FF93"/>
      <color rgb="FF00FA00"/>
      <color rgb="FF00CC00"/>
      <color rgb="FF00A800"/>
      <color rgb="FF007A00"/>
      <color rgb="FF004C00"/>
      <color rgb="FF00C000"/>
      <color rgb="FF00D200"/>
      <color rgb="FF00FE00"/>
      <color rgb="FF61FF6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Normalized Impact Category</a:t>
            </a:r>
            <a:r>
              <a:rPr lang="en-US" baseline="0"/>
              <a:t> Breakdown</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6701669996685229E-2"/>
          <c:y val="6.4601597447550979E-2"/>
          <c:w val="0.9419274540101289"/>
          <c:h val="0.75045254705234454"/>
        </c:manualLayout>
      </c:layout>
      <c:barChart>
        <c:barDir val="col"/>
        <c:grouping val="percentStacked"/>
        <c:varyColors val="0"/>
        <c:ser>
          <c:idx val="0"/>
          <c:order val="0"/>
          <c:tx>
            <c:strRef>
              <c:f>LCA!$C$82</c:f>
              <c:strCache>
                <c:ptCount val="1"/>
                <c:pt idx="0">
                  <c:v>Corn Seeds</c:v>
                </c:pt>
              </c:strCache>
            </c:strRef>
          </c:tx>
          <c:spPr>
            <a:solidFill>
              <a:srgbClr val="93FF93"/>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LCA!$D$82:$M$82</c:f>
              <c:numCache>
                <c:formatCode>0.00%</c:formatCode>
                <c:ptCount val="10"/>
                <c:pt idx="0">
                  <c:v>3.1875646853136173E-2</c:v>
                </c:pt>
                <c:pt idx="1">
                  <c:v>7.7837093224457426E-3</c:v>
                </c:pt>
                <c:pt idx="2">
                  <c:v>8.8641101406730344E-2</c:v>
                </c:pt>
                <c:pt idx="3">
                  <c:v>9.3093493029289594E-3</c:v>
                </c:pt>
                <c:pt idx="4">
                  <c:v>1.6205079662613815E-2</c:v>
                </c:pt>
                <c:pt idx="5">
                  <c:v>7.2502875761671758E-3</c:v>
                </c:pt>
                <c:pt idx="6">
                  <c:v>2.168733848647064E-3</c:v>
                </c:pt>
                <c:pt idx="7">
                  <c:v>9.9873272256933883E-3</c:v>
                </c:pt>
                <c:pt idx="8">
                  <c:v>2.9169544270330958E-3</c:v>
                </c:pt>
                <c:pt idx="9">
                  <c:v>6.854846273307949E-2</c:v>
                </c:pt>
              </c:numCache>
            </c:numRef>
          </c:val>
          <c:extLst>
            <c:ext xmlns:c16="http://schemas.microsoft.com/office/drawing/2014/chart" uri="{C3380CC4-5D6E-409C-BE32-E72D297353CC}">
              <c16:uniqueId val="{00000000-BB29-48F3-B671-7DA230BF6D27}"/>
            </c:ext>
          </c:extLst>
        </c:ser>
        <c:ser>
          <c:idx val="1"/>
          <c:order val="1"/>
          <c:tx>
            <c:strRef>
              <c:f>LCA!$C$83</c:f>
              <c:strCache>
                <c:ptCount val="1"/>
                <c:pt idx="0">
                  <c:v>Water (Irrigation)</c:v>
                </c:pt>
              </c:strCache>
            </c:strRef>
          </c:tx>
          <c:spPr>
            <a:solidFill>
              <a:srgbClr val="002A00"/>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LCA!$D$83:$M$83</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BB29-48F3-B671-7DA230BF6D27}"/>
            </c:ext>
          </c:extLst>
        </c:ser>
        <c:ser>
          <c:idx val="2"/>
          <c:order val="2"/>
          <c:tx>
            <c:strRef>
              <c:f>LCA!$C$84</c:f>
              <c:strCache>
                <c:ptCount val="1"/>
                <c:pt idx="0">
                  <c:v>N Fert</c:v>
                </c:pt>
              </c:strCache>
            </c:strRef>
          </c:tx>
          <c:spPr>
            <a:solidFill>
              <a:srgbClr val="61FF61"/>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LCA!$D$84:$M$84</c:f>
              <c:numCache>
                <c:formatCode>0.00%</c:formatCode>
                <c:ptCount val="10"/>
                <c:pt idx="0">
                  <c:v>0.13638218785516906</c:v>
                </c:pt>
                <c:pt idx="1">
                  <c:v>0.22572320956017577</c:v>
                </c:pt>
                <c:pt idx="2">
                  <c:v>0.13122236259589842</c:v>
                </c:pt>
                <c:pt idx="3">
                  <c:v>0.17235336721317732</c:v>
                </c:pt>
                <c:pt idx="4">
                  <c:v>0.24548385847797519</c:v>
                </c:pt>
                <c:pt idx="5">
                  <c:v>0.23323828309492867</c:v>
                </c:pt>
                <c:pt idx="6">
                  <c:v>0.1332615795668895</c:v>
                </c:pt>
                <c:pt idx="7">
                  <c:v>8.6271163682105134E-2</c:v>
                </c:pt>
                <c:pt idx="8">
                  <c:v>0.23999162152639472</c:v>
                </c:pt>
                <c:pt idx="9">
                  <c:v>0.83813543831304194</c:v>
                </c:pt>
              </c:numCache>
            </c:numRef>
          </c:val>
          <c:extLst>
            <c:ext xmlns:c16="http://schemas.microsoft.com/office/drawing/2014/chart" uri="{C3380CC4-5D6E-409C-BE32-E72D297353CC}">
              <c16:uniqueId val="{00000002-BB29-48F3-B671-7DA230BF6D27}"/>
            </c:ext>
          </c:extLst>
        </c:ser>
        <c:ser>
          <c:idx val="3"/>
          <c:order val="3"/>
          <c:tx>
            <c:strRef>
              <c:f>LCA!$C$85</c:f>
              <c:strCache>
                <c:ptCount val="1"/>
                <c:pt idx="0">
                  <c:v>P Fert</c:v>
                </c:pt>
              </c:strCache>
            </c:strRef>
          </c:tx>
          <c:spPr>
            <a:solidFill>
              <a:srgbClr val="00FE00"/>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LCA!$D$85:$M$85</c:f>
              <c:numCache>
                <c:formatCode>0.00%</c:formatCode>
                <c:ptCount val="10"/>
                <c:pt idx="0">
                  <c:v>6.1164028100010107E-3</c:v>
                </c:pt>
                <c:pt idx="1">
                  <c:v>1.3536348594648922E-2</c:v>
                </c:pt>
                <c:pt idx="2">
                  <c:v>1.1748949706370469E-2</c:v>
                </c:pt>
                <c:pt idx="3">
                  <c:v>5.6266442952084125E-3</c:v>
                </c:pt>
                <c:pt idx="4">
                  <c:v>1.519656237636219E-2</c:v>
                </c:pt>
                <c:pt idx="5">
                  <c:v>1.6748273537520772E-2</c:v>
                </c:pt>
                <c:pt idx="6">
                  <c:v>2.9341954212011704E-3</c:v>
                </c:pt>
                <c:pt idx="7">
                  <c:v>1.2377802343516719E-2</c:v>
                </c:pt>
                <c:pt idx="8">
                  <c:v>5.0480469190701538E-3</c:v>
                </c:pt>
                <c:pt idx="9">
                  <c:v>4.6409749205199566E-2</c:v>
                </c:pt>
              </c:numCache>
            </c:numRef>
          </c:val>
          <c:extLst>
            <c:ext xmlns:c16="http://schemas.microsoft.com/office/drawing/2014/chart" uri="{C3380CC4-5D6E-409C-BE32-E72D297353CC}">
              <c16:uniqueId val="{00000003-BB29-48F3-B671-7DA230BF6D27}"/>
            </c:ext>
          </c:extLst>
        </c:ser>
        <c:ser>
          <c:idx val="4"/>
          <c:order val="4"/>
          <c:tx>
            <c:strRef>
              <c:f>LCA!$C$86</c:f>
              <c:strCache>
                <c:ptCount val="1"/>
                <c:pt idx="0">
                  <c:v>K Fert</c:v>
                </c:pt>
              </c:strCache>
            </c:strRef>
          </c:tx>
          <c:spPr>
            <a:solidFill>
              <a:srgbClr val="00FA00"/>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LCA!$D$86:$M$86</c:f>
              <c:numCache>
                <c:formatCode>0.00%</c:formatCode>
                <c:ptCount val="10"/>
                <c:pt idx="0">
                  <c:v>7.2479306760297353E-3</c:v>
                </c:pt>
                <c:pt idx="1">
                  <c:v>4.59099585112442E-2</c:v>
                </c:pt>
                <c:pt idx="2">
                  <c:v>1.816115515618685E-2</c:v>
                </c:pt>
                <c:pt idx="3">
                  <c:v>1.2789015920589446E-2</c:v>
                </c:pt>
                <c:pt idx="4">
                  <c:v>4.6663170147063802E-2</c:v>
                </c:pt>
                <c:pt idx="5">
                  <c:v>4.8353503235082376E-2</c:v>
                </c:pt>
                <c:pt idx="6">
                  <c:v>9.8468938159829503E-3</c:v>
                </c:pt>
                <c:pt idx="7">
                  <c:v>1.0194286765867184E-2</c:v>
                </c:pt>
                <c:pt idx="8">
                  <c:v>1.4497646102179245E-2</c:v>
                </c:pt>
                <c:pt idx="9">
                  <c:v>4.4346084241187689E-2</c:v>
                </c:pt>
              </c:numCache>
            </c:numRef>
          </c:val>
          <c:extLst>
            <c:ext xmlns:c16="http://schemas.microsoft.com/office/drawing/2014/chart" uri="{C3380CC4-5D6E-409C-BE32-E72D297353CC}">
              <c16:uniqueId val="{00000004-BB29-48F3-B671-7DA230BF6D27}"/>
            </c:ext>
          </c:extLst>
        </c:ser>
        <c:ser>
          <c:idx val="5"/>
          <c:order val="5"/>
          <c:tx>
            <c:strRef>
              <c:f>LCA!$C$87</c:f>
              <c:strCache>
                <c:ptCount val="1"/>
                <c:pt idx="0">
                  <c:v>Lime</c:v>
                </c:pt>
              </c:strCache>
            </c:strRef>
          </c:tx>
          <c:spPr>
            <a:solidFill>
              <a:srgbClr val="00D200"/>
            </a:solidFill>
            <a:ln>
              <a:solidFill>
                <a:schemeClr val="accent6">
                  <a:lumMod val="40000"/>
                  <a:lumOff val="60000"/>
                </a:schemeClr>
              </a:solid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LCA!$D$87:$M$87</c:f>
              <c:numCache>
                <c:formatCode>0.00%</c:formatCode>
                <c:ptCount val="10"/>
                <c:pt idx="0">
                  <c:v>6.6526307797396697E-2</c:v>
                </c:pt>
                <c:pt idx="1">
                  <c:v>1.1599118741459418E-2</c:v>
                </c:pt>
                <c:pt idx="2">
                  <c:v>1.8829347919866873E-2</c:v>
                </c:pt>
                <c:pt idx="3">
                  <c:v>0.14040017699439175</c:v>
                </c:pt>
                <c:pt idx="4">
                  <c:v>3.011128047876065E-2</c:v>
                </c:pt>
                <c:pt idx="5">
                  <c:v>9.555841852306771E-3</c:v>
                </c:pt>
                <c:pt idx="6">
                  <c:v>5.5368776043715456E-2</c:v>
                </c:pt>
                <c:pt idx="7">
                  <c:v>0.10681431189630332</c:v>
                </c:pt>
                <c:pt idx="8">
                  <c:v>5.4086110237881915E-2</c:v>
                </c:pt>
                <c:pt idx="9">
                  <c:v>0.19382749049393125</c:v>
                </c:pt>
              </c:numCache>
            </c:numRef>
          </c:val>
          <c:extLst>
            <c:ext xmlns:c16="http://schemas.microsoft.com/office/drawing/2014/chart" uri="{C3380CC4-5D6E-409C-BE32-E72D297353CC}">
              <c16:uniqueId val="{00000005-BB29-48F3-B671-7DA230BF6D27}"/>
            </c:ext>
          </c:extLst>
        </c:ser>
        <c:ser>
          <c:idx val="6"/>
          <c:order val="6"/>
          <c:tx>
            <c:strRef>
              <c:f>LCA!$C$88</c:f>
              <c:strCache>
                <c:ptCount val="1"/>
                <c:pt idx="0">
                  <c:v>Atrazine</c:v>
                </c:pt>
              </c:strCache>
            </c:strRef>
          </c:tx>
          <c:spPr>
            <a:solidFill>
              <a:srgbClr val="00C000"/>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LCA!$D$88:$M$88</c:f>
              <c:numCache>
                <c:formatCode>0.00%</c:formatCode>
                <c:ptCount val="10"/>
                <c:pt idx="0">
                  <c:v>2.0854551980954324E-3</c:v>
                </c:pt>
                <c:pt idx="1">
                  <c:v>5.9770447196904357E-3</c:v>
                </c:pt>
                <c:pt idx="2">
                  <c:v>5.6052175369768658E-3</c:v>
                </c:pt>
                <c:pt idx="3">
                  <c:v>3.4025519982066265E-3</c:v>
                </c:pt>
                <c:pt idx="4">
                  <c:v>8.9985152341415867E-3</c:v>
                </c:pt>
                <c:pt idx="5">
                  <c:v>6.1767260250580195E-3</c:v>
                </c:pt>
                <c:pt idx="6">
                  <c:v>3.2503744406208804E-3</c:v>
                </c:pt>
                <c:pt idx="7">
                  <c:v>2.6552132473337303E-3</c:v>
                </c:pt>
                <c:pt idx="8">
                  <c:v>3.3754083776106666E-3</c:v>
                </c:pt>
                <c:pt idx="9">
                  <c:v>1.5573685317787736E-2</c:v>
                </c:pt>
              </c:numCache>
            </c:numRef>
          </c:val>
          <c:extLst>
            <c:ext xmlns:c16="http://schemas.microsoft.com/office/drawing/2014/chart" uri="{C3380CC4-5D6E-409C-BE32-E72D297353CC}">
              <c16:uniqueId val="{00000006-BB29-48F3-B671-7DA230BF6D27}"/>
            </c:ext>
          </c:extLst>
        </c:ser>
        <c:ser>
          <c:idx val="7"/>
          <c:order val="7"/>
          <c:tx>
            <c:strRef>
              <c:f>LCA!$C$89</c:f>
              <c:strCache>
                <c:ptCount val="1"/>
                <c:pt idx="0">
                  <c:v>Tillage</c:v>
                </c:pt>
              </c:strCache>
            </c:strRef>
          </c:tx>
          <c:spPr>
            <a:solidFill>
              <a:srgbClr val="00CC00"/>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LCA!$D$89:$M$89</c:f>
              <c:numCache>
                <c:formatCode>0.00%</c:formatCode>
                <c:ptCount val="10"/>
                <c:pt idx="0">
                  <c:v>1.693852823949803E-2</c:v>
                </c:pt>
                <c:pt idx="1">
                  <c:v>3.1577243741464499E-2</c:v>
                </c:pt>
                <c:pt idx="2">
                  <c:v>2.0264202791201707E-2</c:v>
                </c:pt>
                <c:pt idx="3">
                  <c:v>1.8169367068459608E-2</c:v>
                </c:pt>
                <c:pt idx="4">
                  <c:v>8.6024668950555397E-2</c:v>
                </c:pt>
                <c:pt idx="5">
                  <c:v>2.5818676165592552E-2</c:v>
                </c:pt>
                <c:pt idx="6">
                  <c:v>1.0581253089075631E-2</c:v>
                </c:pt>
                <c:pt idx="7">
                  <c:v>3.953502982342396E-2</c:v>
                </c:pt>
                <c:pt idx="8">
                  <c:v>1.3157552893884856E-2</c:v>
                </c:pt>
                <c:pt idx="9">
                  <c:v>0.13433792111438769</c:v>
                </c:pt>
              </c:numCache>
            </c:numRef>
          </c:val>
          <c:extLst>
            <c:ext xmlns:c16="http://schemas.microsoft.com/office/drawing/2014/chart" uri="{C3380CC4-5D6E-409C-BE32-E72D297353CC}">
              <c16:uniqueId val="{00000007-BB29-48F3-B671-7DA230BF6D27}"/>
            </c:ext>
          </c:extLst>
        </c:ser>
        <c:ser>
          <c:idx val="8"/>
          <c:order val="8"/>
          <c:tx>
            <c:strRef>
              <c:f>LCA!$C$90</c:f>
              <c:strCache>
                <c:ptCount val="1"/>
                <c:pt idx="0">
                  <c:v>Fertilizer Application</c:v>
                </c:pt>
              </c:strCache>
            </c:strRef>
          </c:tx>
          <c:spPr>
            <a:solidFill>
              <a:srgbClr val="00A800"/>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LCA!$D$90:$M$90</c:f>
              <c:numCache>
                <c:formatCode>0.00%</c:formatCode>
                <c:ptCount val="10"/>
                <c:pt idx="0">
                  <c:v>6.0911649819233608E-3</c:v>
                </c:pt>
                <c:pt idx="1">
                  <c:v>9.7206716227241849E-3</c:v>
                </c:pt>
                <c:pt idx="2">
                  <c:v>6.0308310162680689E-3</c:v>
                </c:pt>
                <c:pt idx="3">
                  <c:v>5.4843349799545728E-3</c:v>
                </c:pt>
                <c:pt idx="4">
                  <c:v>1.6864769001667182E-2</c:v>
                </c:pt>
                <c:pt idx="5">
                  <c:v>9.7339920728346675E-3</c:v>
                </c:pt>
                <c:pt idx="6">
                  <c:v>4.1637142910315571E-3</c:v>
                </c:pt>
                <c:pt idx="7">
                  <c:v>1.5733854084112282E-2</c:v>
                </c:pt>
                <c:pt idx="8">
                  <c:v>5.1696402450244396E-3</c:v>
                </c:pt>
                <c:pt idx="9">
                  <c:v>3.4265854830631749E-2</c:v>
                </c:pt>
              </c:numCache>
            </c:numRef>
          </c:val>
          <c:extLst>
            <c:ext xmlns:c16="http://schemas.microsoft.com/office/drawing/2014/chart" uri="{C3380CC4-5D6E-409C-BE32-E72D297353CC}">
              <c16:uniqueId val="{00000008-BB29-48F3-B671-7DA230BF6D27}"/>
            </c:ext>
          </c:extLst>
        </c:ser>
        <c:ser>
          <c:idx val="9"/>
          <c:order val="9"/>
          <c:tx>
            <c:strRef>
              <c:f>LCA!$C$91</c:f>
              <c:strCache>
                <c:ptCount val="1"/>
                <c:pt idx="0">
                  <c:v>Planting/Seeding</c:v>
                </c:pt>
              </c:strCache>
            </c:strRef>
          </c:tx>
          <c:spPr>
            <a:solidFill>
              <a:srgbClr val="007A00"/>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LCA!$D$91:$M$91</c:f>
              <c:numCache>
                <c:formatCode>0.00%</c:formatCode>
                <c:ptCount val="10"/>
                <c:pt idx="0">
                  <c:v>4.1313460733661565E-2</c:v>
                </c:pt>
                <c:pt idx="1">
                  <c:v>6.3778210010614178E-2</c:v>
                </c:pt>
                <c:pt idx="2">
                  <c:v>3.9512628246023244E-2</c:v>
                </c:pt>
                <c:pt idx="3">
                  <c:v>3.6200563948405477E-2</c:v>
                </c:pt>
                <c:pt idx="4">
                  <c:v>0.10783575149803457</c:v>
                </c:pt>
                <c:pt idx="5">
                  <c:v>6.4289139771382481E-2</c:v>
                </c:pt>
                <c:pt idx="6">
                  <c:v>2.7817265649555129E-2</c:v>
                </c:pt>
                <c:pt idx="7">
                  <c:v>0.1085564404815591</c:v>
                </c:pt>
                <c:pt idx="8">
                  <c:v>3.4480657630554787E-2</c:v>
                </c:pt>
                <c:pt idx="9">
                  <c:v>0.12816698177520441</c:v>
                </c:pt>
              </c:numCache>
            </c:numRef>
          </c:val>
          <c:extLst>
            <c:ext xmlns:c16="http://schemas.microsoft.com/office/drawing/2014/chart" uri="{C3380CC4-5D6E-409C-BE32-E72D297353CC}">
              <c16:uniqueId val="{00000009-BB29-48F3-B671-7DA230BF6D27}"/>
            </c:ext>
          </c:extLst>
        </c:ser>
        <c:ser>
          <c:idx val="10"/>
          <c:order val="10"/>
          <c:tx>
            <c:strRef>
              <c:f>LCA!$C$92</c:f>
              <c:strCache>
                <c:ptCount val="1"/>
                <c:pt idx="0">
                  <c:v>Swathing</c:v>
                </c:pt>
              </c:strCache>
            </c:strRef>
          </c:tx>
          <c:spPr>
            <a:solidFill>
              <a:srgbClr val="004C00"/>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LCA!$D$92:$M$92</c:f>
              <c:numCache>
                <c:formatCode>0.00%</c:formatCode>
                <c:ptCount val="10"/>
                <c:pt idx="0">
                  <c:v>1.3986566183866027E-2</c:v>
                </c:pt>
                <c:pt idx="1">
                  <c:v>9.0485043552073798E-3</c:v>
                </c:pt>
                <c:pt idx="2">
                  <c:v>7.8389701819830473E-3</c:v>
                </c:pt>
                <c:pt idx="3">
                  <c:v>1.06866845963556E-2</c:v>
                </c:pt>
                <c:pt idx="4">
                  <c:v>1.804522800594098E-2</c:v>
                </c:pt>
                <c:pt idx="5">
                  <c:v>8.731483954067908E-3</c:v>
                </c:pt>
                <c:pt idx="6">
                  <c:v>9.6719233035263141E-3</c:v>
                </c:pt>
                <c:pt idx="7">
                  <c:v>4.2034406993488871E-2</c:v>
                </c:pt>
                <c:pt idx="8">
                  <c:v>1.1670276396891431E-2</c:v>
                </c:pt>
                <c:pt idx="9">
                  <c:v>6.3903505156876025E-2</c:v>
                </c:pt>
              </c:numCache>
            </c:numRef>
          </c:val>
          <c:extLst>
            <c:ext xmlns:c16="http://schemas.microsoft.com/office/drawing/2014/chart" uri="{C3380CC4-5D6E-409C-BE32-E72D297353CC}">
              <c16:uniqueId val="{0000000A-BB29-48F3-B671-7DA230BF6D27}"/>
            </c:ext>
          </c:extLst>
        </c:ser>
        <c:ser>
          <c:idx val="11"/>
          <c:order val="11"/>
          <c:tx>
            <c:strRef>
              <c:f>LCA!$C$93</c:f>
              <c:strCache>
                <c:ptCount val="1"/>
                <c:pt idx="0">
                  <c:v>Drying of Stillage</c:v>
                </c:pt>
              </c:strCache>
            </c:strRef>
          </c:tx>
          <c:spPr>
            <a:solidFill>
              <a:schemeClr val="accent2">
                <a:lumMod val="20000"/>
                <a:lumOff val="80000"/>
              </a:schemeClr>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LCA!$D$93:$M$93</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B-BB29-48F3-B671-7DA230BF6D27}"/>
            </c:ext>
          </c:extLst>
        </c:ser>
        <c:ser>
          <c:idx val="12"/>
          <c:order val="12"/>
          <c:tx>
            <c:strRef>
              <c:f>LCA!$C$94</c:f>
              <c:strCache>
                <c:ptCount val="1"/>
                <c:pt idx="0">
                  <c:v>Baling</c:v>
                </c:pt>
              </c:strCache>
            </c:strRef>
          </c:tx>
          <c:spPr>
            <a:solidFill>
              <a:srgbClr val="FF9B9B"/>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LCA!$D$94:$M$94</c:f>
              <c:numCache>
                <c:formatCode>0.00%</c:formatCode>
                <c:ptCount val="10"/>
                <c:pt idx="0">
                  <c:v>1.4051061091643965E-2</c:v>
                </c:pt>
                <c:pt idx="1">
                  <c:v>1.4602121034907611E-2</c:v>
                </c:pt>
                <c:pt idx="2">
                  <c:v>1.0976545403882413E-2</c:v>
                </c:pt>
                <c:pt idx="3">
                  <c:v>1.2408800616783821E-2</c:v>
                </c:pt>
                <c:pt idx="4">
                  <c:v>3.3761346208889743E-2</c:v>
                </c:pt>
                <c:pt idx="5">
                  <c:v>1.3385994897350739E-2</c:v>
                </c:pt>
                <c:pt idx="6">
                  <c:v>9.9184402014816167E-3</c:v>
                </c:pt>
                <c:pt idx="7">
                  <c:v>3.8798650055852868E-2</c:v>
                </c:pt>
                <c:pt idx="8">
                  <c:v>1.2104186712382749E-2</c:v>
                </c:pt>
                <c:pt idx="9">
                  <c:v>8.9728543461394888E-2</c:v>
                </c:pt>
              </c:numCache>
            </c:numRef>
          </c:val>
          <c:extLst>
            <c:ext xmlns:c16="http://schemas.microsoft.com/office/drawing/2014/chart" uri="{C3380CC4-5D6E-409C-BE32-E72D297353CC}">
              <c16:uniqueId val="{0000000C-BB29-48F3-B671-7DA230BF6D27}"/>
            </c:ext>
          </c:extLst>
        </c:ser>
        <c:ser>
          <c:idx val="13"/>
          <c:order val="13"/>
          <c:tx>
            <c:strRef>
              <c:f>LCA!$C$95</c:f>
              <c:strCache>
                <c:ptCount val="1"/>
                <c:pt idx="0">
                  <c:v>Bale Loading</c:v>
                </c:pt>
              </c:strCache>
            </c:strRef>
          </c:tx>
          <c:spPr>
            <a:solidFill>
              <a:srgbClr val="FF4F4F"/>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LCA!$D$95:$M$95</c:f>
              <c:numCache>
                <c:formatCode>0.00%</c:formatCode>
                <c:ptCount val="10"/>
                <c:pt idx="0">
                  <c:v>5.0680752614225772E-3</c:v>
                </c:pt>
                <c:pt idx="1">
                  <c:v>1.8617508452802511E-3</c:v>
                </c:pt>
                <c:pt idx="2">
                  <c:v>2.2350431817860111E-3</c:v>
                </c:pt>
                <c:pt idx="3">
                  <c:v>3.9365265390237875E-3</c:v>
                </c:pt>
                <c:pt idx="4">
                  <c:v>3.736042364141795E-3</c:v>
                </c:pt>
                <c:pt idx="5">
                  <c:v>1.7936674143918831E-3</c:v>
                </c:pt>
                <c:pt idx="6">
                  <c:v>3.8920868679824302E-3</c:v>
                </c:pt>
                <c:pt idx="7">
                  <c:v>1.5608228883648365E-2</c:v>
                </c:pt>
                <c:pt idx="8">
                  <c:v>4.6607818609584262E-3</c:v>
                </c:pt>
                <c:pt idx="9">
                  <c:v>2.6841871975630944E-2</c:v>
                </c:pt>
              </c:numCache>
            </c:numRef>
          </c:val>
          <c:extLst>
            <c:ext xmlns:c16="http://schemas.microsoft.com/office/drawing/2014/chart" uri="{C3380CC4-5D6E-409C-BE32-E72D297353CC}">
              <c16:uniqueId val="{0000000D-BB29-48F3-B671-7DA230BF6D27}"/>
            </c:ext>
          </c:extLst>
        </c:ser>
        <c:ser>
          <c:idx val="14"/>
          <c:order val="14"/>
          <c:tx>
            <c:strRef>
              <c:f>LCA!$C$96</c:f>
              <c:strCache>
                <c:ptCount val="1"/>
                <c:pt idx="0">
                  <c:v>Additional Diesel Use</c:v>
                </c:pt>
              </c:strCache>
            </c:strRef>
          </c:tx>
          <c:spPr>
            <a:solidFill>
              <a:srgbClr val="DE0000"/>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LCA!$D$96:$M$96</c:f>
              <c:numCache>
                <c:formatCode>0.00%</c:formatCode>
                <c:ptCount val="10"/>
                <c:pt idx="0">
                  <c:v>2.0965568430814617E-2</c:v>
                </c:pt>
                <c:pt idx="1">
                  <c:v>3.2909950050265604E-2</c:v>
                </c:pt>
                <c:pt idx="2">
                  <c:v>2.3423735942247361E-2</c:v>
                </c:pt>
                <c:pt idx="3">
                  <c:v>2.2839785128530729E-2</c:v>
                </c:pt>
                <c:pt idx="4">
                  <c:v>0.11348059714489234</c:v>
                </c:pt>
                <c:pt idx="5">
                  <c:v>3.117526208743045E-2</c:v>
                </c:pt>
                <c:pt idx="6">
                  <c:v>1.3150529634218911E-2</c:v>
                </c:pt>
                <c:pt idx="7">
                  <c:v>4.5565059438852897E-2</c:v>
                </c:pt>
                <c:pt idx="8">
                  <c:v>1.6659576270117177E-2</c:v>
                </c:pt>
                <c:pt idx="9">
                  <c:v>0.15045992672715416</c:v>
                </c:pt>
              </c:numCache>
            </c:numRef>
          </c:val>
          <c:extLst>
            <c:ext xmlns:c16="http://schemas.microsoft.com/office/drawing/2014/chart" uri="{C3380CC4-5D6E-409C-BE32-E72D297353CC}">
              <c16:uniqueId val="{0000000E-BB29-48F3-B671-7DA230BF6D27}"/>
            </c:ext>
          </c:extLst>
        </c:ser>
        <c:ser>
          <c:idx val="15"/>
          <c:order val="15"/>
          <c:tx>
            <c:strRef>
              <c:f>LCA!$C$97</c:f>
              <c:strCache>
                <c:ptCount val="1"/>
                <c:pt idx="0">
                  <c:v>Transportation</c:v>
                </c:pt>
              </c:strCache>
            </c:strRef>
          </c:tx>
          <c:spPr>
            <a:solidFill>
              <a:srgbClr val="CC1204"/>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LCA!$D$97:$M$97</c:f>
              <c:numCache>
                <c:formatCode>0.00%</c:formatCode>
                <c:ptCount val="10"/>
                <c:pt idx="0">
                  <c:v>1.4927798723573252E-2</c:v>
                </c:pt>
                <c:pt idx="1">
                  <c:v>1.5808174568624624E-2</c:v>
                </c:pt>
                <c:pt idx="2">
                  <c:v>8.345630572452337E-3</c:v>
                </c:pt>
                <c:pt idx="3">
                  <c:v>1.645989227036903E-2</c:v>
                </c:pt>
                <c:pt idx="4">
                  <c:v>2.4608353508360312E-2</c:v>
                </c:pt>
                <c:pt idx="5">
                  <c:v>1.3475623259651626E-2</c:v>
                </c:pt>
                <c:pt idx="6">
                  <c:v>1.7708546114247384E-2</c:v>
                </c:pt>
                <c:pt idx="7">
                  <c:v>4.328720666814477E-2</c:v>
                </c:pt>
                <c:pt idx="8">
                  <c:v>2.1220584165168525E-2</c:v>
                </c:pt>
                <c:pt idx="9">
                  <c:v>5.3109033459294061E-2</c:v>
                </c:pt>
              </c:numCache>
            </c:numRef>
          </c:val>
          <c:extLst>
            <c:ext xmlns:c16="http://schemas.microsoft.com/office/drawing/2014/chart" uri="{C3380CC4-5D6E-409C-BE32-E72D297353CC}">
              <c16:uniqueId val="{0000000F-BB29-48F3-B671-7DA230BF6D27}"/>
            </c:ext>
          </c:extLst>
        </c:ser>
        <c:ser>
          <c:idx val="16"/>
          <c:order val="16"/>
          <c:tx>
            <c:strRef>
              <c:f>LCA!$C$98</c:f>
              <c:strCache>
                <c:ptCount val="1"/>
                <c:pt idx="0">
                  <c:v>Steam Heat</c:v>
                </c:pt>
              </c:strCache>
            </c:strRef>
          </c:tx>
          <c:spPr>
            <a:solidFill>
              <a:srgbClr val="000054"/>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LCA!$D$98:$M$98</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10-BB29-48F3-B671-7DA230BF6D27}"/>
            </c:ext>
          </c:extLst>
        </c:ser>
        <c:ser>
          <c:idx val="17"/>
          <c:order val="17"/>
          <c:tx>
            <c:strRef>
              <c:f>LCA!$C$99</c:f>
              <c:strCache>
                <c:ptCount val="1"/>
                <c:pt idx="0">
                  <c:v>Net Electricity</c:v>
                </c:pt>
              </c:strCache>
            </c:strRef>
          </c:tx>
          <c:spPr>
            <a:solidFill>
              <a:srgbClr val="FFC000"/>
            </a:solidFill>
            <a:ln>
              <a:solidFill>
                <a:srgbClr val="FFC000"/>
              </a:solid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LCA!$D$99:$M$99</c:f>
              <c:numCache>
                <c:formatCode>0.00%</c:formatCode>
                <c:ptCount val="10"/>
                <c:pt idx="0">
                  <c:v>-0.12530235032317705</c:v>
                </c:pt>
                <c:pt idx="1">
                  <c:v>-0.66163366379608923</c:v>
                </c:pt>
                <c:pt idx="2">
                  <c:v>-1.0674096113685183</c:v>
                </c:pt>
                <c:pt idx="3">
                  <c:v>-0.23839635380535704</c:v>
                </c:pt>
                <c:pt idx="4">
                  <c:v>-1.3072337150110123</c:v>
                </c:pt>
                <c:pt idx="5">
                  <c:v>-0.58824697492902955</c:v>
                </c:pt>
                <c:pt idx="6">
                  <c:v>-4.2726523334799531E-2</c:v>
                </c:pt>
                <c:pt idx="7">
                  <c:v>-0.11970204618087761</c:v>
                </c:pt>
                <c:pt idx="8">
                  <c:v>-3.2202367093101668E-2</c:v>
                </c:pt>
                <c:pt idx="9">
                  <c:v>-4.6497540003769204</c:v>
                </c:pt>
              </c:numCache>
            </c:numRef>
          </c:val>
          <c:extLst>
            <c:ext xmlns:c16="http://schemas.microsoft.com/office/drawing/2014/chart" uri="{C3380CC4-5D6E-409C-BE32-E72D297353CC}">
              <c16:uniqueId val="{00000011-BB29-48F3-B671-7DA230BF6D27}"/>
            </c:ext>
          </c:extLst>
        </c:ser>
        <c:ser>
          <c:idx val="18"/>
          <c:order val="18"/>
          <c:tx>
            <c:strRef>
              <c:f>LCA!$C$100</c:f>
              <c:strCache>
                <c:ptCount val="1"/>
                <c:pt idx="0">
                  <c:v>Water (Dilution)</c:v>
                </c:pt>
              </c:strCache>
            </c:strRef>
          </c:tx>
          <c:spPr>
            <a:solidFill>
              <a:schemeClr val="accent3">
                <a:lumMod val="20000"/>
                <a:lumOff val="80000"/>
              </a:schemeClr>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LCA!$D$100:$M$100</c:f>
              <c:numCache>
                <c:formatCode>0.00%</c:formatCode>
                <c:ptCount val="10"/>
                <c:pt idx="0">
                  <c:v>2.0625027538849532E-2</c:v>
                </c:pt>
                <c:pt idx="1">
                  <c:v>3.6185952086529354E-2</c:v>
                </c:pt>
                <c:pt idx="2">
                  <c:v>4.8368472899122578E-2</c:v>
                </c:pt>
                <c:pt idx="3">
                  <c:v>3.1502372431396121E-2</c:v>
                </c:pt>
                <c:pt idx="4">
                  <c:v>8.8076731818589049E-2</c:v>
                </c:pt>
                <c:pt idx="5">
                  <c:v>3.7779342856778296E-3</c:v>
                </c:pt>
                <c:pt idx="6">
                  <c:v>7.8577060216497973E-3</c:v>
                </c:pt>
                <c:pt idx="7">
                  <c:v>2.4738320463468737E-2</c:v>
                </c:pt>
                <c:pt idx="8">
                  <c:v>1.1985054133752917E-2</c:v>
                </c:pt>
                <c:pt idx="9">
                  <c:v>0.24676794020386364</c:v>
                </c:pt>
              </c:numCache>
            </c:numRef>
          </c:val>
          <c:extLst>
            <c:ext xmlns:c16="http://schemas.microsoft.com/office/drawing/2014/chart" uri="{C3380CC4-5D6E-409C-BE32-E72D297353CC}">
              <c16:uniqueId val="{00000012-BB29-48F3-B671-7DA230BF6D27}"/>
            </c:ext>
          </c:extLst>
        </c:ser>
        <c:ser>
          <c:idx val="19"/>
          <c:order val="19"/>
          <c:tx>
            <c:strRef>
              <c:f>LCA!$C$101</c:f>
              <c:strCache>
                <c:ptCount val="1"/>
                <c:pt idx="0">
                  <c:v>H2SO4</c:v>
                </c:pt>
              </c:strCache>
            </c:strRef>
          </c:tx>
          <c:spPr>
            <a:solidFill>
              <a:schemeClr val="accent1">
                <a:lumMod val="20000"/>
                <a:lumOff val="80000"/>
              </a:schemeClr>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LCA!$D$101:$M$101</c:f>
              <c:numCache>
                <c:formatCode>0.00%</c:formatCode>
                <c:ptCount val="10"/>
                <c:pt idx="0">
                  <c:v>0.17753949313493411</c:v>
                </c:pt>
                <c:pt idx="1">
                  <c:v>0.12489759051607627</c:v>
                </c:pt>
                <c:pt idx="2">
                  <c:v>5.2019458301325434E-2</c:v>
                </c:pt>
                <c:pt idx="3">
                  <c:v>1.9103881686121052E-2</c:v>
                </c:pt>
                <c:pt idx="4">
                  <c:v>0.11382475660229549</c:v>
                </c:pt>
                <c:pt idx="5">
                  <c:v>0.12974518678765815</c:v>
                </c:pt>
                <c:pt idx="6">
                  <c:v>3.6464631807103895E-2</c:v>
                </c:pt>
                <c:pt idx="7">
                  <c:v>5.0364364517534219E-2</c:v>
                </c:pt>
                <c:pt idx="8">
                  <c:v>9.5931142217287074E-2</c:v>
                </c:pt>
                <c:pt idx="9">
                  <c:v>0.44980595854620281</c:v>
                </c:pt>
              </c:numCache>
            </c:numRef>
          </c:val>
          <c:extLst>
            <c:ext xmlns:c16="http://schemas.microsoft.com/office/drawing/2014/chart" uri="{C3380CC4-5D6E-409C-BE32-E72D297353CC}">
              <c16:uniqueId val="{00000013-BB29-48F3-B671-7DA230BF6D27}"/>
            </c:ext>
          </c:extLst>
        </c:ser>
        <c:ser>
          <c:idx val="20"/>
          <c:order val="20"/>
          <c:tx>
            <c:strRef>
              <c:f>LCA!$C$102</c:f>
              <c:strCache>
                <c:ptCount val="1"/>
                <c:pt idx="0">
                  <c:v>NH3</c:v>
                </c:pt>
              </c:strCache>
            </c:strRef>
          </c:tx>
          <c:spPr>
            <a:solidFill>
              <a:schemeClr val="accent1">
                <a:lumMod val="40000"/>
                <a:lumOff val="60000"/>
              </a:schemeClr>
            </a:solidFill>
            <a:ln>
              <a:solidFill>
                <a:schemeClr val="accent1">
                  <a:lumMod val="40000"/>
                  <a:lumOff val="60000"/>
                </a:schemeClr>
              </a:solid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LCA!$D$102:$M$102</c:f>
              <c:numCache>
                <c:formatCode>0.00%</c:formatCode>
                <c:ptCount val="10"/>
                <c:pt idx="0">
                  <c:v>5.3155133998452155E-2</c:v>
                </c:pt>
                <c:pt idx="1">
                  <c:v>0.11637166916018186</c:v>
                </c:pt>
                <c:pt idx="2">
                  <c:v>6.0162537465749615E-2</c:v>
                </c:pt>
                <c:pt idx="3">
                  <c:v>0.15382075987275975</c:v>
                </c:pt>
                <c:pt idx="4">
                  <c:v>0.12061625187719967</c:v>
                </c:pt>
                <c:pt idx="5">
                  <c:v>0.11579523664911874</c:v>
                </c:pt>
                <c:pt idx="6">
                  <c:v>0.12423589994244506</c:v>
                </c:pt>
                <c:pt idx="7">
                  <c:v>6.3094481523213994E-2</c:v>
                </c:pt>
                <c:pt idx="8">
                  <c:v>0.25112388770120736</c:v>
                </c:pt>
                <c:pt idx="9">
                  <c:v>0.31725920647834571</c:v>
                </c:pt>
              </c:numCache>
            </c:numRef>
          </c:val>
          <c:extLst>
            <c:ext xmlns:c16="http://schemas.microsoft.com/office/drawing/2014/chart" uri="{C3380CC4-5D6E-409C-BE32-E72D297353CC}">
              <c16:uniqueId val="{00000014-BB29-48F3-B671-7DA230BF6D27}"/>
            </c:ext>
          </c:extLst>
        </c:ser>
        <c:ser>
          <c:idx val="21"/>
          <c:order val="21"/>
          <c:tx>
            <c:strRef>
              <c:f>LCA!$C$103</c:f>
              <c:strCache>
                <c:ptCount val="1"/>
                <c:pt idx="0">
                  <c:v>Glucose </c:v>
                </c:pt>
              </c:strCache>
            </c:strRef>
          </c:tx>
          <c:spPr>
            <a:solidFill>
              <a:schemeClr val="accent1">
                <a:lumMod val="60000"/>
                <a:lumOff val="40000"/>
              </a:schemeClr>
            </a:solidFill>
            <a:ln>
              <a:solidFill>
                <a:schemeClr val="accent1">
                  <a:lumMod val="60000"/>
                  <a:lumOff val="40000"/>
                </a:schemeClr>
              </a:solid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LCA!$D$103:$M$103</c:f>
              <c:numCache>
                <c:formatCode>0.00%</c:formatCode>
                <c:ptCount val="10"/>
                <c:pt idx="0">
                  <c:v>0.20354543066799996</c:v>
                </c:pt>
                <c:pt idx="1">
                  <c:v>0.51451088003641787</c:v>
                </c:pt>
                <c:pt idx="2">
                  <c:v>1.1543946566245622</c:v>
                </c:pt>
                <c:pt idx="3">
                  <c:v>0.20536052934176405</c:v>
                </c:pt>
                <c:pt idx="4">
                  <c:v>0.58533136123467155</c:v>
                </c:pt>
                <c:pt idx="5">
                  <c:v>0.45336329590897922</c:v>
                </c:pt>
                <c:pt idx="6">
                  <c:v>9.2577105896435141E-2</c:v>
                </c:pt>
                <c:pt idx="7">
                  <c:v>0.17967939923112503</c:v>
                </c:pt>
                <c:pt idx="8">
                  <c:v>0.12279544466002475</c:v>
                </c:pt>
                <c:pt idx="9">
                  <c:v>1.0642806822957451</c:v>
                </c:pt>
              </c:numCache>
            </c:numRef>
          </c:val>
          <c:extLst>
            <c:ext xmlns:c16="http://schemas.microsoft.com/office/drawing/2014/chart" uri="{C3380CC4-5D6E-409C-BE32-E72D297353CC}">
              <c16:uniqueId val="{00000015-BB29-48F3-B671-7DA230BF6D27}"/>
            </c:ext>
          </c:extLst>
        </c:ser>
        <c:ser>
          <c:idx val="22"/>
          <c:order val="22"/>
          <c:tx>
            <c:strRef>
              <c:f>LCA!$C$104</c:f>
              <c:strCache>
                <c:ptCount val="1"/>
                <c:pt idx="0">
                  <c:v>SO2</c:v>
                </c:pt>
              </c:strCache>
            </c:strRef>
          </c:tx>
          <c:spPr>
            <a:solidFill>
              <a:schemeClr val="accent5">
                <a:lumMod val="80000"/>
              </a:schemeClr>
            </a:solidFill>
            <a:ln>
              <a:solidFill>
                <a:schemeClr val="accent1">
                  <a:lumMod val="75000"/>
                </a:schemeClr>
              </a:solid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LCA!$D$104:$M$104</c:f>
              <c:numCache>
                <c:formatCode>0.00%</c:formatCode>
                <c:ptCount val="10"/>
                <c:pt idx="0">
                  <c:v>6.4799873676167638E-3</c:v>
                </c:pt>
                <c:pt idx="1">
                  <c:v>1.3411285913739156E-3</c:v>
                </c:pt>
                <c:pt idx="2">
                  <c:v>9.368420117698259E-4</c:v>
                </c:pt>
                <c:pt idx="3">
                  <c:v>3.5274089192365731E-4</c:v>
                </c:pt>
                <c:pt idx="4">
                  <c:v>1.5796491907013428E-3</c:v>
                </c:pt>
                <c:pt idx="5">
                  <c:v>1.3567018099172297E-3</c:v>
                </c:pt>
                <c:pt idx="6">
                  <c:v>5.2629871220757939E-4</c:v>
                </c:pt>
                <c:pt idx="7">
                  <c:v>2.3316239736242012E-4</c:v>
                </c:pt>
                <c:pt idx="8">
                  <c:v>1.3110025355390663E-3</c:v>
                </c:pt>
                <c:pt idx="9">
                  <c:v>1.5317974325989355E-2</c:v>
                </c:pt>
              </c:numCache>
            </c:numRef>
          </c:val>
          <c:extLst>
            <c:ext xmlns:c16="http://schemas.microsoft.com/office/drawing/2014/chart" uri="{C3380CC4-5D6E-409C-BE32-E72D297353CC}">
              <c16:uniqueId val="{00000016-BB29-48F3-B671-7DA230BF6D27}"/>
            </c:ext>
          </c:extLst>
        </c:ser>
        <c:ser>
          <c:idx val="23"/>
          <c:order val="23"/>
          <c:tx>
            <c:strRef>
              <c:f>LCA!$C$105</c:f>
              <c:strCache>
                <c:ptCount val="1"/>
                <c:pt idx="0">
                  <c:v>CSL</c:v>
                </c:pt>
              </c:strCache>
            </c:strRef>
          </c:tx>
          <c:spPr>
            <a:solidFill>
              <a:schemeClr val="accent1">
                <a:lumMod val="50000"/>
              </a:schemeClr>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LCA!$D$105:$M$105</c:f>
              <c:numCache>
                <c:formatCode>0.00%</c:formatCode>
                <c:ptCount val="10"/>
                <c:pt idx="0">
                  <c:v>0.1068896623804365</c:v>
                </c:pt>
                <c:pt idx="1">
                  <c:v>1.5907657081797637E-7</c:v>
                </c:pt>
                <c:pt idx="2">
                  <c:v>5.2568373081245305E-3</c:v>
                </c:pt>
                <c:pt idx="3">
                  <c:v>7.7190891775216731E-4</c:v>
                </c:pt>
                <c:pt idx="4">
                  <c:v>1.4024040468839336E-7</c:v>
                </c:pt>
                <c:pt idx="5">
                  <c:v>2.2836974225163533E-9</c:v>
                </c:pt>
                <c:pt idx="6">
                  <c:v>0</c:v>
                </c:pt>
                <c:pt idx="7">
                  <c:v>9.9322001015164684E-4</c:v>
                </c:pt>
                <c:pt idx="8">
                  <c:v>6.0478873777290406E-4</c:v>
                </c:pt>
                <c:pt idx="9">
                  <c:v>0.23655275783747409</c:v>
                </c:pt>
              </c:numCache>
            </c:numRef>
          </c:val>
          <c:extLst>
            <c:ext xmlns:c16="http://schemas.microsoft.com/office/drawing/2014/chart" uri="{C3380CC4-5D6E-409C-BE32-E72D297353CC}">
              <c16:uniqueId val="{00000017-BB29-48F3-B671-7DA230BF6D27}"/>
            </c:ext>
          </c:extLst>
        </c:ser>
        <c:ser>
          <c:idx val="24"/>
          <c:order val="24"/>
          <c:tx>
            <c:strRef>
              <c:f>LCA!$C$106</c:f>
              <c:strCache>
                <c:ptCount val="1"/>
                <c:pt idx="0">
                  <c:v>Ammonium Sulfate</c:v>
                </c:pt>
              </c:strCache>
            </c:strRef>
          </c:tx>
          <c:spPr>
            <a:solidFill>
              <a:schemeClr val="accent1">
                <a:lumMod val="60000"/>
                <a:lumOff val="40000"/>
              </a:schemeClr>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LCA!$D$106:$M$106</c:f>
              <c:numCache>
                <c:formatCode>0.00%</c:formatCode>
                <c:ptCount val="10"/>
                <c:pt idx="0">
                  <c:v>1.4407014512408554E-3</c:v>
                </c:pt>
                <c:pt idx="1">
                  <c:v>5.7940937218002855E-3</c:v>
                </c:pt>
                <c:pt idx="2">
                  <c:v>2.6944879920896086E-3</c:v>
                </c:pt>
                <c:pt idx="3">
                  <c:v>2.1829911945343838E-3</c:v>
                </c:pt>
                <c:pt idx="4">
                  <c:v>6.1762320851318341E-3</c:v>
                </c:pt>
                <c:pt idx="5">
                  <c:v>6.1274429031020865E-3</c:v>
                </c:pt>
                <c:pt idx="6">
                  <c:v>7.7170851250886062E-4</c:v>
                </c:pt>
                <c:pt idx="7">
                  <c:v>1.3783768431199722E-3</c:v>
                </c:pt>
                <c:pt idx="8">
                  <c:v>1.600912439756139E-3</c:v>
                </c:pt>
                <c:pt idx="9">
                  <c:v>8.0302880062892955E-3</c:v>
                </c:pt>
              </c:numCache>
            </c:numRef>
          </c:val>
          <c:extLst>
            <c:ext xmlns:c16="http://schemas.microsoft.com/office/drawing/2014/chart" uri="{C3380CC4-5D6E-409C-BE32-E72D297353CC}">
              <c16:uniqueId val="{00000018-BB29-48F3-B671-7DA230BF6D27}"/>
            </c:ext>
          </c:extLst>
        </c:ser>
        <c:ser>
          <c:idx val="25"/>
          <c:order val="25"/>
          <c:tx>
            <c:strRef>
              <c:f>LCA!$C$107</c:f>
              <c:strCache>
                <c:ptCount val="1"/>
                <c:pt idx="0">
                  <c:v>Magnesium Sulfate</c:v>
                </c:pt>
              </c:strCache>
            </c:strRef>
          </c:tx>
          <c:spPr>
            <a:solidFill>
              <a:schemeClr val="accent2">
                <a:lumMod val="60000"/>
                <a:lumOff val="40000"/>
              </a:schemeClr>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LCA!$D$107:$M$107</c:f>
              <c:numCache>
                <c:formatCode>0.00%</c:formatCode>
                <c:ptCount val="10"/>
                <c:pt idx="0">
                  <c:v>7.1119144189900113E-5</c:v>
                </c:pt>
                <c:pt idx="1">
                  <c:v>1.1240093822259664E-4</c:v>
                </c:pt>
                <c:pt idx="2">
                  <c:v>1.5563598337955191E-4</c:v>
                </c:pt>
                <c:pt idx="3">
                  <c:v>1.0342598305687795E-4</c:v>
                </c:pt>
                <c:pt idx="4">
                  <c:v>2.6653806385573014E-4</c:v>
                </c:pt>
                <c:pt idx="5">
                  <c:v>1.1729426974630092E-4</c:v>
                </c:pt>
                <c:pt idx="6">
                  <c:v>2.2166413255711885E-5</c:v>
                </c:pt>
                <c:pt idx="7">
                  <c:v>8.9217774638140603E-5</c:v>
                </c:pt>
                <c:pt idx="8">
                  <c:v>3.8975869977398869E-5</c:v>
                </c:pt>
                <c:pt idx="9">
                  <c:v>9.8499591801282484E-4</c:v>
                </c:pt>
              </c:numCache>
            </c:numRef>
          </c:val>
          <c:extLst>
            <c:ext xmlns:c16="http://schemas.microsoft.com/office/drawing/2014/chart" uri="{C3380CC4-5D6E-409C-BE32-E72D297353CC}">
              <c16:uniqueId val="{00000019-BB29-48F3-B671-7DA230BF6D27}"/>
            </c:ext>
          </c:extLst>
        </c:ser>
        <c:ser>
          <c:idx val="26"/>
          <c:order val="26"/>
          <c:tx>
            <c:strRef>
              <c:f>LCA!$C$108</c:f>
              <c:strCache>
                <c:ptCount val="1"/>
                <c:pt idx="0">
                  <c:v>Calcium Chloride</c:v>
                </c:pt>
              </c:strCache>
            </c:strRef>
          </c:tx>
          <c:spPr>
            <a:solidFill>
              <a:schemeClr val="accent3">
                <a:lumMod val="60000"/>
                <a:lumOff val="40000"/>
              </a:schemeClr>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LCA!$D$108:$M$108</c:f>
              <c:numCache>
                <c:formatCode>0.00%</c:formatCode>
                <c:ptCount val="10"/>
                <c:pt idx="0">
                  <c:v>3.0908692229710032E-4</c:v>
                </c:pt>
                <c:pt idx="1">
                  <c:v>7.1971284919208564E-4</c:v>
                </c:pt>
                <c:pt idx="2">
                  <c:v>4.4262651690591981E-4</c:v>
                </c:pt>
                <c:pt idx="3">
                  <c:v>2.4200552656209834E-4</c:v>
                </c:pt>
                <c:pt idx="4">
                  <c:v>8.246837087793785E-4</c:v>
                </c:pt>
                <c:pt idx="5">
                  <c:v>7.6121649182088566E-4</c:v>
                </c:pt>
                <c:pt idx="6">
                  <c:v>4.681624024805348E-5</c:v>
                </c:pt>
                <c:pt idx="7">
                  <c:v>1.8901043370030387E-4</c:v>
                </c:pt>
                <c:pt idx="8">
                  <c:v>6.3316194579230957E-5</c:v>
                </c:pt>
                <c:pt idx="9">
                  <c:v>1.2052292951734499E-3</c:v>
                </c:pt>
              </c:numCache>
            </c:numRef>
          </c:val>
          <c:extLst>
            <c:ext xmlns:c16="http://schemas.microsoft.com/office/drawing/2014/chart" uri="{C3380CC4-5D6E-409C-BE32-E72D297353CC}">
              <c16:uniqueId val="{0000001A-BB29-48F3-B671-7DA230BF6D27}"/>
            </c:ext>
          </c:extLst>
        </c:ser>
        <c:ser>
          <c:idx val="27"/>
          <c:order val="27"/>
          <c:tx>
            <c:strRef>
              <c:f>LCA!$C$111</c:f>
              <c:strCache>
                <c:ptCount val="1"/>
                <c:pt idx="0">
                  <c:v>Fuel Use</c:v>
                </c:pt>
              </c:strCache>
            </c:strRef>
          </c:tx>
          <c:spPr>
            <a:solidFill>
              <a:srgbClr val="FF0000"/>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LCA!$D$111:$M$111</c:f>
              <c:numCache>
                <c:formatCode>0.00%</c:formatCode>
                <c:ptCount val="10"/>
                <c:pt idx="0">
                  <c:v>0</c:v>
                </c:pt>
                <c:pt idx="1">
                  <c:v>0</c:v>
                </c:pt>
                <c:pt idx="2">
                  <c:v>0</c:v>
                </c:pt>
                <c:pt idx="3">
                  <c:v>9.0371199554233436E-2</c:v>
                </c:pt>
                <c:pt idx="4">
                  <c:v>0</c:v>
                </c:pt>
                <c:pt idx="5">
                  <c:v>0</c:v>
                </c:pt>
                <c:pt idx="6">
                  <c:v>0</c:v>
                </c:pt>
                <c:pt idx="7">
                  <c:v>0</c:v>
                </c:pt>
                <c:pt idx="8">
                  <c:v>0</c:v>
                </c:pt>
                <c:pt idx="9">
                  <c:v>0</c:v>
                </c:pt>
              </c:numCache>
            </c:numRef>
          </c:val>
          <c:extLst>
            <c:ext xmlns:c16="http://schemas.microsoft.com/office/drawing/2014/chart" uri="{C3380CC4-5D6E-409C-BE32-E72D297353CC}">
              <c16:uniqueId val="{0000001C-BB29-48F3-B671-7DA230BF6D27}"/>
            </c:ext>
          </c:extLst>
        </c:ser>
        <c:dLbls>
          <c:showLegendKey val="0"/>
          <c:showVal val="0"/>
          <c:showCatName val="0"/>
          <c:showSerName val="0"/>
          <c:showPercent val="0"/>
          <c:showBubbleSize val="0"/>
        </c:dLbls>
        <c:gapWidth val="219"/>
        <c:overlap val="100"/>
        <c:axId val="519107800"/>
        <c:axId val="519109368"/>
      </c:barChart>
      <c:catAx>
        <c:axId val="519107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b" anchorCtr="0"/>
          <a:lstStyle/>
          <a:p>
            <a:pPr>
              <a:defRPr sz="900" b="0" i="0" u="none" strike="noStrike" kern="1200" baseline="0">
                <a:ln>
                  <a:noFill/>
                </a:ln>
                <a:solidFill>
                  <a:sysClr val="windowText" lastClr="000000"/>
                </a:solidFill>
                <a:latin typeface="+mn-lt"/>
                <a:ea typeface="+mn-ea"/>
                <a:cs typeface="+mn-cs"/>
              </a:defRPr>
            </a:pPr>
            <a:endParaRPr lang="en-US"/>
          </a:p>
        </c:txPr>
        <c:crossAx val="519109368"/>
        <c:crosses val="autoZero"/>
        <c:auto val="1"/>
        <c:lblAlgn val="ctr"/>
        <c:lblOffset val="100"/>
        <c:noMultiLvlLbl val="0"/>
      </c:catAx>
      <c:valAx>
        <c:axId val="51910936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1078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Feedstock</a:t>
            </a:r>
            <a:r>
              <a:rPr lang="en-US" baseline="0"/>
              <a:t> Production Analysis</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percentStacked"/>
        <c:varyColors val="0"/>
        <c:ser>
          <c:idx val="0"/>
          <c:order val="0"/>
          <c:tx>
            <c:strRef>
              <c:f>LCA!$R$70</c:f>
              <c:strCache>
                <c:ptCount val="1"/>
                <c:pt idx="0">
                  <c:v>Corn Seeds</c:v>
                </c:pt>
              </c:strCache>
            </c:strRef>
          </c:tx>
          <c:spPr>
            <a:solidFill>
              <a:srgbClr val="000054"/>
            </a:solidFill>
            <a:ln>
              <a:noFill/>
            </a:ln>
            <a:effectLst/>
          </c:spPr>
          <c:invertIfNegative val="0"/>
          <c:cat>
            <c:strRef>
              <c:f>LCA!$S$69:$AB$69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LCA!$S$70:$AB$70</c:f>
              <c:numCache>
                <c:formatCode>0.00E+00</c:formatCode>
                <c:ptCount val="10"/>
                <c:pt idx="0">
                  <c:v>0.6826572822000001</c:v>
                </c:pt>
                <c:pt idx="1">
                  <c:v>66.762395853600012</c:v>
                </c:pt>
                <c:pt idx="2">
                  <c:v>0.63877469900000006</c:v>
                </c:pt>
                <c:pt idx="3">
                  <c:v>29.272160237000005</c:v>
                </c:pt>
                <c:pt idx="4">
                  <c:v>9.9622488104900004E-7</c:v>
                </c:pt>
                <c:pt idx="5">
                  <c:v>2.8038316476300001E-6</c:v>
                </c:pt>
                <c:pt idx="6">
                  <c:v>1.5687209542860001E-6</c:v>
                </c:pt>
                <c:pt idx="7">
                  <c:v>2.0134673961000003</c:v>
                </c:pt>
                <c:pt idx="8">
                  <c:v>14.786484133500002</c:v>
                </c:pt>
                <c:pt idx="9">
                  <c:v>3.9989773399999998E-2</c:v>
                </c:pt>
              </c:numCache>
            </c:numRef>
          </c:val>
          <c:extLst>
            <c:ext xmlns:c16="http://schemas.microsoft.com/office/drawing/2014/chart" uri="{C3380CC4-5D6E-409C-BE32-E72D297353CC}">
              <c16:uniqueId val="{00000000-D346-4DAF-A46C-211CC53792D2}"/>
            </c:ext>
          </c:extLst>
        </c:ser>
        <c:ser>
          <c:idx val="1"/>
          <c:order val="1"/>
          <c:tx>
            <c:strRef>
              <c:f>LCA!$R$71</c:f>
              <c:strCache>
                <c:ptCount val="1"/>
                <c:pt idx="0">
                  <c:v>Water (Irrigation)</c:v>
                </c:pt>
              </c:strCache>
            </c:strRef>
          </c:tx>
          <c:spPr>
            <a:solidFill>
              <a:srgbClr val="0000CC"/>
            </a:solidFill>
            <a:ln>
              <a:noFill/>
            </a:ln>
            <a:effectLst/>
          </c:spPr>
          <c:invertIfNegative val="0"/>
          <c:cat>
            <c:strRef>
              <c:f>LCA!$S$69:$AB$69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LCA!$S$71:$AB$71</c:f>
              <c:numCache>
                <c:formatCode>0.00E+00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D346-4DAF-A46C-211CC53792D2}"/>
            </c:ext>
          </c:extLst>
        </c:ser>
        <c:ser>
          <c:idx val="2"/>
          <c:order val="2"/>
          <c:tx>
            <c:strRef>
              <c:f>LCA!$R$72</c:f>
              <c:strCache>
                <c:ptCount val="1"/>
                <c:pt idx="0">
                  <c:v>N Fert</c:v>
                </c:pt>
              </c:strCache>
            </c:strRef>
          </c:tx>
          <c:spPr>
            <a:solidFill>
              <a:srgbClr val="4343FF"/>
            </a:solidFill>
            <a:ln>
              <a:noFill/>
            </a:ln>
            <a:effectLst/>
          </c:spPr>
          <c:invertIfNegative val="0"/>
          <c:cat>
            <c:strRef>
              <c:f>LCA!$S$69:$AB$69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LCA!$S$72:$AB$72</c:f>
              <c:numCache>
                <c:formatCode>0.00E+00</c:formatCode>
                <c:ptCount val="10"/>
                <c:pt idx="0">
                  <c:v>2.9207970000000003</c:v>
                </c:pt>
                <c:pt idx="1">
                  <c:v>1936.0720764</c:v>
                </c:pt>
                <c:pt idx="2">
                  <c:v>0.94562820000000003</c:v>
                </c:pt>
                <c:pt idx="3">
                  <c:v>541.94500800000003</c:v>
                </c:pt>
                <c:pt idx="4">
                  <c:v>1.5091386948000001E-5</c:v>
                </c:pt>
                <c:pt idx="5">
                  <c:v>9.0197922870000001E-5</c:v>
                </c:pt>
                <c:pt idx="6">
                  <c:v>9.6392755800000013E-5</c:v>
                </c:pt>
                <c:pt idx="7">
                  <c:v>17.392458600000001</c:v>
                </c:pt>
                <c:pt idx="8">
                  <c:v>1216.5539067</c:v>
                </c:pt>
                <c:pt idx="9">
                  <c:v>0.48895110000000003</c:v>
                </c:pt>
              </c:numCache>
            </c:numRef>
          </c:val>
          <c:extLst>
            <c:ext xmlns:c16="http://schemas.microsoft.com/office/drawing/2014/chart" uri="{C3380CC4-5D6E-409C-BE32-E72D297353CC}">
              <c16:uniqueId val="{00000002-D346-4DAF-A46C-211CC53792D2}"/>
            </c:ext>
          </c:extLst>
        </c:ser>
        <c:ser>
          <c:idx val="3"/>
          <c:order val="3"/>
          <c:tx>
            <c:strRef>
              <c:f>LCA!$R$73</c:f>
              <c:strCache>
                <c:ptCount val="1"/>
                <c:pt idx="0">
                  <c:v>P Fert</c:v>
                </c:pt>
              </c:strCache>
            </c:strRef>
          </c:tx>
          <c:spPr>
            <a:solidFill>
              <a:srgbClr val="7D7DFF"/>
            </a:solidFill>
            <a:ln>
              <a:noFill/>
            </a:ln>
            <a:effectLst/>
          </c:spPr>
          <c:invertIfNegative val="0"/>
          <c:cat>
            <c:strRef>
              <c:f>LCA!$S$69:$AB$69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LCA!$S$73:$AB$73</c:f>
              <c:numCache>
                <c:formatCode>0.00E+00</c:formatCode>
                <c:ptCount val="10"/>
                <c:pt idx="0">
                  <c:v>0.13099050000000001</c:v>
                </c:pt>
                <c:pt idx="1">
                  <c:v>116.10390700000001</c:v>
                </c:pt>
                <c:pt idx="2">
                  <c:v>8.4666500000000006E-2</c:v>
                </c:pt>
                <c:pt idx="3">
                  <c:v>17.692325</c:v>
                </c:pt>
                <c:pt idx="4">
                  <c:v>9.3422518500000008E-7</c:v>
                </c:pt>
                <c:pt idx="5">
                  <c:v>6.4768933500000004E-6</c:v>
                </c:pt>
                <c:pt idx="6">
                  <c:v>2.1224060499999999E-6</c:v>
                </c:pt>
                <c:pt idx="7">
                  <c:v>2.4953925000000003</c:v>
                </c:pt>
                <c:pt idx="8">
                  <c:v>25.589314999999999</c:v>
                </c:pt>
                <c:pt idx="9">
                  <c:v>2.7074500000000001E-2</c:v>
                </c:pt>
              </c:numCache>
            </c:numRef>
          </c:val>
          <c:extLst>
            <c:ext xmlns:c16="http://schemas.microsoft.com/office/drawing/2014/chart" uri="{C3380CC4-5D6E-409C-BE32-E72D297353CC}">
              <c16:uniqueId val="{00000003-D346-4DAF-A46C-211CC53792D2}"/>
            </c:ext>
          </c:extLst>
        </c:ser>
        <c:ser>
          <c:idx val="4"/>
          <c:order val="4"/>
          <c:tx>
            <c:strRef>
              <c:f>LCA!$R$74</c:f>
              <c:strCache>
                <c:ptCount val="1"/>
                <c:pt idx="0">
                  <c:v>P Fert</c:v>
                </c:pt>
              </c:strCache>
            </c:strRef>
          </c:tx>
          <c:spPr>
            <a:solidFill>
              <a:srgbClr val="C1C1FF"/>
            </a:solidFill>
            <a:ln>
              <a:noFill/>
            </a:ln>
            <a:effectLst/>
          </c:spPr>
          <c:invertIfNegative val="0"/>
          <c:cat>
            <c:strRef>
              <c:f>LCA!$S$69:$AB$69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LCA!$S$74:$AB$74</c:f>
              <c:numCache>
                <c:formatCode>0.00E+00</c:formatCode>
                <c:ptCount val="10"/>
                <c:pt idx="0">
                  <c:v>0.15522360000000002</c:v>
                </c:pt>
                <c:pt idx="1">
                  <c:v>393.77868530000001</c:v>
                </c:pt>
                <c:pt idx="2">
                  <c:v>0.13087480000000001</c:v>
                </c:pt>
                <c:pt idx="3">
                  <c:v>40.213565000000003</c:v>
                </c:pt>
                <c:pt idx="4">
                  <c:v>2.8686690900000001E-6</c:v>
                </c:pt>
                <c:pt idx="5">
                  <c:v>1.8699269679999999E-5</c:v>
                </c:pt>
                <c:pt idx="6">
                  <c:v>7.1226022840000005E-6</c:v>
                </c:pt>
                <c:pt idx="7">
                  <c:v>2.0551908999999999</c:v>
                </c:pt>
                <c:pt idx="8">
                  <c:v>73.490765600000003</c:v>
                </c:pt>
                <c:pt idx="9">
                  <c:v>2.5870600000000004E-2</c:v>
                </c:pt>
              </c:numCache>
            </c:numRef>
          </c:val>
          <c:extLst>
            <c:ext xmlns:c16="http://schemas.microsoft.com/office/drawing/2014/chart" uri="{C3380CC4-5D6E-409C-BE32-E72D297353CC}">
              <c16:uniqueId val="{00000004-D346-4DAF-A46C-211CC53792D2}"/>
            </c:ext>
          </c:extLst>
        </c:ser>
        <c:ser>
          <c:idx val="5"/>
          <c:order val="5"/>
          <c:tx>
            <c:strRef>
              <c:f>LCA!$R$75</c:f>
              <c:strCache>
                <c:ptCount val="1"/>
                <c:pt idx="0">
                  <c:v>P Fert</c:v>
                </c:pt>
              </c:strCache>
            </c:strRef>
          </c:tx>
          <c:spPr>
            <a:solidFill>
              <a:srgbClr val="F3F3FF"/>
            </a:solidFill>
            <a:ln>
              <a:noFill/>
            </a:ln>
            <a:effectLst/>
          </c:spPr>
          <c:invertIfNegative val="0"/>
          <c:cat>
            <c:strRef>
              <c:f>LCA!$S$69:$AB$69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LCA!$S$75:$AB$75</c:f>
              <c:numCache>
                <c:formatCode>0.00E+00</c:formatCode>
                <c:ptCount val="10"/>
                <c:pt idx="0">
                  <c:v>1.4247450000000002</c:v>
                </c:pt>
                <c:pt idx="1">
                  <c:v>99.487908000000004</c:v>
                </c:pt>
                <c:pt idx="2">
                  <c:v>0.13569000000000001</c:v>
                </c:pt>
                <c:pt idx="3">
                  <c:v>441.47193800000002</c:v>
                </c:pt>
                <c:pt idx="4">
                  <c:v>1.8511236870000002E-6</c:v>
                </c:pt>
                <c:pt idx="5">
                  <c:v>3.6954357360000003E-6</c:v>
                </c:pt>
                <c:pt idx="6">
                  <c:v>4.0050169939999997E-5</c:v>
                </c:pt>
                <c:pt idx="7">
                  <c:v>21.534003000000002</c:v>
                </c:pt>
                <c:pt idx="8">
                  <c:v>274.17069099999998</c:v>
                </c:pt>
                <c:pt idx="9">
                  <c:v>0.11307500000000001</c:v>
                </c:pt>
              </c:numCache>
            </c:numRef>
          </c:val>
          <c:extLst>
            <c:ext xmlns:c16="http://schemas.microsoft.com/office/drawing/2014/chart" uri="{C3380CC4-5D6E-409C-BE32-E72D297353CC}">
              <c16:uniqueId val="{00000005-D346-4DAF-A46C-211CC53792D2}"/>
            </c:ext>
          </c:extLst>
        </c:ser>
        <c:ser>
          <c:idx val="6"/>
          <c:order val="6"/>
          <c:tx>
            <c:strRef>
              <c:f>LCA!$R$76</c:f>
              <c:strCache>
                <c:ptCount val="1"/>
                <c:pt idx="0">
                  <c:v>P Fert</c:v>
                </c:pt>
              </c:strCache>
            </c:strRef>
          </c:tx>
          <c:spPr>
            <a:solidFill>
              <a:schemeClr val="accent1">
                <a:lumMod val="40000"/>
                <a:lumOff val="60000"/>
              </a:schemeClr>
            </a:solidFill>
            <a:ln>
              <a:noFill/>
            </a:ln>
            <a:effectLst/>
          </c:spPr>
          <c:invertIfNegative val="0"/>
          <c:cat>
            <c:strRef>
              <c:f>LCA!$S$69:$AB$69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LCA!$S$76:$AB$76</c:f>
              <c:numCache>
                <c:formatCode>0.00E+00</c:formatCode>
                <c:ptCount val="10"/>
                <c:pt idx="0">
                  <c:v>4.466266E-2</c:v>
                </c:pt>
                <c:pt idx="1">
                  <c:v>51.266280520000002</c:v>
                </c:pt>
                <c:pt idx="2">
                  <c:v>4.0392900000000009E-2</c:v>
                </c:pt>
                <c:pt idx="3">
                  <c:v>10.698926860000002</c:v>
                </c:pt>
                <c:pt idx="4">
                  <c:v>5.531935020000001E-7</c:v>
                </c:pt>
                <c:pt idx="5">
                  <c:v>2.3886638599999999E-6</c:v>
                </c:pt>
                <c:pt idx="6">
                  <c:v>2.35110938E-6</c:v>
                </c:pt>
                <c:pt idx="7">
                  <c:v>0.53529690000000008</c:v>
                </c:pt>
                <c:pt idx="8">
                  <c:v>17.1104567</c:v>
                </c:pt>
                <c:pt idx="9">
                  <c:v>9.0853700000000006E-3</c:v>
                </c:pt>
              </c:numCache>
            </c:numRef>
          </c:val>
          <c:extLst>
            <c:ext xmlns:c16="http://schemas.microsoft.com/office/drawing/2014/chart" uri="{C3380CC4-5D6E-409C-BE32-E72D297353CC}">
              <c16:uniqueId val="{00000006-D346-4DAF-A46C-211CC53792D2}"/>
            </c:ext>
          </c:extLst>
        </c:ser>
        <c:ser>
          <c:idx val="7"/>
          <c:order val="7"/>
          <c:tx>
            <c:strRef>
              <c:f>LCA!$R$77</c:f>
              <c:strCache>
                <c:ptCount val="1"/>
                <c:pt idx="0">
                  <c:v>P Fert</c:v>
                </c:pt>
              </c:strCache>
            </c:strRef>
          </c:tx>
          <c:spPr>
            <a:solidFill>
              <a:schemeClr val="accent2">
                <a:lumMod val="50000"/>
              </a:schemeClr>
            </a:solidFill>
            <a:ln>
              <a:noFill/>
            </a:ln>
            <a:effectLst/>
          </c:spPr>
          <c:invertIfNegative val="0"/>
          <c:cat>
            <c:strRef>
              <c:f>LCA!$S$69:$AB$69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LCA!$S$77:$AB$77</c:f>
              <c:numCache>
                <c:formatCode>0.00E+00</c:formatCode>
                <c:ptCount val="10"/>
                <c:pt idx="0">
                  <c:v>0.36276000000000003</c:v>
                </c:pt>
                <c:pt idx="1">
                  <c:v>270.84419000000003</c:v>
                </c:pt>
                <c:pt idx="2">
                  <c:v>0.14602999999999999</c:v>
                </c:pt>
                <c:pt idx="3">
                  <c:v>57.131450000000001</c:v>
                </c:pt>
                <c:pt idx="4">
                  <c:v>5.28846E-6</c:v>
                </c:pt>
                <c:pt idx="5">
                  <c:v>9.9845999999999992E-6</c:v>
                </c:pt>
                <c:pt idx="6">
                  <c:v>7.6537900000000005E-6</c:v>
                </c:pt>
                <c:pt idx="7">
                  <c:v>7.9703499999999998</c:v>
                </c:pt>
                <c:pt idx="8">
                  <c:v>66.697630000000004</c:v>
                </c:pt>
                <c:pt idx="9">
                  <c:v>7.8369999999999995E-2</c:v>
                </c:pt>
              </c:numCache>
            </c:numRef>
          </c:val>
          <c:extLst>
            <c:ext xmlns:c16="http://schemas.microsoft.com/office/drawing/2014/chart" uri="{C3380CC4-5D6E-409C-BE32-E72D297353CC}">
              <c16:uniqueId val="{00000007-D346-4DAF-A46C-211CC53792D2}"/>
            </c:ext>
          </c:extLst>
        </c:ser>
        <c:ser>
          <c:idx val="8"/>
          <c:order val="8"/>
          <c:tx>
            <c:strRef>
              <c:f>LCA!$R$78</c:f>
              <c:strCache>
                <c:ptCount val="1"/>
                <c:pt idx="0">
                  <c:v>P Fert</c:v>
                </c:pt>
              </c:strCache>
            </c:strRef>
          </c:tx>
          <c:spPr>
            <a:solidFill>
              <a:schemeClr val="accent2">
                <a:lumMod val="75000"/>
              </a:schemeClr>
            </a:solidFill>
            <a:ln>
              <a:noFill/>
            </a:ln>
            <a:effectLst/>
          </c:spPr>
          <c:invertIfNegative val="0"/>
          <c:cat>
            <c:strRef>
              <c:f>LCA!$S$69:$AB$69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LCA!$S$78:$AB$78</c:f>
              <c:numCache>
                <c:formatCode>0.00E+00</c:formatCode>
                <c:ptCount val="10"/>
                <c:pt idx="0">
                  <c:v>0.13045000000000001</c:v>
                </c:pt>
                <c:pt idx="1">
                  <c:v>83.376099999999994</c:v>
                </c:pt>
                <c:pt idx="2">
                  <c:v>4.3459999999999999E-2</c:v>
                </c:pt>
                <c:pt idx="3">
                  <c:v>17.24485</c:v>
                </c:pt>
                <c:pt idx="4">
                  <c:v>1.03678E-6</c:v>
                </c:pt>
                <c:pt idx="5">
                  <c:v>3.7643300000000001E-6</c:v>
                </c:pt>
                <c:pt idx="6">
                  <c:v>3.0117599999999999E-6</c:v>
                </c:pt>
                <c:pt idx="7">
                  <c:v>3.17198</c:v>
                </c:pt>
                <c:pt idx="8">
                  <c:v>26.205690000000001</c:v>
                </c:pt>
                <c:pt idx="9">
                  <c:v>1.9990000000000001E-2</c:v>
                </c:pt>
              </c:numCache>
            </c:numRef>
          </c:val>
          <c:extLst>
            <c:ext xmlns:c16="http://schemas.microsoft.com/office/drawing/2014/chart" uri="{C3380CC4-5D6E-409C-BE32-E72D297353CC}">
              <c16:uniqueId val="{00000008-D346-4DAF-A46C-211CC53792D2}"/>
            </c:ext>
          </c:extLst>
        </c:ser>
        <c:ser>
          <c:idx val="9"/>
          <c:order val="9"/>
          <c:tx>
            <c:strRef>
              <c:f>LCA!$R$79</c:f>
              <c:strCache>
                <c:ptCount val="1"/>
                <c:pt idx="0">
                  <c:v>P Fert</c:v>
                </c:pt>
              </c:strCache>
            </c:strRef>
          </c:tx>
          <c:spPr>
            <a:solidFill>
              <a:schemeClr val="accent2">
                <a:lumMod val="60000"/>
                <a:lumOff val="40000"/>
              </a:schemeClr>
            </a:solidFill>
            <a:ln>
              <a:noFill/>
            </a:ln>
            <a:effectLst/>
          </c:spPr>
          <c:invertIfNegative val="0"/>
          <c:cat>
            <c:strRef>
              <c:f>LCA!$S$69:$AB$69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LCA!$S$79:$AB$79</c:f>
              <c:numCache>
                <c:formatCode>0.00E+00</c:formatCode>
                <c:ptCount val="10"/>
                <c:pt idx="0">
                  <c:v>0.88478000000000001</c:v>
                </c:pt>
                <c:pt idx="1">
                  <c:v>547.03817000000004</c:v>
                </c:pt>
                <c:pt idx="2">
                  <c:v>0.28473999999999999</c:v>
                </c:pt>
                <c:pt idx="3">
                  <c:v>113.82844</c:v>
                </c:pt>
                <c:pt idx="4">
                  <c:v>6.6293199999999999E-6</c:v>
                </c:pt>
                <c:pt idx="5">
                  <c:v>2.48619E-5</c:v>
                </c:pt>
                <c:pt idx="6">
                  <c:v>2.01212E-5</c:v>
                </c:pt>
                <c:pt idx="7">
                  <c:v>21.88522</c:v>
                </c:pt>
                <c:pt idx="8">
                  <c:v>174.78767999999999</c:v>
                </c:pt>
                <c:pt idx="9">
                  <c:v>7.4770000000000003E-2</c:v>
                </c:pt>
              </c:numCache>
            </c:numRef>
          </c:val>
          <c:extLst>
            <c:ext xmlns:c16="http://schemas.microsoft.com/office/drawing/2014/chart" uri="{C3380CC4-5D6E-409C-BE32-E72D297353CC}">
              <c16:uniqueId val="{00000009-D346-4DAF-A46C-211CC53792D2}"/>
            </c:ext>
          </c:extLst>
        </c:ser>
        <c:ser>
          <c:idx val="10"/>
          <c:order val="10"/>
          <c:tx>
            <c:strRef>
              <c:f>LCA!$R$80</c:f>
              <c:strCache>
                <c:ptCount val="1"/>
                <c:pt idx="0">
                  <c:v>P Fert</c:v>
                </c:pt>
              </c:strCache>
            </c:strRef>
          </c:tx>
          <c:spPr>
            <a:solidFill>
              <a:schemeClr val="accent2">
                <a:lumMod val="40000"/>
                <a:lumOff val="60000"/>
              </a:schemeClr>
            </a:solidFill>
            <a:ln>
              <a:noFill/>
            </a:ln>
            <a:effectLst/>
          </c:spPr>
          <c:invertIfNegative val="0"/>
          <c:cat>
            <c:strRef>
              <c:f>LCA!$S$69:$AB$69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LCA!$S$80:$AB$80</c:f>
              <c:numCache>
                <c:formatCode>0.00E+00</c:formatCode>
                <c:ptCount val="10"/>
                <c:pt idx="0">
                  <c:v>0.29953999999999997</c:v>
                </c:pt>
                <c:pt idx="1">
                  <c:v>77.610789999999994</c:v>
                </c:pt>
                <c:pt idx="2">
                  <c:v>5.6489999999999999E-2</c:v>
                </c:pt>
                <c:pt idx="3">
                  <c:v>33.603029999999997</c:v>
                </c:pt>
                <c:pt idx="4">
                  <c:v>1.10935E-6</c:v>
                </c:pt>
                <c:pt idx="5">
                  <c:v>3.3766399999999998E-6</c:v>
                </c:pt>
                <c:pt idx="6">
                  <c:v>6.9960399999999999E-6</c:v>
                </c:pt>
                <c:pt idx="7">
                  <c:v>8.4742300000000004</c:v>
                </c:pt>
                <c:pt idx="8">
                  <c:v>59.1584</c:v>
                </c:pt>
                <c:pt idx="9">
                  <c:v>3.7280000000000001E-2</c:v>
                </c:pt>
              </c:numCache>
            </c:numRef>
          </c:val>
          <c:extLst>
            <c:ext xmlns:c16="http://schemas.microsoft.com/office/drawing/2014/chart" uri="{C3380CC4-5D6E-409C-BE32-E72D297353CC}">
              <c16:uniqueId val="{0000000A-D346-4DAF-A46C-211CC53792D2}"/>
            </c:ext>
          </c:extLst>
        </c:ser>
        <c:ser>
          <c:idx val="11"/>
          <c:order val="11"/>
          <c:tx>
            <c:strRef>
              <c:f>LCA!$R$81</c:f>
              <c:strCache>
                <c:ptCount val="1"/>
                <c:pt idx="0">
                  <c:v>P Fert</c:v>
                </c:pt>
              </c:strCache>
            </c:strRef>
          </c:tx>
          <c:spPr>
            <a:solidFill>
              <a:schemeClr val="accent2">
                <a:lumMod val="20000"/>
                <a:lumOff val="80000"/>
              </a:schemeClr>
            </a:solidFill>
            <a:ln>
              <a:noFill/>
            </a:ln>
            <a:effectLst/>
          </c:spPr>
          <c:invertIfNegative val="0"/>
          <c:cat>
            <c:strRef>
              <c:f>LCA!$S$69:$AB$69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LCA!$S$81:$AB$81</c:f>
              <c:numCache>
                <c:formatCode>0.00E+00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B-D346-4DAF-A46C-211CC53792D2}"/>
            </c:ext>
          </c:extLst>
        </c:ser>
        <c:ser>
          <c:idx val="12"/>
          <c:order val="12"/>
          <c:tx>
            <c:strRef>
              <c:f>LCA!$R$82</c:f>
              <c:strCache>
                <c:ptCount val="1"/>
                <c:pt idx="0">
                  <c:v>P Fert</c:v>
                </c:pt>
              </c:strCache>
            </c:strRef>
          </c:tx>
          <c:spPr>
            <a:solidFill>
              <a:schemeClr val="accent2">
                <a:lumMod val="40000"/>
                <a:lumOff val="60000"/>
              </a:schemeClr>
            </a:solidFill>
            <a:ln>
              <a:noFill/>
            </a:ln>
            <a:effectLst/>
          </c:spPr>
          <c:invertIfNegative val="0"/>
          <c:cat>
            <c:strRef>
              <c:f>LCA!$S$69:$AB$69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LCA!$S$82:$AB$82</c:f>
              <c:numCache>
                <c:formatCode>0.00E+00</c:formatCode>
                <c:ptCount val="10"/>
                <c:pt idx="0">
                  <c:v>0.30092124000000003</c:v>
                </c:pt>
                <c:pt idx="1">
                  <c:v>125.24524547999999</c:v>
                </c:pt>
                <c:pt idx="2">
                  <c:v>7.9100320000000016E-2</c:v>
                </c:pt>
                <c:pt idx="3">
                  <c:v>39.018022440000003</c:v>
                </c:pt>
                <c:pt idx="4">
                  <c:v>2.0755154440000004E-6</c:v>
                </c:pt>
                <c:pt idx="5">
                  <c:v>5.1766327519999999E-6</c:v>
                </c:pt>
                <c:pt idx="6">
                  <c:v>7.1743542840000001E-6</c:v>
                </c:pt>
                <c:pt idx="7">
                  <c:v>7.8218942</c:v>
                </c:pt>
                <c:pt idx="8">
                  <c:v>61.357957160000005</c:v>
                </c:pt>
                <c:pt idx="9">
                  <c:v>5.2345800000000005E-2</c:v>
                </c:pt>
              </c:numCache>
            </c:numRef>
          </c:val>
          <c:extLst>
            <c:ext xmlns:c16="http://schemas.microsoft.com/office/drawing/2014/chart" uri="{C3380CC4-5D6E-409C-BE32-E72D297353CC}">
              <c16:uniqueId val="{0000000C-D346-4DAF-A46C-211CC53792D2}"/>
            </c:ext>
          </c:extLst>
        </c:ser>
        <c:ser>
          <c:idx val="13"/>
          <c:order val="13"/>
          <c:tx>
            <c:strRef>
              <c:f>LCA!$R$83</c:f>
              <c:strCache>
                <c:ptCount val="1"/>
                <c:pt idx="0">
                  <c:v>P Fert</c:v>
                </c:pt>
              </c:strCache>
            </c:strRef>
          </c:tx>
          <c:spPr>
            <a:solidFill>
              <a:schemeClr val="accent2">
                <a:lumMod val="60000"/>
                <a:lumOff val="40000"/>
              </a:schemeClr>
            </a:solidFill>
            <a:ln>
              <a:noFill/>
            </a:ln>
            <a:effectLst/>
          </c:spPr>
          <c:invertIfNegative val="0"/>
          <c:cat>
            <c:strRef>
              <c:f>LCA!$S$69:$AB$69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LCA!$S$83:$AB$83</c:f>
              <c:numCache>
                <c:formatCode>0.00E+00</c:formatCode>
                <c:ptCount val="10"/>
                <c:pt idx="0">
                  <c:v>0.10853924000000001</c:v>
                </c:pt>
                <c:pt idx="1">
                  <c:v>15.968600800000001</c:v>
                </c:pt>
                <c:pt idx="2">
                  <c:v>1.61064E-2</c:v>
                </c:pt>
                <c:pt idx="3">
                  <c:v>12.377947360000002</c:v>
                </c:pt>
                <c:pt idx="4">
                  <c:v>2.29677264E-7</c:v>
                </c:pt>
                <c:pt idx="5">
                  <c:v>6.9364717040000001E-7</c:v>
                </c:pt>
                <c:pt idx="6">
                  <c:v>2.8152823960000001E-6</c:v>
                </c:pt>
                <c:pt idx="7">
                  <c:v>3.14665368</c:v>
                </c:pt>
                <c:pt idx="8">
                  <c:v>23.626209720000002</c:v>
                </c:pt>
                <c:pt idx="9">
                  <c:v>1.5658999999999999E-2</c:v>
                </c:pt>
              </c:numCache>
            </c:numRef>
          </c:val>
          <c:extLst>
            <c:ext xmlns:c16="http://schemas.microsoft.com/office/drawing/2014/chart" uri="{C3380CC4-5D6E-409C-BE32-E72D297353CC}">
              <c16:uniqueId val="{0000000D-D346-4DAF-A46C-211CC53792D2}"/>
            </c:ext>
          </c:extLst>
        </c:ser>
        <c:ser>
          <c:idx val="14"/>
          <c:order val="14"/>
          <c:tx>
            <c:strRef>
              <c:f>LCA!$R$84</c:f>
              <c:strCache>
                <c:ptCount val="1"/>
                <c:pt idx="0">
                  <c:v>P Fert</c:v>
                </c:pt>
              </c:strCache>
            </c:strRef>
          </c:tx>
          <c:spPr>
            <a:solidFill>
              <a:schemeClr val="accent2">
                <a:lumMod val="75000"/>
              </a:schemeClr>
            </a:solidFill>
            <a:ln>
              <a:noFill/>
            </a:ln>
            <a:effectLst/>
          </c:spPr>
          <c:invertIfNegative val="0"/>
          <c:cat>
            <c:strRef>
              <c:f>LCA!$S$69:$AB$69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LCA!$S$84:$AB$84</c:f>
              <c:numCache>
                <c:formatCode>0.00E+00</c:formatCode>
                <c:ptCount val="10"/>
                <c:pt idx="0">
                  <c:v>0.44900415764738821</c:v>
                </c:pt>
                <c:pt idx="1">
                  <c:v>282.27507243136148</c:v>
                </c:pt>
                <c:pt idx="2">
                  <c:v>0.16879855550653694</c:v>
                </c:pt>
                <c:pt idx="3">
                  <c:v>71.817033425811204</c:v>
                </c:pt>
                <c:pt idx="4">
                  <c:v>6.9763430199518676E-6</c:v>
                </c:pt>
                <c:pt idx="5">
                  <c:v>1.2056099229943387E-5</c:v>
                </c:pt>
                <c:pt idx="6">
                  <c:v>9.5122374790376721E-6</c:v>
                </c:pt>
                <c:pt idx="7">
                  <c:v>9.1860173906657394</c:v>
                </c:pt>
                <c:pt idx="8">
                  <c:v>84.449917319920417</c:v>
                </c:pt>
                <c:pt idx="9">
                  <c:v>8.77752488633992E-2</c:v>
                </c:pt>
              </c:numCache>
            </c:numRef>
          </c:val>
          <c:extLst>
            <c:ext xmlns:c16="http://schemas.microsoft.com/office/drawing/2014/chart" uri="{C3380CC4-5D6E-409C-BE32-E72D297353CC}">
              <c16:uniqueId val="{0000000E-D346-4DAF-A46C-211CC53792D2}"/>
            </c:ext>
          </c:extLst>
        </c:ser>
        <c:ser>
          <c:idx val="15"/>
          <c:order val="15"/>
          <c:tx>
            <c:strRef>
              <c:f>LCA!$R$85</c:f>
              <c:strCache>
                <c:ptCount val="1"/>
                <c:pt idx="0">
                  <c:v>P Fert</c:v>
                </c:pt>
              </c:strCache>
            </c:strRef>
          </c:tx>
          <c:spPr>
            <a:solidFill>
              <a:schemeClr val="accent2">
                <a:lumMod val="50000"/>
              </a:schemeClr>
            </a:solidFill>
            <a:ln>
              <a:noFill/>
            </a:ln>
            <a:effectLst/>
          </c:spPr>
          <c:invertIfNegative val="0"/>
          <c:cat>
            <c:strRef>
              <c:f>LCA!$S$69:$AB$69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LCA!$S$85:$AB$85</c:f>
              <c:numCache>
                <c:formatCode>0.00E+00</c:formatCode>
                <c:ptCount val="10"/>
                <c:pt idx="0">
                  <c:v>0.31969768496981954</c:v>
                </c:pt>
                <c:pt idx="1">
                  <c:v>135.58980231056623</c:v>
                </c:pt>
                <c:pt idx="2">
                  <c:v>6.0141148657688825E-2</c:v>
                </c:pt>
                <c:pt idx="3">
                  <c:v>51.756206405361574</c:v>
                </c:pt>
                <c:pt idx="4">
                  <c:v>1.5128252718952537E-6</c:v>
                </c:pt>
                <c:pt idx="5">
                  <c:v>5.2112938376610084E-6</c:v>
                </c:pt>
                <c:pt idx="6">
                  <c:v>1.2809210026712056E-5</c:v>
                </c:pt>
                <c:pt idx="7">
                  <c:v>8.7267972025920049</c:v>
                </c:pt>
                <c:pt idx="8">
                  <c:v>107.57035768331036</c:v>
                </c:pt>
                <c:pt idx="9">
                  <c:v>3.0982725634564737E-2</c:v>
                </c:pt>
              </c:numCache>
            </c:numRef>
          </c:val>
          <c:extLst>
            <c:ext xmlns:c16="http://schemas.microsoft.com/office/drawing/2014/chart" uri="{C3380CC4-5D6E-409C-BE32-E72D297353CC}">
              <c16:uniqueId val="{0000000F-D346-4DAF-A46C-211CC53792D2}"/>
            </c:ext>
          </c:extLst>
        </c:ser>
        <c:dLbls>
          <c:showLegendKey val="0"/>
          <c:showVal val="0"/>
          <c:showCatName val="0"/>
          <c:showSerName val="0"/>
          <c:showPercent val="0"/>
          <c:showBubbleSize val="0"/>
        </c:dLbls>
        <c:gapWidth val="150"/>
        <c:overlap val="100"/>
        <c:axId val="633711000"/>
        <c:axId val="633711784"/>
      </c:barChart>
      <c:catAx>
        <c:axId val="633711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3711784"/>
        <c:crosses val="autoZero"/>
        <c:auto val="1"/>
        <c:lblAlgn val="ctr"/>
        <c:lblOffset val="100"/>
        <c:noMultiLvlLbl val="0"/>
      </c:catAx>
      <c:valAx>
        <c:axId val="6337117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371100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Bioprocessing</a:t>
            </a:r>
            <a:r>
              <a:rPr lang="en-US" baseline="0"/>
              <a:t> Breakdown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percentStacked"/>
        <c:varyColors val="0"/>
        <c:ser>
          <c:idx val="1"/>
          <c:order val="0"/>
          <c:tx>
            <c:strRef>
              <c:f>LCA!$AD$70</c:f>
              <c:strCache>
                <c:ptCount val="1"/>
                <c:pt idx="0">
                  <c:v>Steam Heat</c:v>
                </c:pt>
              </c:strCache>
            </c:strRef>
          </c:tx>
          <c:spPr>
            <a:solidFill>
              <a:schemeClr val="accent6">
                <a:lumMod val="50000"/>
              </a:schemeClr>
            </a:solidFill>
            <a:ln>
              <a:noFill/>
            </a:ln>
            <a:effectLst/>
          </c:spPr>
          <c:invertIfNegative val="0"/>
          <c:cat>
            <c:strRef>
              <c:f>LCA!$AE$69:$AN$69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LCA!$AE$70:$AN$70</c:f>
              <c:numCache>
                <c:formatCode>0.00E+00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0271-4534-B3EE-902CA0B7C5A5}"/>
            </c:ext>
          </c:extLst>
        </c:ser>
        <c:ser>
          <c:idx val="2"/>
          <c:order val="1"/>
          <c:tx>
            <c:strRef>
              <c:f>LCA!$AD$71</c:f>
              <c:strCache>
                <c:ptCount val="1"/>
                <c:pt idx="0">
                  <c:v>Electricity</c:v>
                </c:pt>
              </c:strCache>
            </c:strRef>
          </c:tx>
          <c:spPr>
            <a:solidFill>
              <a:schemeClr val="accent4"/>
            </a:solidFill>
            <a:ln>
              <a:noFill/>
            </a:ln>
            <a:effectLst/>
          </c:spPr>
          <c:invertIfNegative val="0"/>
          <c:cat>
            <c:strRef>
              <c:f>LCA!$AE$69:$AN$69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LCA!$AE$71:$AN$71</c:f>
              <c:numCache>
                <c:formatCode>0.00E+00</c:formatCode>
                <c:ptCount val="10"/>
                <c:pt idx="0">
                  <c:v>1.2248054652615501</c:v>
                </c:pt>
                <c:pt idx="1">
                  <c:v>2590.1628847623383</c:v>
                </c:pt>
                <c:pt idx="2">
                  <c:v>3.5108142217244431</c:v>
                </c:pt>
                <c:pt idx="3">
                  <c:v>342.136362763693</c:v>
                </c:pt>
                <c:pt idx="4">
                  <c:v>3.6679518990690829E-5</c:v>
                </c:pt>
                <c:pt idx="5">
                  <c:v>1.0382945651525341E-4</c:v>
                </c:pt>
                <c:pt idx="6">
                  <c:v>1.4105912097882454E-5</c:v>
                </c:pt>
                <c:pt idx="7">
                  <c:v>11.014405826593942</c:v>
                </c:pt>
                <c:pt idx="8">
                  <c:v>74.505314403094303</c:v>
                </c:pt>
                <c:pt idx="9">
                  <c:v>1.2380705064015669</c:v>
                </c:pt>
              </c:numCache>
            </c:numRef>
          </c:val>
          <c:extLst>
            <c:ext xmlns:c16="http://schemas.microsoft.com/office/drawing/2014/chart" uri="{C3380CC4-5D6E-409C-BE32-E72D297353CC}">
              <c16:uniqueId val="{00000001-0271-4534-B3EE-902CA0B7C5A5}"/>
            </c:ext>
          </c:extLst>
        </c:ser>
        <c:ser>
          <c:idx val="3"/>
          <c:order val="2"/>
          <c:tx>
            <c:strRef>
              <c:f>LCA!$AD$72</c:f>
              <c:strCache>
                <c:ptCount val="1"/>
                <c:pt idx="0">
                  <c:v>Water (Dilution)</c:v>
                </c:pt>
              </c:strCache>
            </c:strRef>
          </c:tx>
          <c:spPr>
            <a:solidFill>
              <a:schemeClr val="tx1"/>
            </a:solidFill>
            <a:ln>
              <a:noFill/>
            </a:ln>
            <a:effectLst/>
          </c:spPr>
          <c:invertIfNegative val="0"/>
          <c:cat>
            <c:strRef>
              <c:f>LCA!$AE$69:$AN$69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LCA!$AE$72:$AN$72</c:f>
              <c:numCache>
                <c:formatCode>0.00E+00</c:formatCode>
                <c:ptCount val="10"/>
                <c:pt idx="0">
                  <c:v>0.14242785315035125</c:v>
                </c:pt>
                <c:pt idx="1">
                  <c:v>100.07877446712001</c:v>
                </c:pt>
                <c:pt idx="2">
                  <c:v>0.11239101892932812</c:v>
                </c:pt>
                <c:pt idx="3">
                  <c:v>31.940034404400002</c:v>
                </c:pt>
                <c:pt idx="4">
                  <c:v>1.7459189366270748E-6</c:v>
                </c:pt>
                <c:pt idx="5">
                  <c:v>4.7109421410863039E-7</c:v>
                </c:pt>
                <c:pt idx="6">
                  <c:v>1.8327021394394562E-6</c:v>
                </c:pt>
                <c:pt idx="7">
                  <c:v>1.6081338868777471</c:v>
                </c:pt>
                <c:pt idx="8">
                  <c:v>19.589887768032</c:v>
                </c:pt>
                <c:pt idx="9">
                  <c:v>4.6419090800602615E-2</c:v>
                </c:pt>
              </c:numCache>
            </c:numRef>
          </c:val>
          <c:extLst>
            <c:ext xmlns:c16="http://schemas.microsoft.com/office/drawing/2014/chart" uri="{C3380CC4-5D6E-409C-BE32-E72D297353CC}">
              <c16:uniqueId val="{00000002-0271-4534-B3EE-902CA0B7C5A5}"/>
            </c:ext>
          </c:extLst>
        </c:ser>
        <c:ser>
          <c:idx val="4"/>
          <c:order val="3"/>
          <c:tx>
            <c:strRef>
              <c:f>LCA!$AD$73</c:f>
              <c:strCache>
                <c:ptCount val="1"/>
                <c:pt idx="0">
                  <c:v>H2SO4</c:v>
                </c:pt>
              </c:strCache>
            </c:strRef>
          </c:tx>
          <c:spPr>
            <a:solidFill>
              <a:schemeClr val="accent3"/>
            </a:solidFill>
            <a:ln>
              <a:noFill/>
            </a:ln>
            <a:effectLst/>
          </c:spPr>
          <c:invertIfNegative val="0"/>
          <c:cat>
            <c:strRef>
              <c:f>LCA!$AE$69:$AN$69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LCA!$AE$73:$AN$73</c:f>
              <c:numCache>
                <c:formatCode>0.00E+00</c:formatCode>
                <c:ptCount val="10"/>
                <c:pt idx="0">
                  <c:v>1.2260138227200001</c:v>
                </c:pt>
                <c:pt idx="1">
                  <c:v>345.42680438131202</c:v>
                </c:pt>
                <c:pt idx="2">
                  <c:v>0.12087460224</c:v>
                </c:pt>
                <c:pt idx="3">
                  <c:v>19.369291618944001</c:v>
                </c:pt>
                <c:pt idx="4">
                  <c:v>2.2563143966131202E-6</c:v>
                </c:pt>
                <c:pt idx="5">
                  <c:v>1.617873742161792E-5</c:v>
                </c:pt>
                <c:pt idx="6">
                  <c:v>8.5048751560089597E-6</c:v>
                </c:pt>
                <c:pt idx="7">
                  <c:v>3.2739749406720002</c:v>
                </c:pt>
                <c:pt idx="8">
                  <c:v>156.80198758579201</c:v>
                </c:pt>
                <c:pt idx="9">
                  <c:v>8.4612221567999996E-2</c:v>
                </c:pt>
              </c:numCache>
            </c:numRef>
          </c:val>
          <c:extLst>
            <c:ext xmlns:c16="http://schemas.microsoft.com/office/drawing/2014/chart" uri="{C3380CC4-5D6E-409C-BE32-E72D297353CC}">
              <c16:uniqueId val="{00000003-0271-4534-B3EE-902CA0B7C5A5}"/>
            </c:ext>
          </c:extLst>
        </c:ser>
        <c:ser>
          <c:idx val="5"/>
          <c:order val="4"/>
          <c:tx>
            <c:strRef>
              <c:f>LCA!$AD$74</c:f>
              <c:strCache>
                <c:ptCount val="1"/>
                <c:pt idx="0">
                  <c:v>NH3</c:v>
                </c:pt>
              </c:strCache>
            </c:strRef>
          </c:tx>
          <c:spPr>
            <a:solidFill>
              <a:schemeClr val="accent2"/>
            </a:solidFill>
            <a:ln>
              <a:noFill/>
            </a:ln>
            <a:effectLst/>
          </c:spPr>
          <c:invertIfNegative val="0"/>
          <c:cat>
            <c:strRef>
              <c:f>LCA!$AE$69:$AN$69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LCA!$AE$74:$AN$74</c:f>
              <c:numCache>
                <c:formatCode>0.00E+00</c:formatCode>
                <c:ptCount val="10"/>
                <c:pt idx="0">
                  <c:v>0.36706722476168324</c:v>
                </c:pt>
                <c:pt idx="1">
                  <c:v>321.84683173168827</c:v>
                </c:pt>
                <c:pt idx="2">
                  <c:v>0.13979620363975018</c:v>
                </c:pt>
                <c:pt idx="3">
                  <c:v>155.95778931082751</c:v>
                </c:pt>
                <c:pt idx="4">
                  <c:v>2.3909401935022586E-6</c:v>
                </c:pt>
                <c:pt idx="5">
                  <c:v>1.44392310405029E-5</c:v>
                </c:pt>
                <c:pt idx="6">
                  <c:v>2.8976319423553626E-5</c:v>
                </c:pt>
                <c:pt idx="7">
                  <c:v>4.1015061617580511</c:v>
                </c:pt>
                <c:pt idx="8">
                  <c:v>410.46863210104402</c:v>
                </c:pt>
                <c:pt idx="9">
                  <c:v>5.9679081085975222E-2</c:v>
                </c:pt>
              </c:numCache>
            </c:numRef>
          </c:val>
          <c:extLst>
            <c:ext xmlns:c16="http://schemas.microsoft.com/office/drawing/2014/chart" uri="{C3380CC4-5D6E-409C-BE32-E72D297353CC}">
              <c16:uniqueId val="{00000004-0271-4534-B3EE-902CA0B7C5A5}"/>
            </c:ext>
          </c:extLst>
        </c:ser>
        <c:ser>
          <c:idx val="6"/>
          <c:order val="5"/>
          <c:tx>
            <c:strRef>
              <c:f>LCA!$AD$75</c:f>
              <c:strCache>
                <c:ptCount val="1"/>
                <c:pt idx="0">
                  <c:v>Glucose </c:v>
                </c:pt>
              </c:strCache>
            </c:strRef>
          </c:tx>
          <c:spPr>
            <a:solidFill>
              <a:schemeClr val="accent1">
                <a:lumMod val="60000"/>
              </a:schemeClr>
            </a:solidFill>
            <a:ln>
              <a:noFill/>
            </a:ln>
            <a:effectLst/>
          </c:spPr>
          <c:invertIfNegative val="0"/>
          <c:cat>
            <c:strRef>
              <c:f>LCA!$AE$69:$AN$69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LCA!$AE$75:$AN$75</c:f>
              <c:numCache>
                <c:formatCode>0.00E+00</c:formatCode>
                <c:ptCount val="10"/>
                <c:pt idx="0">
                  <c:v>1.4056</c:v>
                </c:pt>
                <c:pt idx="1">
                  <c:v>1422.9726000000001</c:v>
                </c:pt>
                <c:pt idx="2">
                  <c:v>2.6823999999999999</c:v>
                </c:pt>
                <c:pt idx="3">
                  <c:v>208.21359999999999</c:v>
                </c:pt>
                <c:pt idx="4">
                  <c:v>1.160285E-5</c:v>
                </c:pt>
                <c:pt idx="5">
                  <c:v>5.6532699999999995E-5</c:v>
                </c:pt>
                <c:pt idx="6">
                  <c:v>2.1592339999999999E-5</c:v>
                </c:pt>
                <c:pt idx="7">
                  <c:v>11.680200000000001</c:v>
                </c:pt>
                <c:pt idx="8">
                  <c:v>200.7124</c:v>
                </c:pt>
                <c:pt idx="9">
                  <c:v>0.20020000000000002</c:v>
                </c:pt>
              </c:numCache>
            </c:numRef>
          </c:val>
          <c:extLst>
            <c:ext xmlns:c16="http://schemas.microsoft.com/office/drawing/2014/chart" uri="{C3380CC4-5D6E-409C-BE32-E72D297353CC}">
              <c16:uniqueId val="{00000005-0271-4534-B3EE-902CA0B7C5A5}"/>
            </c:ext>
          </c:extLst>
        </c:ser>
        <c:ser>
          <c:idx val="7"/>
          <c:order val="6"/>
          <c:tx>
            <c:strRef>
              <c:f>LCA!$AD$76</c:f>
              <c:strCache>
                <c:ptCount val="1"/>
                <c:pt idx="0">
                  <c:v>SO2</c:v>
                </c:pt>
              </c:strCache>
            </c:strRef>
          </c:tx>
          <c:spPr>
            <a:solidFill>
              <a:schemeClr val="accent2">
                <a:lumMod val="60000"/>
              </a:schemeClr>
            </a:solidFill>
            <a:ln>
              <a:noFill/>
            </a:ln>
            <a:effectLst/>
          </c:spPr>
          <c:invertIfNegative val="0"/>
          <c:cat>
            <c:strRef>
              <c:f>LCA!$AE$69:$AN$69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LCA!$AE$76:$AN$76</c:f>
              <c:numCache>
                <c:formatCode>0.00E+00</c:formatCode>
                <c:ptCount val="10"/>
                <c:pt idx="0">
                  <c:v>4.4748094879999999E-2</c:v>
                </c:pt>
                <c:pt idx="1">
                  <c:v>3.7091329117599998</c:v>
                </c:pt>
                <c:pt idx="2">
                  <c:v>2.1768855199999996E-3</c:v>
                </c:pt>
                <c:pt idx="3">
                  <c:v>0.35764151568000002</c:v>
                </c:pt>
                <c:pt idx="4">
                  <c:v>3.1312917479199997E-8</c:v>
                </c:pt>
                <c:pt idx="5">
                  <c:v>1.69175619424E-7</c:v>
                </c:pt>
                <c:pt idx="6">
                  <c:v>1.2275195498399998E-7</c:v>
                </c:pt>
                <c:pt idx="7">
                  <c:v>1.515690416E-2</c:v>
                </c:pt>
                <c:pt idx="8">
                  <c:v>2.1428682964799997</c:v>
                </c:pt>
                <c:pt idx="9">
                  <c:v>2.88143768E-3</c:v>
                </c:pt>
              </c:numCache>
            </c:numRef>
          </c:val>
          <c:extLst>
            <c:ext xmlns:c16="http://schemas.microsoft.com/office/drawing/2014/chart" uri="{C3380CC4-5D6E-409C-BE32-E72D297353CC}">
              <c16:uniqueId val="{00000006-0271-4534-B3EE-902CA0B7C5A5}"/>
            </c:ext>
          </c:extLst>
        </c:ser>
        <c:ser>
          <c:idx val="8"/>
          <c:order val="7"/>
          <c:tx>
            <c:strRef>
              <c:f>LCA!$AD$77</c:f>
              <c:strCache>
                <c:ptCount val="1"/>
                <c:pt idx="0">
                  <c:v>CSL</c:v>
                </c:pt>
              </c:strCache>
            </c:strRef>
          </c:tx>
          <c:spPr>
            <a:solidFill>
              <a:schemeClr val="accent3">
                <a:lumMod val="60000"/>
              </a:schemeClr>
            </a:solidFill>
            <a:ln>
              <a:noFill/>
            </a:ln>
            <a:effectLst/>
          </c:spPr>
          <c:invertIfNegative val="0"/>
          <c:cat>
            <c:strRef>
              <c:f>LCA!$AE$69:$AN$69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LCA!$AE$77:$AN$77</c:f>
              <c:numCache>
                <c:formatCode>0.00E+00</c:formatCode>
                <c:ptCount val="10"/>
                <c:pt idx="0">
                  <c:v>0.73813550591072985</c:v>
                </c:pt>
                <c:pt idx="1">
                  <c:v>4.399549365407351E-4</c:v>
                </c:pt>
                <c:pt idx="2">
                  <c:v>1.2215008372045174E-2</c:v>
                </c:pt>
                <c:pt idx="3">
                  <c:v>0.78263303640889448</c:v>
                </c:pt>
                <c:pt idx="4">
                  <c:v>2.7799439553459211E-12</c:v>
                </c:pt>
                <c:pt idx="5">
                  <c:v>2.8476849017748912E-13</c:v>
                </c:pt>
                <c:pt idx="6">
                  <c:v>0</c:v>
                </c:pt>
                <c:pt idx="7">
                  <c:v>6.4565044252238774E-2</c:v>
                </c:pt>
                <c:pt idx="8">
                  <c:v>0.98854317753765586</c:v>
                </c:pt>
                <c:pt idx="9">
                  <c:v>4.4497530498164566E-2</c:v>
                </c:pt>
              </c:numCache>
            </c:numRef>
          </c:val>
          <c:extLst>
            <c:ext xmlns:c16="http://schemas.microsoft.com/office/drawing/2014/chart" uri="{C3380CC4-5D6E-409C-BE32-E72D297353CC}">
              <c16:uniqueId val="{00000007-0271-4534-B3EE-902CA0B7C5A5}"/>
            </c:ext>
          </c:extLst>
        </c:ser>
        <c:ser>
          <c:idx val="9"/>
          <c:order val="8"/>
          <c:tx>
            <c:strRef>
              <c:f>LCA!$AD$78</c:f>
              <c:strCache>
                <c:ptCount val="1"/>
                <c:pt idx="0">
                  <c:v>Ammonium Sulfate</c:v>
                </c:pt>
              </c:strCache>
            </c:strRef>
          </c:tx>
          <c:spPr>
            <a:solidFill>
              <a:schemeClr val="accent4">
                <a:lumMod val="60000"/>
              </a:schemeClr>
            </a:solidFill>
            <a:ln>
              <a:noFill/>
            </a:ln>
            <a:effectLst/>
          </c:spPr>
          <c:invertIfNegative val="0"/>
          <c:cat>
            <c:strRef>
              <c:f>LCA!$AE$69:$AN$69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LCA!$AE$78:$AN$78</c:f>
              <c:numCache>
                <c:formatCode>0.00E+00</c:formatCode>
                <c:ptCount val="10"/>
                <c:pt idx="0">
                  <c:v>9.9488844E-3</c:v>
                </c:pt>
                <c:pt idx="1">
                  <c:v>16.024610805840002</c:v>
                </c:pt>
                <c:pt idx="2">
                  <c:v>6.2610256799999998E-3</c:v>
                </c:pt>
                <c:pt idx="3">
                  <c:v>2.2133194574399999</c:v>
                </c:pt>
                <c:pt idx="4">
                  <c:v>1.22429617128E-7</c:v>
                </c:pt>
                <c:pt idx="5">
                  <c:v>7.6406911307999993E-7</c:v>
                </c:pt>
                <c:pt idx="6">
                  <c:v>1.7999042443200003E-7</c:v>
                </c:pt>
                <c:pt idx="7">
                  <c:v>8.9602465680000007E-2</c:v>
                </c:pt>
                <c:pt idx="8">
                  <c:v>2.6167336977600004</c:v>
                </c:pt>
                <c:pt idx="9">
                  <c:v>1.5105635999999999E-3</c:v>
                </c:pt>
              </c:numCache>
            </c:numRef>
          </c:val>
          <c:extLst>
            <c:ext xmlns:c16="http://schemas.microsoft.com/office/drawing/2014/chart" uri="{C3380CC4-5D6E-409C-BE32-E72D297353CC}">
              <c16:uniqueId val="{00000008-0271-4534-B3EE-902CA0B7C5A5}"/>
            </c:ext>
          </c:extLst>
        </c:ser>
        <c:ser>
          <c:idx val="10"/>
          <c:order val="9"/>
          <c:tx>
            <c:strRef>
              <c:f>LCA!$AD$79</c:f>
              <c:strCache>
                <c:ptCount val="1"/>
                <c:pt idx="0">
                  <c:v>Magnesium Sulfate</c:v>
                </c:pt>
              </c:strCache>
            </c:strRef>
          </c:tx>
          <c:spPr>
            <a:solidFill>
              <a:schemeClr val="accent5">
                <a:lumMod val="60000"/>
              </a:schemeClr>
            </a:solidFill>
            <a:ln>
              <a:noFill/>
            </a:ln>
            <a:effectLst/>
          </c:spPr>
          <c:invertIfNegative val="0"/>
          <c:cat>
            <c:strRef>
              <c:f>LCA!$AE$69:$AN$69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LCA!$AE$79:$AN$79</c:f>
              <c:numCache>
                <c:formatCode>0.00E+00</c:formatCode>
                <c:ptCount val="10"/>
                <c:pt idx="0">
                  <c:v>4.911192E-4</c:v>
                </c:pt>
                <c:pt idx="1">
                  <c:v>0.31086505943999998</c:v>
                </c:pt>
                <c:pt idx="2">
                  <c:v>3.6164231999999999E-4</c:v>
                </c:pt>
                <c:pt idx="3">
                  <c:v>0.10486287863999999</c:v>
                </c:pt>
                <c:pt idx="4">
                  <c:v>5.2835050008E-9</c:v>
                </c:pt>
                <c:pt idx="5">
                  <c:v>1.4626154836799998E-8</c:v>
                </c:pt>
                <c:pt idx="6">
                  <c:v>5.1700118183999997E-9</c:v>
                </c:pt>
                <c:pt idx="7">
                  <c:v>5.7996712799999999E-3</c:v>
                </c:pt>
                <c:pt idx="8">
                  <c:v>6.3707089679999995E-2</c:v>
                </c:pt>
                <c:pt idx="9">
                  <c:v>1.8528587999999999E-4</c:v>
                </c:pt>
              </c:numCache>
            </c:numRef>
          </c:val>
          <c:extLst>
            <c:ext xmlns:c16="http://schemas.microsoft.com/office/drawing/2014/chart" uri="{C3380CC4-5D6E-409C-BE32-E72D297353CC}">
              <c16:uniqueId val="{00000009-0271-4534-B3EE-902CA0B7C5A5}"/>
            </c:ext>
          </c:extLst>
        </c:ser>
        <c:ser>
          <c:idx val="11"/>
          <c:order val="10"/>
          <c:tx>
            <c:strRef>
              <c:f>LCA!$AD$80</c:f>
              <c:strCache>
                <c:ptCount val="1"/>
                <c:pt idx="0">
                  <c:v>Calcium Chloride</c:v>
                </c:pt>
              </c:strCache>
            </c:strRef>
          </c:tx>
          <c:spPr>
            <a:solidFill>
              <a:schemeClr val="accent6">
                <a:lumMod val="60000"/>
              </a:schemeClr>
            </a:solidFill>
            <a:ln>
              <a:noFill/>
            </a:ln>
            <a:effectLst/>
          </c:spPr>
          <c:invertIfNegative val="0"/>
          <c:cat>
            <c:strRef>
              <c:f>LCA!$AE$69:$AN$69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LCA!$AE$80:$AN$80</c:f>
              <c:numCache>
                <c:formatCode>0.00E+00</c:formatCode>
                <c:ptCount val="10"/>
                <c:pt idx="0">
                  <c:v>2.1344255999999999E-3</c:v>
                </c:pt>
                <c:pt idx="1">
                  <c:v>1.9904956415999999</c:v>
                </c:pt>
                <c:pt idx="2">
                  <c:v>1.0285056000000001E-3</c:v>
                </c:pt>
                <c:pt idx="3">
                  <c:v>0.24536770559999999</c:v>
                </c:pt>
                <c:pt idx="4">
                  <c:v>1.6347460608E-8</c:v>
                </c:pt>
                <c:pt idx="5">
                  <c:v>9.4920837120000002E-8</c:v>
                </c:pt>
                <c:pt idx="6">
                  <c:v>1.0919245823999999E-8</c:v>
                </c:pt>
                <c:pt idx="7">
                  <c:v>1.2286771200000001E-2</c:v>
                </c:pt>
                <c:pt idx="8">
                  <c:v>0.1034919936</c:v>
                </c:pt>
                <c:pt idx="9">
                  <c:v>2.2671360000000001E-4</c:v>
                </c:pt>
              </c:numCache>
            </c:numRef>
          </c:val>
          <c:extLst>
            <c:ext xmlns:c16="http://schemas.microsoft.com/office/drawing/2014/chart" uri="{C3380CC4-5D6E-409C-BE32-E72D297353CC}">
              <c16:uniqueId val="{0000000A-0271-4534-B3EE-902CA0B7C5A5}"/>
            </c:ext>
          </c:extLst>
        </c:ser>
        <c:dLbls>
          <c:showLegendKey val="0"/>
          <c:showVal val="0"/>
          <c:showCatName val="0"/>
          <c:showSerName val="0"/>
          <c:showPercent val="0"/>
          <c:showBubbleSize val="0"/>
        </c:dLbls>
        <c:gapWidth val="150"/>
        <c:overlap val="100"/>
        <c:axId val="516927784"/>
        <c:axId val="516925824"/>
      </c:barChart>
      <c:catAx>
        <c:axId val="516927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925824"/>
        <c:crosses val="autoZero"/>
        <c:auto val="1"/>
        <c:lblAlgn val="ctr"/>
        <c:lblOffset val="100"/>
        <c:noMultiLvlLbl val="0"/>
      </c:catAx>
      <c:valAx>
        <c:axId val="51692582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9277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Normalized</a:t>
            </a:r>
            <a:r>
              <a:rPr lang="en-US" baseline="0"/>
              <a:t> Impact Categories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percentStacked"/>
        <c:varyColors val="0"/>
        <c:ser>
          <c:idx val="0"/>
          <c:order val="0"/>
          <c:tx>
            <c:strRef>
              <c:f>LCA!$C$116</c:f>
              <c:strCache>
                <c:ptCount val="1"/>
                <c:pt idx="0">
                  <c:v>Waste Treatment</c:v>
                </c:pt>
              </c:strCache>
            </c:strRef>
          </c:tx>
          <c:spPr>
            <a:solidFill>
              <a:schemeClr val="accent1">
                <a:lumMod val="20000"/>
                <a:lumOff val="80000"/>
              </a:schemeClr>
            </a:solidFill>
            <a:ln>
              <a:noFill/>
            </a:ln>
            <a:effectLst/>
          </c:spPr>
          <c:invertIfNegative val="0"/>
          <c:cat>
            <c:strRef>
              <c:f>LCA!$D$115:$M$115</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LCA!$D$116:$M$116</c:f>
              <c:numCache>
                <c:formatCode>0.00%</c:formatCode>
                <c:ptCount val="10"/>
                <c:pt idx="0">
                  <c:v>0.1716705528809285</c:v>
                </c:pt>
                <c:pt idx="1">
                  <c:v>0.37186406114097137</c:v>
                </c:pt>
                <c:pt idx="2">
                  <c:v>0.35014233460761501</c:v>
                </c:pt>
                <c:pt idx="3">
                  <c:v>0.26451747753286819</c:v>
                </c:pt>
                <c:pt idx="4">
                  <c:v>0.62352214712998411</c:v>
                </c:pt>
                <c:pt idx="5">
                  <c:v>0.38747590859554532</c:v>
                </c:pt>
                <c:pt idx="6">
                  <c:v>0.47648987750076965</c:v>
                </c:pt>
                <c:pt idx="7">
                  <c:v>0.22152351139666041</c:v>
                </c:pt>
                <c:pt idx="8">
                  <c:v>0.10770879883805262</c:v>
                </c:pt>
                <c:pt idx="9">
                  <c:v>1.4218944186650218</c:v>
                </c:pt>
              </c:numCache>
            </c:numRef>
          </c:val>
          <c:extLst>
            <c:ext xmlns:c16="http://schemas.microsoft.com/office/drawing/2014/chart" uri="{C3380CC4-5D6E-409C-BE32-E72D297353CC}">
              <c16:uniqueId val="{00000000-9C8C-4F88-BC7D-C9D1F7955ED9}"/>
            </c:ext>
          </c:extLst>
        </c:ser>
        <c:ser>
          <c:idx val="1"/>
          <c:order val="1"/>
          <c:tx>
            <c:strRef>
              <c:f>LCA!$C$117</c:f>
              <c:strCache>
                <c:ptCount val="1"/>
                <c:pt idx="0">
                  <c:v>Nutrients for EP</c:v>
                </c:pt>
              </c:strCache>
            </c:strRef>
          </c:tx>
          <c:spPr>
            <a:solidFill>
              <a:schemeClr val="accent1">
                <a:lumMod val="60000"/>
                <a:lumOff val="40000"/>
              </a:schemeClr>
            </a:solidFill>
            <a:ln>
              <a:noFill/>
            </a:ln>
            <a:effectLst/>
          </c:spPr>
          <c:invertIfNegative val="0"/>
          <c:cat>
            <c:strRef>
              <c:f>LCA!$D$115:$M$115</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LCA!$D$117:$M$117</c:f>
              <c:numCache>
                <c:formatCode>0.00%</c:formatCode>
                <c:ptCount val="10"/>
                <c:pt idx="0">
                  <c:v>0.31873598793378105</c:v>
                </c:pt>
                <c:pt idx="1">
                  <c:v>0.52247837521357754</c:v>
                </c:pt>
                <c:pt idx="2">
                  <c:v>1.1638810864368319</c:v>
                </c:pt>
                <c:pt idx="3">
                  <c:v>0.20901360185559323</c:v>
                </c:pt>
                <c:pt idx="4">
                  <c:v>0.59417860452354454</c:v>
                </c:pt>
                <c:pt idx="5">
                  <c:v>0.4617259536672631</c:v>
                </c:pt>
                <c:pt idx="6">
                  <c:v>9.3944095774655345E-2</c:v>
                </c:pt>
                <c:pt idx="7">
                  <c:v>0.18256238669009753</c:v>
                </c:pt>
                <c:pt idx="8">
                  <c:v>0.12641444043764946</c:v>
                </c:pt>
                <c:pt idx="9">
                  <c:v>1.3263719276786838</c:v>
                </c:pt>
              </c:numCache>
            </c:numRef>
          </c:val>
          <c:extLst>
            <c:ext xmlns:c16="http://schemas.microsoft.com/office/drawing/2014/chart" uri="{C3380CC4-5D6E-409C-BE32-E72D297353CC}">
              <c16:uniqueId val="{00000001-9C8C-4F88-BC7D-C9D1F7955ED9}"/>
            </c:ext>
          </c:extLst>
        </c:ser>
        <c:ser>
          <c:idx val="2"/>
          <c:order val="2"/>
          <c:tx>
            <c:strRef>
              <c:f>LCA!$C$118</c:f>
              <c:strCache>
                <c:ptCount val="1"/>
                <c:pt idx="0">
                  <c:v>Enzymatic Hydrol.</c:v>
                </c:pt>
              </c:strCache>
            </c:strRef>
          </c:tx>
          <c:spPr>
            <a:solidFill>
              <a:schemeClr val="accent1">
                <a:lumMod val="50000"/>
              </a:schemeClr>
            </a:solidFill>
            <a:ln>
              <a:noFill/>
            </a:ln>
            <a:effectLst/>
          </c:spPr>
          <c:invertIfNegative val="0"/>
          <c:cat>
            <c:strRef>
              <c:f>LCA!$D$115:$M$115</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LCA!$D$118:$M$118</c:f>
              <c:numCache>
                <c:formatCode>0.00%</c:formatCode>
                <c:ptCount val="10"/>
                <c:pt idx="0">
                  <c:v>0.25131965467223583</c:v>
                </c:pt>
                <c:pt idx="1">
                  <c:v>0.27745521176278748</c:v>
                </c:pt>
                <c:pt idx="2">
                  <c:v>0.16055046866619763</c:v>
                </c:pt>
                <c:pt idx="3">
                  <c:v>0.20442701399027693</c:v>
                </c:pt>
                <c:pt idx="4">
                  <c:v>0.32251774029808422</c:v>
                </c:pt>
                <c:pt idx="5">
                  <c:v>0.2493183577224547</c:v>
                </c:pt>
                <c:pt idx="6">
                  <c:v>0.16855823777119877</c:v>
                </c:pt>
                <c:pt idx="7">
                  <c:v>0.13819716650421693</c:v>
                </c:pt>
                <c:pt idx="8">
                  <c:v>0.35904008405224735</c:v>
                </c:pt>
                <c:pt idx="9">
                  <c:v>1.0138331052284122</c:v>
                </c:pt>
              </c:numCache>
            </c:numRef>
          </c:val>
          <c:extLst>
            <c:ext xmlns:c16="http://schemas.microsoft.com/office/drawing/2014/chart" uri="{C3380CC4-5D6E-409C-BE32-E72D297353CC}">
              <c16:uniqueId val="{00000002-9C8C-4F88-BC7D-C9D1F7955ED9}"/>
            </c:ext>
          </c:extLst>
        </c:ser>
        <c:ser>
          <c:idx val="3"/>
          <c:order val="3"/>
          <c:tx>
            <c:strRef>
              <c:f>LCA!$C$119</c:f>
              <c:strCache>
                <c:ptCount val="1"/>
                <c:pt idx="0">
                  <c:v>Electricity Credit</c:v>
                </c:pt>
              </c:strCache>
            </c:strRef>
          </c:tx>
          <c:spPr>
            <a:solidFill>
              <a:schemeClr val="accent4"/>
            </a:solidFill>
            <a:ln>
              <a:noFill/>
            </a:ln>
            <a:effectLst/>
          </c:spPr>
          <c:invertIfNegative val="0"/>
          <c:cat>
            <c:strRef>
              <c:f>LCA!$D$115:$M$115</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LCA!$D$119:$M$119</c:f>
              <c:numCache>
                <c:formatCode>0.00%</c:formatCode>
                <c:ptCount val="10"/>
                <c:pt idx="0">
                  <c:v>-0.12530235032317705</c:v>
                </c:pt>
                <c:pt idx="1">
                  <c:v>-0.66163366379608923</c:v>
                </c:pt>
                <c:pt idx="2">
                  <c:v>-1.0674096113685183</c:v>
                </c:pt>
                <c:pt idx="3">
                  <c:v>-0.23839635380535704</c:v>
                </c:pt>
                <c:pt idx="4">
                  <c:v>-1.3072337150110123</c:v>
                </c:pt>
                <c:pt idx="5">
                  <c:v>-0.58824697492902955</c:v>
                </c:pt>
                <c:pt idx="6">
                  <c:v>-4.2726523334799531E-2</c:v>
                </c:pt>
                <c:pt idx="7">
                  <c:v>-0.11970204618087761</c:v>
                </c:pt>
                <c:pt idx="8">
                  <c:v>-3.2202367093101668E-2</c:v>
                </c:pt>
                <c:pt idx="9">
                  <c:v>-4.6497540003769204</c:v>
                </c:pt>
              </c:numCache>
            </c:numRef>
          </c:val>
          <c:extLst>
            <c:ext xmlns:c16="http://schemas.microsoft.com/office/drawing/2014/chart" uri="{C3380CC4-5D6E-409C-BE32-E72D297353CC}">
              <c16:uniqueId val="{00000003-9C8C-4F88-BC7D-C9D1F7955ED9}"/>
            </c:ext>
          </c:extLst>
        </c:ser>
        <c:ser>
          <c:idx val="4"/>
          <c:order val="4"/>
          <c:tx>
            <c:strRef>
              <c:f>LCA!$C$120</c:f>
              <c:strCache>
                <c:ptCount val="1"/>
                <c:pt idx="0">
                  <c:v>Crop Harvest</c:v>
                </c:pt>
              </c:strCache>
            </c:strRef>
          </c:tx>
          <c:spPr>
            <a:solidFill>
              <a:schemeClr val="accent6">
                <a:lumMod val="20000"/>
                <a:lumOff val="80000"/>
              </a:schemeClr>
            </a:solidFill>
            <a:ln>
              <a:noFill/>
            </a:ln>
            <a:effectLst/>
          </c:spPr>
          <c:invertIfNegative val="0"/>
          <c:cat>
            <c:strRef>
              <c:f>LCA!$D$115:$M$115</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LCA!$D$120:$M$120</c:f>
              <c:numCache>
                <c:formatCode>0.00%</c:formatCode>
                <c:ptCount val="10"/>
                <c:pt idx="0">
                  <c:v>6.8999069691320442E-2</c:v>
                </c:pt>
                <c:pt idx="1">
                  <c:v>7.4230500854285467E-2</c:v>
                </c:pt>
                <c:pt idx="2">
                  <c:v>5.2819925282351167E-2</c:v>
                </c:pt>
                <c:pt idx="3">
                  <c:v>6.6331689151062967E-2</c:v>
                </c:pt>
                <c:pt idx="4">
                  <c:v>0.19363156723222519</c:v>
                </c:pt>
                <c:pt idx="5">
                  <c:v>6.8562031612892607E-2</c:v>
                </c:pt>
                <c:pt idx="6">
                  <c:v>5.4341526121456651E-2</c:v>
                </c:pt>
                <c:pt idx="7">
                  <c:v>0.18529355203998776</c:v>
                </c:pt>
                <c:pt idx="8">
                  <c:v>6.6315405405518307E-2</c:v>
                </c:pt>
                <c:pt idx="9">
                  <c:v>0.38404288078035009</c:v>
                </c:pt>
              </c:numCache>
            </c:numRef>
          </c:val>
          <c:extLst>
            <c:ext xmlns:c16="http://schemas.microsoft.com/office/drawing/2014/chart" uri="{C3380CC4-5D6E-409C-BE32-E72D297353CC}">
              <c16:uniqueId val="{00000004-9C8C-4F88-BC7D-C9D1F7955ED9}"/>
            </c:ext>
          </c:extLst>
        </c:ser>
        <c:ser>
          <c:idx val="5"/>
          <c:order val="5"/>
          <c:tx>
            <c:strRef>
              <c:f>LCA!$C$121</c:f>
              <c:strCache>
                <c:ptCount val="1"/>
                <c:pt idx="0">
                  <c:v>Planting/Fertilizer App</c:v>
                </c:pt>
              </c:strCache>
            </c:strRef>
          </c:tx>
          <c:spPr>
            <a:solidFill>
              <a:schemeClr val="accent6">
                <a:lumMod val="40000"/>
                <a:lumOff val="60000"/>
              </a:schemeClr>
            </a:solidFill>
            <a:ln>
              <a:noFill/>
            </a:ln>
            <a:effectLst/>
          </c:spPr>
          <c:invertIfNegative val="0"/>
          <c:cat>
            <c:strRef>
              <c:f>LCA!$D$115:$M$115</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LCA!$D$121:$M$121</c:f>
              <c:numCache>
                <c:formatCode>0.00%</c:formatCode>
                <c:ptCount val="10"/>
                <c:pt idx="0">
                  <c:v>6.4343153955082957E-2</c:v>
                </c:pt>
                <c:pt idx="1">
                  <c:v>0.10507612537480286</c:v>
                </c:pt>
                <c:pt idx="2">
                  <c:v>6.5807662053493018E-2</c:v>
                </c:pt>
                <c:pt idx="3">
                  <c:v>5.9854265996819658E-2</c:v>
                </c:pt>
                <c:pt idx="4">
                  <c:v>0.21072518945025714</c:v>
                </c:pt>
                <c:pt idx="5">
                  <c:v>9.9841808009809699E-2</c:v>
                </c:pt>
                <c:pt idx="6">
                  <c:v>4.2562233029662319E-2</c:v>
                </c:pt>
                <c:pt idx="7">
                  <c:v>0.16382532438909536</c:v>
                </c:pt>
                <c:pt idx="8">
                  <c:v>5.2807850769464079E-2</c:v>
                </c:pt>
                <c:pt idx="9">
                  <c:v>0.29677075772022388</c:v>
                </c:pt>
              </c:numCache>
            </c:numRef>
          </c:val>
          <c:extLst>
            <c:ext xmlns:c16="http://schemas.microsoft.com/office/drawing/2014/chart" uri="{C3380CC4-5D6E-409C-BE32-E72D297353CC}">
              <c16:uniqueId val="{00000005-9C8C-4F88-BC7D-C9D1F7955ED9}"/>
            </c:ext>
          </c:extLst>
        </c:ser>
        <c:ser>
          <c:idx val="6"/>
          <c:order val="6"/>
          <c:tx>
            <c:strRef>
              <c:f>LCA!$C$122</c:f>
              <c:strCache>
                <c:ptCount val="1"/>
                <c:pt idx="0">
                  <c:v>Seeds, Herb, P, K</c:v>
                </c:pt>
              </c:strCache>
            </c:strRef>
          </c:tx>
          <c:spPr>
            <a:solidFill>
              <a:schemeClr val="accent6">
                <a:lumMod val="60000"/>
                <a:lumOff val="40000"/>
              </a:schemeClr>
            </a:solidFill>
            <a:ln>
              <a:noFill/>
            </a:ln>
            <a:effectLst/>
          </c:spPr>
          <c:invertIfNegative val="0"/>
          <c:cat>
            <c:strRef>
              <c:f>LCA!$D$115:$M$115</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LCA!$D$122:$M$122</c:f>
              <c:numCache>
                <c:formatCode>0.00%</c:formatCode>
                <c:ptCount val="10"/>
                <c:pt idx="0">
                  <c:v>4.7325435537262352E-2</c:v>
                </c:pt>
                <c:pt idx="1">
                  <c:v>7.3207061148029301E-2</c:v>
                </c:pt>
                <c:pt idx="2">
                  <c:v>0.12415642380626453</c:v>
                </c:pt>
                <c:pt idx="3">
                  <c:v>3.1127561516933445E-2</c:v>
                </c:pt>
                <c:pt idx="4">
                  <c:v>8.7063327420181386E-2</c:v>
                </c:pt>
                <c:pt idx="5">
                  <c:v>7.8528790373828344E-2</c:v>
                </c:pt>
                <c:pt idx="6">
                  <c:v>1.8200197526452067E-2</c:v>
                </c:pt>
                <c:pt idx="7">
                  <c:v>3.5214629582411019E-2</c:v>
                </c:pt>
                <c:pt idx="8">
                  <c:v>2.5838055825893165E-2</c:v>
                </c:pt>
                <c:pt idx="9">
                  <c:v>0.17487798149725448</c:v>
                </c:pt>
              </c:numCache>
            </c:numRef>
          </c:val>
          <c:extLst>
            <c:ext xmlns:c16="http://schemas.microsoft.com/office/drawing/2014/chart" uri="{C3380CC4-5D6E-409C-BE32-E72D297353CC}">
              <c16:uniqueId val="{00000006-9C8C-4F88-BC7D-C9D1F7955ED9}"/>
            </c:ext>
          </c:extLst>
        </c:ser>
        <c:ser>
          <c:idx val="7"/>
          <c:order val="7"/>
          <c:tx>
            <c:strRef>
              <c:f>LCA!$C$123</c:f>
              <c:strCache>
                <c:ptCount val="1"/>
                <c:pt idx="0">
                  <c:v>N Fertilizer</c:v>
                </c:pt>
              </c:strCache>
            </c:strRef>
          </c:tx>
          <c:spPr>
            <a:solidFill>
              <a:schemeClr val="accent6">
                <a:lumMod val="75000"/>
              </a:schemeClr>
            </a:solidFill>
            <a:ln>
              <a:noFill/>
            </a:ln>
            <a:effectLst/>
          </c:spPr>
          <c:invertIfNegative val="0"/>
          <c:cat>
            <c:strRef>
              <c:f>LCA!$D$115:$M$115</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LCA!$D$123:$M$123</c:f>
              <c:numCache>
                <c:formatCode>0.00%</c:formatCode>
                <c:ptCount val="10"/>
                <c:pt idx="0">
                  <c:v>0.13638218785516906</c:v>
                </c:pt>
                <c:pt idx="1">
                  <c:v>0.22572320956017577</c:v>
                </c:pt>
                <c:pt idx="2">
                  <c:v>0.13122236259589842</c:v>
                </c:pt>
                <c:pt idx="3">
                  <c:v>0.17235336721317732</c:v>
                </c:pt>
                <c:pt idx="4">
                  <c:v>0.24548385847797519</c:v>
                </c:pt>
                <c:pt idx="5">
                  <c:v>0.23323828309492867</c:v>
                </c:pt>
                <c:pt idx="6">
                  <c:v>0.1332615795668895</c:v>
                </c:pt>
                <c:pt idx="7">
                  <c:v>8.6271163682105134E-2</c:v>
                </c:pt>
                <c:pt idx="8">
                  <c:v>0.23999162152639472</c:v>
                </c:pt>
                <c:pt idx="9">
                  <c:v>0.83813543831304194</c:v>
                </c:pt>
              </c:numCache>
            </c:numRef>
          </c:val>
          <c:extLst>
            <c:ext xmlns:c16="http://schemas.microsoft.com/office/drawing/2014/chart" uri="{C3380CC4-5D6E-409C-BE32-E72D297353CC}">
              <c16:uniqueId val="{00000007-9C8C-4F88-BC7D-C9D1F7955ED9}"/>
            </c:ext>
          </c:extLst>
        </c:ser>
        <c:ser>
          <c:idx val="8"/>
          <c:order val="8"/>
          <c:tx>
            <c:strRef>
              <c:f>LCA!$C$124</c:f>
              <c:strCache>
                <c:ptCount val="1"/>
                <c:pt idx="0">
                  <c:v>Aglime</c:v>
                </c:pt>
              </c:strCache>
            </c:strRef>
          </c:tx>
          <c:spPr>
            <a:solidFill>
              <a:schemeClr val="accent6">
                <a:lumMod val="50000"/>
              </a:schemeClr>
            </a:solidFill>
            <a:ln>
              <a:noFill/>
            </a:ln>
            <a:effectLst/>
          </c:spPr>
          <c:invertIfNegative val="0"/>
          <c:cat>
            <c:strRef>
              <c:f>LCA!$D$115:$M$115</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LCA!$D$124:$M$124</c:f>
              <c:numCache>
                <c:formatCode>0.00%</c:formatCode>
                <c:ptCount val="10"/>
                <c:pt idx="0">
                  <c:v>6.6526307797396697E-2</c:v>
                </c:pt>
                <c:pt idx="1">
                  <c:v>1.1599118741459418E-2</c:v>
                </c:pt>
                <c:pt idx="2">
                  <c:v>1.8829347919866873E-2</c:v>
                </c:pt>
                <c:pt idx="3">
                  <c:v>0.14040017699439175</c:v>
                </c:pt>
                <c:pt idx="4">
                  <c:v>3.011128047876065E-2</c:v>
                </c:pt>
                <c:pt idx="5">
                  <c:v>9.555841852306771E-3</c:v>
                </c:pt>
                <c:pt idx="6">
                  <c:v>5.5368776043715456E-2</c:v>
                </c:pt>
                <c:pt idx="7">
                  <c:v>0.10681431189630332</c:v>
                </c:pt>
                <c:pt idx="8">
                  <c:v>5.4086110237881915E-2</c:v>
                </c:pt>
                <c:pt idx="9">
                  <c:v>0.19382749049393125</c:v>
                </c:pt>
              </c:numCache>
            </c:numRef>
          </c:val>
          <c:extLst>
            <c:ext xmlns:c16="http://schemas.microsoft.com/office/drawing/2014/chart" uri="{C3380CC4-5D6E-409C-BE32-E72D297353CC}">
              <c16:uniqueId val="{00000008-9C8C-4F88-BC7D-C9D1F7955ED9}"/>
            </c:ext>
          </c:extLst>
        </c:ser>
        <c:ser>
          <c:idx val="9"/>
          <c:order val="9"/>
          <c:tx>
            <c:strRef>
              <c:f>LCA!$C$125</c:f>
              <c:strCache>
                <c:ptCount val="1"/>
                <c:pt idx="0">
                  <c:v>Gas Denature.</c:v>
                </c:pt>
              </c:strCache>
            </c:strRef>
          </c:tx>
          <c:spPr>
            <a:solidFill>
              <a:srgbClr val="FF0000"/>
            </a:solidFill>
            <a:ln>
              <a:noFill/>
            </a:ln>
            <a:effectLst/>
          </c:spPr>
          <c:invertIfNegative val="0"/>
          <c:cat>
            <c:strRef>
              <c:f>LCA!$D$115:$M$115</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LCA!$D$125:$M$125</c:f>
              <c:numCache>
                <c:formatCode>0.00%</c:formatCode>
                <c:ptCount val="10"/>
                <c:pt idx="0">
                  <c:v>0</c:v>
                </c:pt>
                <c:pt idx="1">
                  <c:v>0</c:v>
                </c:pt>
                <c:pt idx="2">
                  <c:v>0</c:v>
                </c:pt>
                <c:pt idx="3">
                  <c:v>9.0371199554233436E-2</c:v>
                </c:pt>
                <c:pt idx="4">
                  <c:v>0</c:v>
                </c:pt>
                <c:pt idx="5">
                  <c:v>0</c:v>
                </c:pt>
                <c:pt idx="6">
                  <c:v>0</c:v>
                </c:pt>
                <c:pt idx="7">
                  <c:v>0</c:v>
                </c:pt>
                <c:pt idx="8">
                  <c:v>0</c:v>
                </c:pt>
                <c:pt idx="9">
                  <c:v>0</c:v>
                </c:pt>
              </c:numCache>
            </c:numRef>
          </c:val>
          <c:extLst>
            <c:ext xmlns:c16="http://schemas.microsoft.com/office/drawing/2014/chart" uri="{C3380CC4-5D6E-409C-BE32-E72D297353CC}">
              <c16:uniqueId val="{00000009-9C8C-4F88-BC7D-C9D1F7955ED9}"/>
            </c:ext>
          </c:extLst>
        </c:ser>
        <c:dLbls>
          <c:showLegendKey val="0"/>
          <c:showVal val="0"/>
          <c:showCatName val="0"/>
          <c:showSerName val="0"/>
          <c:showPercent val="0"/>
          <c:showBubbleSize val="0"/>
        </c:dLbls>
        <c:gapWidth val="150"/>
        <c:overlap val="100"/>
        <c:axId val="1241362015"/>
        <c:axId val="1440233151"/>
      </c:barChart>
      <c:scatterChart>
        <c:scatterStyle val="lineMarker"/>
        <c:varyColors val="0"/>
        <c:ser>
          <c:idx val="10"/>
          <c:order val="10"/>
          <c:tx>
            <c:strRef>
              <c:f>LCA!$C$126</c:f>
              <c:strCache>
                <c:ptCount val="1"/>
                <c:pt idx="0">
                  <c:v>Totals</c:v>
                </c:pt>
              </c:strCache>
            </c:strRef>
          </c:tx>
          <c:spPr>
            <a:ln w="25400" cap="rnd">
              <a:noFill/>
              <a:round/>
            </a:ln>
            <a:effectLst/>
          </c:spPr>
          <c:marker>
            <c:symbol val="circle"/>
            <c:size val="5"/>
            <c:spPr>
              <a:solidFill>
                <a:schemeClr val="accent2"/>
              </a:solidFill>
              <a:ln w="1587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yVal>
            <c:numRef>
              <c:f>LCA!$D$126:$M$126</c:f>
              <c:numCache>
                <c:formatCode>0.0000</c:formatCode>
                <c:ptCount val="10"/>
                <c:pt idx="0" formatCode="0.00E+00">
                  <c:v>1.6957457766466572E-4</c:v>
                </c:pt>
                <c:pt idx="1">
                  <c:v>6.7914471865563361E-2</c:v>
                </c:pt>
                <c:pt idx="2" formatCode="0.00E+00">
                  <c:v>5.7059713360851161E-5</c:v>
                </c:pt>
                <c:pt idx="3">
                  <c:v>2.4897312540924425E-2</c:v>
                </c:pt>
                <c:pt idx="4" formatCode="0.00E+00">
                  <c:v>4.8676936421782487E-10</c:v>
                </c:pt>
                <c:pt idx="5" formatCode="0.00E+00">
                  <c:v>3.0620601954191393E-9</c:v>
                </c:pt>
                <c:pt idx="6" formatCode="0.00E+00">
                  <c:v>5.7273861279585959E-9</c:v>
                </c:pt>
                <c:pt idx="7">
                  <c:v>1.596292030834051E-3</c:v>
                </c:pt>
                <c:pt idx="8">
                  <c:v>4.0137683216438659E-2</c:v>
                </c:pt>
                <c:pt idx="9" formatCode="0.00E+00">
                  <c:v>4.6192157449796081E-6</c:v>
                </c:pt>
              </c:numCache>
            </c:numRef>
          </c:yVal>
          <c:smooth val="0"/>
          <c:extLst>
            <c:ext xmlns:c16="http://schemas.microsoft.com/office/drawing/2014/chart" uri="{C3380CC4-5D6E-409C-BE32-E72D297353CC}">
              <c16:uniqueId val="{0000000B-9C8C-4F88-BC7D-C9D1F7955ED9}"/>
            </c:ext>
          </c:extLst>
        </c:ser>
        <c:dLbls>
          <c:showLegendKey val="0"/>
          <c:showVal val="0"/>
          <c:showCatName val="0"/>
          <c:showSerName val="0"/>
          <c:showPercent val="0"/>
          <c:showBubbleSize val="0"/>
        </c:dLbls>
        <c:axId val="1241362015"/>
        <c:axId val="1440233151"/>
      </c:scatterChart>
      <c:catAx>
        <c:axId val="1241362015"/>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0233151"/>
        <c:crosses val="autoZero"/>
        <c:auto val="1"/>
        <c:lblAlgn val="ctr"/>
        <c:lblOffset val="100"/>
        <c:noMultiLvlLbl val="0"/>
      </c:catAx>
      <c:valAx>
        <c:axId val="1440233151"/>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13620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LCA!$B$154</c:f>
              <c:strCache>
                <c:ptCount val="1"/>
                <c:pt idx="0">
                  <c:v>Electricity Credit</c:v>
                </c:pt>
              </c:strCache>
            </c:strRef>
          </c:tx>
          <c:spPr>
            <a:solidFill>
              <a:srgbClr val="FFC000"/>
            </a:solidFill>
            <a:ln>
              <a:noFill/>
            </a:ln>
            <a:effectLst/>
          </c:spPr>
          <c:invertIfNegative val="0"/>
          <c:cat>
            <c:strRef>
              <c:f>LCA!$C$153</c:f>
              <c:strCache>
                <c:ptCount val="1"/>
                <c:pt idx="0">
                  <c:v>GWP</c:v>
                </c:pt>
              </c:strCache>
            </c:strRef>
          </c:cat>
          <c:val>
            <c:numRef>
              <c:f>LCA!$C$154</c:f>
              <c:numCache>
                <c:formatCode>0%</c:formatCode>
                <c:ptCount val="1"/>
                <c:pt idx="0">
                  <c:v>-0.198901095991912</c:v>
                </c:pt>
              </c:numCache>
            </c:numRef>
          </c:val>
          <c:extLst>
            <c:ext xmlns:c16="http://schemas.microsoft.com/office/drawing/2014/chart" uri="{C3380CC4-5D6E-409C-BE32-E72D297353CC}">
              <c16:uniqueId val="{00000002-EFCF-458D-A47C-88F549E78C83}"/>
            </c:ext>
          </c:extLst>
        </c:ser>
        <c:ser>
          <c:idx val="1"/>
          <c:order val="1"/>
          <c:tx>
            <c:strRef>
              <c:f>LCA!$B$155</c:f>
              <c:strCache>
                <c:ptCount val="1"/>
                <c:pt idx="0">
                  <c:v>Waste Treatment</c:v>
                </c:pt>
              </c:strCache>
            </c:strRef>
          </c:tx>
          <c:spPr>
            <a:solidFill>
              <a:schemeClr val="accent1">
                <a:lumMod val="20000"/>
                <a:lumOff val="80000"/>
              </a:schemeClr>
            </a:solidFill>
            <a:ln>
              <a:noFill/>
            </a:ln>
            <a:effectLst/>
          </c:spPr>
          <c:invertIfNegative val="0"/>
          <c:cat>
            <c:strRef>
              <c:f>LCA!$C$153</c:f>
              <c:strCache>
                <c:ptCount val="1"/>
                <c:pt idx="0">
                  <c:v>GWP</c:v>
                </c:pt>
              </c:strCache>
            </c:strRef>
          </c:cat>
          <c:val>
            <c:numRef>
              <c:f>LCA!$C$155</c:f>
              <c:numCache>
                <c:formatCode>0%</c:formatCode>
                <c:ptCount val="1"/>
                <c:pt idx="0">
                  <c:v>0.17150056706487005</c:v>
                </c:pt>
              </c:numCache>
            </c:numRef>
          </c:val>
          <c:extLst>
            <c:ext xmlns:c16="http://schemas.microsoft.com/office/drawing/2014/chart" uri="{C3380CC4-5D6E-409C-BE32-E72D297353CC}">
              <c16:uniqueId val="{00000003-EFCF-458D-A47C-88F549E78C83}"/>
            </c:ext>
          </c:extLst>
        </c:ser>
        <c:ser>
          <c:idx val="2"/>
          <c:order val="2"/>
          <c:tx>
            <c:strRef>
              <c:f>LCA!$B$156</c:f>
              <c:strCache>
                <c:ptCount val="1"/>
                <c:pt idx="0">
                  <c:v>Nutrients for EP</c:v>
                </c:pt>
              </c:strCache>
            </c:strRef>
          </c:tx>
          <c:spPr>
            <a:solidFill>
              <a:schemeClr val="accent1">
                <a:lumMod val="40000"/>
                <a:lumOff val="60000"/>
              </a:schemeClr>
            </a:solidFill>
            <a:ln>
              <a:noFill/>
            </a:ln>
            <a:effectLst/>
          </c:spPr>
          <c:invertIfNegative val="0"/>
          <c:cat>
            <c:strRef>
              <c:f>LCA!$C$153</c:f>
              <c:strCache>
                <c:ptCount val="1"/>
                <c:pt idx="0">
                  <c:v>GWP</c:v>
                </c:pt>
              </c:strCache>
            </c:strRef>
          </c:cat>
          <c:val>
            <c:numRef>
              <c:f>LCA!$C$156</c:f>
              <c:numCache>
                <c:formatCode>0%</c:formatCode>
                <c:ptCount val="1"/>
                <c:pt idx="0">
                  <c:v>0.14073524825856254</c:v>
                </c:pt>
              </c:numCache>
            </c:numRef>
          </c:val>
          <c:extLst>
            <c:ext xmlns:c16="http://schemas.microsoft.com/office/drawing/2014/chart" uri="{C3380CC4-5D6E-409C-BE32-E72D297353CC}">
              <c16:uniqueId val="{00000004-EFCF-458D-A47C-88F549E78C83}"/>
            </c:ext>
          </c:extLst>
        </c:ser>
        <c:ser>
          <c:idx val="3"/>
          <c:order val="3"/>
          <c:tx>
            <c:strRef>
              <c:f>LCA!$B$157</c:f>
              <c:strCache>
                <c:ptCount val="1"/>
                <c:pt idx="0">
                  <c:v>Enzymatic Hydrol.</c:v>
                </c:pt>
              </c:strCache>
            </c:strRef>
          </c:tx>
          <c:spPr>
            <a:solidFill>
              <a:schemeClr val="accent1">
                <a:lumMod val="60000"/>
                <a:lumOff val="40000"/>
              </a:schemeClr>
            </a:solidFill>
            <a:ln>
              <a:noFill/>
            </a:ln>
            <a:effectLst/>
          </c:spPr>
          <c:invertIfNegative val="0"/>
          <c:cat>
            <c:strRef>
              <c:f>LCA!$C$153</c:f>
              <c:strCache>
                <c:ptCount val="1"/>
                <c:pt idx="0">
                  <c:v>GWP</c:v>
                </c:pt>
              </c:strCache>
            </c:strRef>
          </c:cat>
          <c:val>
            <c:numRef>
              <c:f>LCA!$C$157</c:f>
              <c:numCache>
                <c:formatCode>0%</c:formatCode>
                <c:ptCount val="1"/>
                <c:pt idx="0">
                  <c:v>0.12046543285319687</c:v>
                </c:pt>
              </c:numCache>
            </c:numRef>
          </c:val>
          <c:extLst>
            <c:ext xmlns:c16="http://schemas.microsoft.com/office/drawing/2014/chart" uri="{C3380CC4-5D6E-409C-BE32-E72D297353CC}">
              <c16:uniqueId val="{00000005-EFCF-458D-A47C-88F549E78C83}"/>
            </c:ext>
          </c:extLst>
        </c:ser>
        <c:ser>
          <c:idx val="4"/>
          <c:order val="4"/>
          <c:tx>
            <c:strRef>
              <c:f>LCA!$B$158</c:f>
              <c:strCache>
                <c:ptCount val="1"/>
                <c:pt idx="0">
                  <c:v>Crop Harvest</c:v>
                </c:pt>
              </c:strCache>
            </c:strRef>
          </c:tx>
          <c:spPr>
            <a:solidFill>
              <a:srgbClr val="93FF93"/>
            </a:solidFill>
            <a:ln>
              <a:noFill/>
            </a:ln>
            <a:effectLst/>
          </c:spPr>
          <c:invertIfNegative val="0"/>
          <c:cat>
            <c:strRef>
              <c:f>LCA!$C$153</c:f>
              <c:strCache>
                <c:ptCount val="1"/>
                <c:pt idx="0">
                  <c:v>GWP</c:v>
                </c:pt>
              </c:strCache>
            </c:strRef>
          </c:cat>
          <c:val>
            <c:numRef>
              <c:f>LCA!$C$158</c:f>
              <c:numCache>
                <c:formatCode>0%</c:formatCode>
                <c:ptCount val="1"/>
                <c:pt idx="0">
                  <c:v>4.327370593767392E-2</c:v>
                </c:pt>
              </c:numCache>
            </c:numRef>
          </c:val>
          <c:extLst>
            <c:ext xmlns:c16="http://schemas.microsoft.com/office/drawing/2014/chart" uri="{C3380CC4-5D6E-409C-BE32-E72D297353CC}">
              <c16:uniqueId val="{00000006-EFCF-458D-A47C-88F549E78C83}"/>
            </c:ext>
          </c:extLst>
        </c:ser>
        <c:ser>
          <c:idx val="5"/>
          <c:order val="5"/>
          <c:tx>
            <c:strRef>
              <c:f>LCA!$B$159</c:f>
              <c:strCache>
                <c:ptCount val="1"/>
                <c:pt idx="0">
                  <c:v>Planting/Fertilizer App</c:v>
                </c:pt>
              </c:strCache>
            </c:strRef>
          </c:tx>
          <c:spPr>
            <a:solidFill>
              <a:srgbClr val="00FA00"/>
            </a:solidFill>
            <a:ln>
              <a:noFill/>
            </a:ln>
            <a:effectLst/>
          </c:spPr>
          <c:invertIfNegative val="0"/>
          <c:cat>
            <c:strRef>
              <c:f>LCA!$C$153</c:f>
              <c:strCache>
                <c:ptCount val="1"/>
                <c:pt idx="0">
                  <c:v>GWP</c:v>
                </c:pt>
              </c:strCache>
            </c:strRef>
          </c:cat>
          <c:val>
            <c:numRef>
              <c:f>LCA!$C$159</c:f>
              <c:numCache>
                <c:formatCode>0%</c:formatCode>
                <c:ptCount val="1"/>
                <c:pt idx="0">
                  <c:v>4.0303093585626504E-2</c:v>
                </c:pt>
              </c:numCache>
            </c:numRef>
          </c:val>
          <c:extLst>
            <c:ext xmlns:c16="http://schemas.microsoft.com/office/drawing/2014/chart" uri="{C3380CC4-5D6E-409C-BE32-E72D297353CC}">
              <c16:uniqueId val="{00000007-EFCF-458D-A47C-88F549E78C83}"/>
            </c:ext>
          </c:extLst>
        </c:ser>
        <c:ser>
          <c:idx val="6"/>
          <c:order val="6"/>
          <c:tx>
            <c:strRef>
              <c:f>LCA!$B$160</c:f>
              <c:strCache>
                <c:ptCount val="1"/>
                <c:pt idx="0">
                  <c:v>Seeds, Herb, P, K</c:v>
                </c:pt>
              </c:strCache>
            </c:strRef>
          </c:tx>
          <c:spPr>
            <a:solidFill>
              <a:srgbClr val="00CC00"/>
            </a:solidFill>
            <a:ln>
              <a:noFill/>
            </a:ln>
            <a:effectLst/>
          </c:spPr>
          <c:invertIfNegative val="0"/>
          <c:cat>
            <c:strRef>
              <c:f>LCA!$C$153</c:f>
              <c:strCache>
                <c:ptCount val="1"/>
                <c:pt idx="0">
                  <c:v>GWP</c:v>
                </c:pt>
              </c:strCache>
            </c:strRef>
          </c:cat>
          <c:val>
            <c:numRef>
              <c:f>LCA!$C$160</c:f>
              <c:numCache>
                <c:formatCode>0%</c:formatCode>
                <c:ptCount val="1"/>
                <c:pt idx="0">
                  <c:v>2.0959859819782503E-2</c:v>
                </c:pt>
              </c:numCache>
            </c:numRef>
          </c:val>
          <c:extLst>
            <c:ext xmlns:c16="http://schemas.microsoft.com/office/drawing/2014/chart" uri="{C3380CC4-5D6E-409C-BE32-E72D297353CC}">
              <c16:uniqueId val="{00000008-EFCF-458D-A47C-88F549E78C83}"/>
            </c:ext>
          </c:extLst>
        </c:ser>
        <c:ser>
          <c:idx val="7"/>
          <c:order val="7"/>
          <c:tx>
            <c:strRef>
              <c:f>LCA!$B$161</c:f>
              <c:strCache>
                <c:ptCount val="1"/>
                <c:pt idx="0">
                  <c:v>N Fertilizer</c:v>
                </c:pt>
              </c:strCache>
            </c:strRef>
          </c:tx>
          <c:spPr>
            <a:solidFill>
              <a:srgbClr val="00A800"/>
            </a:solidFill>
            <a:ln>
              <a:noFill/>
            </a:ln>
            <a:effectLst/>
          </c:spPr>
          <c:invertIfNegative val="0"/>
          <c:cat>
            <c:strRef>
              <c:f>LCA!$C$153</c:f>
              <c:strCache>
                <c:ptCount val="1"/>
                <c:pt idx="0">
                  <c:v>GWP</c:v>
                </c:pt>
              </c:strCache>
            </c:strRef>
          </c:cat>
          <c:val>
            <c:numRef>
              <c:f>LCA!$C$161</c:f>
              <c:numCache>
                <c:formatCode>0%</c:formatCode>
                <c:ptCount val="1"/>
                <c:pt idx="0">
                  <c:v>0.11605478361324535</c:v>
                </c:pt>
              </c:numCache>
            </c:numRef>
          </c:val>
          <c:extLst>
            <c:ext xmlns:c16="http://schemas.microsoft.com/office/drawing/2014/chart" uri="{C3380CC4-5D6E-409C-BE32-E72D297353CC}">
              <c16:uniqueId val="{00000009-EFCF-458D-A47C-88F549E78C83}"/>
            </c:ext>
          </c:extLst>
        </c:ser>
        <c:ser>
          <c:idx val="8"/>
          <c:order val="8"/>
          <c:tx>
            <c:strRef>
              <c:f>LCA!$B$162</c:f>
              <c:strCache>
                <c:ptCount val="1"/>
                <c:pt idx="0">
                  <c:v>Aglime</c:v>
                </c:pt>
              </c:strCache>
            </c:strRef>
          </c:tx>
          <c:spPr>
            <a:solidFill>
              <a:srgbClr val="007A00"/>
            </a:solidFill>
            <a:ln>
              <a:noFill/>
            </a:ln>
            <a:effectLst/>
          </c:spPr>
          <c:invertIfNegative val="0"/>
          <c:cat>
            <c:strRef>
              <c:f>LCA!$C$153</c:f>
              <c:strCache>
                <c:ptCount val="1"/>
                <c:pt idx="0">
                  <c:v>GWP</c:v>
                </c:pt>
              </c:strCache>
            </c:strRef>
          </c:cat>
          <c:val>
            <c:numRef>
              <c:f>LCA!$C$162</c:f>
              <c:numCache>
                <c:formatCode>0%</c:formatCode>
                <c:ptCount val="1"/>
                <c:pt idx="0">
                  <c:v>9.4538983623058057E-2</c:v>
                </c:pt>
              </c:numCache>
            </c:numRef>
          </c:val>
          <c:extLst>
            <c:ext xmlns:c16="http://schemas.microsoft.com/office/drawing/2014/chart" uri="{C3380CC4-5D6E-409C-BE32-E72D297353CC}">
              <c16:uniqueId val="{0000000A-EFCF-458D-A47C-88F549E78C83}"/>
            </c:ext>
          </c:extLst>
        </c:ser>
        <c:ser>
          <c:idx val="9"/>
          <c:order val="9"/>
          <c:tx>
            <c:strRef>
              <c:f>LCA!$B$163</c:f>
              <c:strCache>
                <c:ptCount val="1"/>
                <c:pt idx="0">
                  <c:v>Gas Denature.</c:v>
                </c:pt>
              </c:strCache>
            </c:strRef>
          </c:tx>
          <c:spPr>
            <a:solidFill>
              <a:srgbClr val="004C00"/>
            </a:solidFill>
            <a:ln>
              <a:noFill/>
            </a:ln>
            <a:effectLst/>
          </c:spPr>
          <c:invertIfNegative val="0"/>
          <c:cat>
            <c:strRef>
              <c:f>LCA!$C$153</c:f>
              <c:strCache>
                <c:ptCount val="1"/>
                <c:pt idx="0">
                  <c:v>GWP</c:v>
                </c:pt>
              </c:strCache>
            </c:strRef>
          </c:cat>
          <c:val>
            <c:numRef>
              <c:f>LCA!$C$163</c:f>
              <c:numCache>
                <c:formatCode>0%</c:formatCode>
                <c:ptCount val="1"/>
                <c:pt idx="0">
                  <c:v>5.3267229252072071E-2</c:v>
                </c:pt>
              </c:numCache>
            </c:numRef>
          </c:val>
          <c:extLst>
            <c:ext xmlns:c16="http://schemas.microsoft.com/office/drawing/2014/chart" uri="{C3380CC4-5D6E-409C-BE32-E72D297353CC}">
              <c16:uniqueId val="{0000000B-EFCF-458D-A47C-88F549E78C83}"/>
            </c:ext>
          </c:extLst>
        </c:ser>
        <c:dLbls>
          <c:showLegendKey val="0"/>
          <c:showVal val="0"/>
          <c:showCatName val="0"/>
          <c:showSerName val="0"/>
          <c:showPercent val="0"/>
          <c:showBubbleSize val="0"/>
        </c:dLbls>
        <c:gapWidth val="150"/>
        <c:overlap val="100"/>
        <c:axId val="991097711"/>
        <c:axId val="880591567"/>
      </c:barChart>
      <c:scatterChart>
        <c:scatterStyle val="lineMarker"/>
        <c:varyColors val="0"/>
        <c:ser>
          <c:idx val="10"/>
          <c:order val="10"/>
          <c:tx>
            <c:strRef>
              <c:f>LCA!$B$164</c:f>
              <c:strCache>
                <c:ptCount val="1"/>
                <c:pt idx="0">
                  <c:v>g CO2 eq/MJ</c:v>
                </c:pt>
              </c:strCache>
            </c:strRef>
          </c:tx>
          <c:spPr>
            <a:ln w="25400" cap="rnd">
              <a:noFill/>
              <a:round/>
            </a:ln>
            <a:effectLst/>
          </c:spPr>
          <c:marker>
            <c:symbol val="diamond"/>
            <c:size val="9"/>
            <c:spPr>
              <a:solidFill>
                <a:schemeClr val="accent4"/>
              </a:solidFill>
              <a:ln w="9525">
                <a:solidFill>
                  <a:schemeClr val="accent5">
                    <a:lumMod val="6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LCA!$C$153</c:f>
              <c:strCache>
                <c:ptCount val="1"/>
                <c:pt idx="0">
                  <c:v>GWP</c:v>
                </c:pt>
              </c:strCache>
            </c:strRef>
          </c:xVal>
          <c:yVal>
            <c:numRef>
              <c:f>LCA!$C$164</c:f>
              <c:numCache>
                <c:formatCode>0.00</c:formatCode>
                <c:ptCount val="1"/>
                <c:pt idx="0">
                  <c:v>24.897312540924425</c:v>
                </c:pt>
              </c:numCache>
            </c:numRef>
          </c:yVal>
          <c:smooth val="0"/>
          <c:extLst>
            <c:ext xmlns:c16="http://schemas.microsoft.com/office/drawing/2014/chart" uri="{C3380CC4-5D6E-409C-BE32-E72D297353CC}">
              <c16:uniqueId val="{0000000C-EFCF-458D-A47C-88F549E78C83}"/>
            </c:ext>
          </c:extLst>
        </c:ser>
        <c:dLbls>
          <c:showLegendKey val="0"/>
          <c:showVal val="0"/>
          <c:showCatName val="0"/>
          <c:showSerName val="0"/>
          <c:showPercent val="0"/>
          <c:showBubbleSize val="0"/>
        </c:dLbls>
        <c:axId val="878771615"/>
        <c:axId val="878769119"/>
      </c:scatterChart>
      <c:catAx>
        <c:axId val="9910977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0591567"/>
        <c:crosses val="autoZero"/>
        <c:auto val="1"/>
        <c:lblAlgn val="ctr"/>
        <c:lblOffset val="100"/>
        <c:noMultiLvlLbl val="0"/>
      </c:catAx>
      <c:valAx>
        <c:axId val="88059156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t>
                </a:r>
                <a:r>
                  <a:rPr lang="en-US" baseline="0"/>
                  <a:t> Total Impact Contr.</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1097711"/>
        <c:crosses val="autoZero"/>
        <c:crossBetween val="between"/>
      </c:valAx>
      <c:valAx>
        <c:axId val="878769119"/>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 CO2</a:t>
                </a:r>
                <a:r>
                  <a:rPr lang="en-US" baseline="0"/>
                  <a:t> eq/MJ EtOH</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8771615"/>
        <c:crosses val="max"/>
        <c:crossBetween val="midCat"/>
      </c:valAx>
      <c:valAx>
        <c:axId val="878771615"/>
        <c:scaling>
          <c:orientation val="minMax"/>
        </c:scaling>
        <c:delete val="1"/>
        <c:axPos val="t"/>
        <c:majorTickMark val="out"/>
        <c:minorTickMark val="none"/>
        <c:tickLblPos val="nextTo"/>
        <c:crossAx val="878769119"/>
        <c:crosses val="max"/>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Capital</a:t>
            </a:r>
            <a:r>
              <a:rPr lang="en-US" baseline="0"/>
              <a:t> Cost By Block</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2-75BD-4E8F-8D7F-022C74ADD264}"/>
              </c:ext>
            </c:extLst>
          </c:dPt>
          <c:dPt>
            <c:idx val="1"/>
            <c:bubble3D val="0"/>
            <c:spPr>
              <a:solidFill>
                <a:schemeClr val="accent6"/>
              </a:solidFill>
              <a:ln w="19050">
                <a:solidFill>
                  <a:schemeClr val="lt1"/>
                </a:solidFill>
              </a:ln>
              <a:effectLst/>
            </c:spPr>
            <c:extLst>
              <c:ext xmlns:c16="http://schemas.microsoft.com/office/drawing/2014/chart" uri="{C3380CC4-5D6E-409C-BE32-E72D297353CC}">
                <c16:uniqueId val="{00000003-75BD-4E8F-8D7F-022C74ADD264}"/>
              </c:ext>
            </c:extLst>
          </c:dPt>
          <c:dPt>
            <c:idx val="2"/>
            <c:bubble3D val="0"/>
            <c:spPr>
              <a:solidFill>
                <a:srgbClr val="FF0000"/>
              </a:solidFill>
              <a:ln w="19050">
                <a:solidFill>
                  <a:schemeClr val="lt1"/>
                </a:solidFill>
              </a:ln>
              <a:effectLst/>
            </c:spPr>
            <c:extLst>
              <c:ext xmlns:c16="http://schemas.microsoft.com/office/drawing/2014/chart" uri="{C3380CC4-5D6E-409C-BE32-E72D297353CC}">
                <c16:uniqueId val="{00000004-75BD-4E8F-8D7F-022C74ADD264}"/>
              </c:ext>
            </c:extLst>
          </c:dPt>
          <c:dPt>
            <c:idx val="3"/>
            <c:bubble3D val="0"/>
            <c:spPr>
              <a:solidFill>
                <a:srgbClr val="FFC000"/>
              </a:solidFill>
              <a:ln w="19050">
                <a:solidFill>
                  <a:schemeClr val="lt1"/>
                </a:solidFill>
              </a:ln>
              <a:effectLst/>
            </c:spPr>
            <c:extLst>
              <c:ext xmlns:c16="http://schemas.microsoft.com/office/drawing/2014/chart" uri="{C3380CC4-5D6E-409C-BE32-E72D297353CC}">
                <c16:uniqueId val="{00000005-75BD-4E8F-8D7F-022C74ADD264}"/>
              </c:ext>
            </c:extLst>
          </c:dPt>
          <c:dPt>
            <c:idx val="4"/>
            <c:bubble3D val="0"/>
            <c:spPr>
              <a:solidFill>
                <a:srgbClr val="7030A0"/>
              </a:solidFill>
              <a:ln w="19050">
                <a:solidFill>
                  <a:schemeClr val="lt1"/>
                </a:solidFill>
              </a:ln>
              <a:effectLst/>
            </c:spPr>
            <c:extLst>
              <c:ext xmlns:c16="http://schemas.microsoft.com/office/drawing/2014/chart" uri="{C3380CC4-5D6E-409C-BE32-E72D297353CC}">
                <c16:uniqueId val="{00000009-75BD-4E8F-8D7F-022C74ADD264}"/>
              </c:ext>
            </c:extLst>
          </c:dPt>
          <c:dPt>
            <c:idx val="5"/>
            <c:bubble3D val="0"/>
            <c:spPr>
              <a:solidFill>
                <a:schemeClr val="accent5"/>
              </a:solidFill>
              <a:ln w="19050">
                <a:solidFill>
                  <a:schemeClr val="lt1"/>
                </a:solidFill>
              </a:ln>
              <a:effectLst/>
            </c:spPr>
            <c:extLst>
              <c:ext xmlns:c16="http://schemas.microsoft.com/office/drawing/2014/chart" uri="{C3380CC4-5D6E-409C-BE32-E72D297353CC}">
                <c16:uniqueId val="{00000008-75BD-4E8F-8D7F-022C74ADD264}"/>
              </c:ext>
            </c:extLst>
          </c:dPt>
          <c:dPt>
            <c:idx val="6"/>
            <c:bubble3D val="0"/>
            <c:spPr>
              <a:solidFill>
                <a:srgbClr val="FFFF00"/>
              </a:solidFill>
              <a:ln w="19050">
                <a:solidFill>
                  <a:schemeClr val="lt1"/>
                </a:solidFill>
              </a:ln>
              <a:effectLst/>
            </c:spPr>
            <c:extLst>
              <c:ext xmlns:c16="http://schemas.microsoft.com/office/drawing/2014/chart" uri="{C3380CC4-5D6E-409C-BE32-E72D297353CC}">
                <c16:uniqueId val="{00000007-75BD-4E8F-8D7F-022C74ADD264}"/>
              </c:ext>
            </c:extLst>
          </c:dPt>
          <c:cat>
            <c:strRef>
              <c:f>TEA!$N$58:$N$64</c:f>
              <c:strCache>
                <c:ptCount val="7"/>
                <c:pt idx="0">
                  <c:v>Feedstock Handling (need mill)</c:v>
                </c:pt>
                <c:pt idx="1">
                  <c:v>Dilute Acid Hydrolysis</c:v>
                </c:pt>
                <c:pt idx="2">
                  <c:v>EH and Fermentation</c:v>
                </c:pt>
                <c:pt idx="3">
                  <c:v>Enzyme Production</c:v>
                </c:pt>
                <c:pt idx="4">
                  <c:v>Distillation/Dehydration</c:v>
                </c:pt>
                <c:pt idx="5">
                  <c:v>Boiler/Electricity Generation</c:v>
                </c:pt>
                <c:pt idx="6">
                  <c:v>Other (WW, Utilities &amp; Storage)</c:v>
                </c:pt>
              </c:strCache>
            </c:strRef>
          </c:cat>
          <c:val>
            <c:numRef>
              <c:f>TEA!$M$58:$M$64</c:f>
              <c:numCache>
                <c:formatCode>0%</c:formatCode>
                <c:ptCount val="7"/>
                <c:pt idx="0">
                  <c:v>0.10401814886309496</c:v>
                </c:pt>
                <c:pt idx="1">
                  <c:v>0.14192277451636953</c:v>
                </c:pt>
                <c:pt idx="2">
                  <c:v>0.13465602878394442</c:v>
                </c:pt>
                <c:pt idx="3">
                  <c:v>8.0683523625014825E-2</c:v>
                </c:pt>
                <c:pt idx="4">
                  <c:v>9.6106373439333564E-2</c:v>
                </c:pt>
                <c:pt idx="5">
                  <c:v>0.28340086879400489</c:v>
                </c:pt>
                <c:pt idx="6">
                  <c:v>0.26323043084133274</c:v>
                </c:pt>
              </c:numCache>
            </c:numRef>
          </c:val>
          <c:extLst>
            <c:ext xmlns:c16="http://schemas.microsoft.com/office/drawing/2014/chart" uri="{C3380CC4-5D6E-409C-BE32-E72D297353CC}">
              <c16:uniqueId val="{00000000-75BD-4E8F-8D7F-022C74ADD264}"/>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a:t>NPV Analysis Plot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Loan Payment</c:v>
          </c:tx>
          <c:spPr>
            <a:solidFill>
              <a:schemeClr val="accent1"/>
            </a:solidFill>
            <a:ln>
              <a:noFill/>
            </a:ln>
            <a:effectLst/>
          </c:spPr>
          <c:invertIfNegative val="0"/>
          <c:cat>
            <c:numRef>
              <c:f>TEA!$B$183:$AH$183</c:f>
              <c:numCache>
                <c:formatCode>General</c:formatCode>
                <c:ptCount val="33"/>
                <c:pt idx="0">
                  <c:v>-2</c:v>
                </c:pt>
                <c:pt idx="1">
                  <c:v>-1</c:v>
                </c:pt>
                <c:pt idx="2">
                  <c:v>0</c:v>
                </c:pt>
                <c:pt idx="3">
                  <c:v>1</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19</c:v>
                </c:pt>
                <c:pt idx="22">
                  <c:v>20</c:v>
                </c:pt>
                <c:pt idx="23">
                  <c:v>21</c:v>
                </c:pt>
                <c:pt idx="24">
                  <c:v>22</c:v>
                </c:pt>
                <c:pt idx="25">
                  <c:v>23</c:v>
                </c:pt>
                <c:pt idx="26">
                  <c:v>24</c:v>
                </c:pt>
                <c:pt idx="27">
                  <c:v>25</c:v>
                </c:pt>
                <c:pt idx="28">
                  <c:v>26</c:v>
                </c:pt>
                <c:pt idx="29">
                  <c:v>27</c:v>
                </c:pt>
                <c:pt idx="30">
                  <c:v>28</c:v>
                </c:pt>
                <c:pt idx="31">
                  <c:v>29</c:v>
                </c:pt>
                <c:pt idx="32">
                  <c:v>30</c:v>
                </c:pt>
              </c:numCache>
            </c:numRef>
          </c:cat>
          <c:val>
            <c:numRef>
              <c:f>TEA!$B$187:$AH$187</c:f>
              <c:numCache>
                <c:formatCode>_("$"* #,##0.00_);_("$"* \(#,##0.00\);_("$"* "-"??_);_(@_)</c:formatCode>
                <c:ptCount val="33"/>
                <c:pt idx="0">
                  <c:v>0</c:v>
                </c:pt>
                <c:pt idx="1">
                  <c:v>0</c:v>
                </c:pt>
                <c:pt idx="2">
                  <c:v>0</c:v>
                </c:pt>
                <c:pt idx="3">
                  <c:v>-21507453.482457895</c:v>
                </c:pt>
                <c:pt idx="4">
                  <c:v>-19552230.438598085</c:v>
                </c:pt>
                <c:pt idx="5">
                  <c:v>-17774754.944180075</c:v>
                </c:pt>
                <c:pt idx="6">
                  <c:v>-16158868.131072797</c:v>
                </c:pt>
                <c:pt idx="7">
                  <c:v>-14689880.119157085</c:v>
                </c:pt>
                <c:pt idx="8">
                  <c:v>-13354436.471960986</c:v>
                </c:pt>
                <c:pt idx="9">
                  <c:v>-12140396.792691804</c:v>
                </c:pt>
                <c:pt idx="10">
                  <c:v>-11036724.356992548</c:v>
                </c:pt>
                <c:pt idx="11">
                  <c:v>-10033385.779084135</c:v>
                </c:pt>
                <c:pt idx="12">
                  <c:v>-9121259.7991673946</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val>
          <c:extLst>
            <c:ext xmlns:c16="http://schemas.microsoft.com/office/drawing/2014/chart" uri="{C3380CC4-5D6E-409C-BE32-E72D297353CC}">
              <c16:uniqueId val="{00000000-BD96-4A17-9BB3-447439203767}"/>
            </c:ext>
          </c:extLst>
        </c:ser>
        <c:ser>
          <c:idx val="1"/>
          <c:order val="1"/>
          <c:tx>
            <c:v>Operational Costs</c:v>
          </c:tx>
          <c:spPr>
            <a:solidFill>
              <a:schemeClr val="accent2"/>
            </a:solidFill>
            <a:ln>
              <a:noFill/>
            </a:ln>
            <a:effectLst/>
          </c:spPr>
          <c:invertIfNegative val="0"/>
          <c:val>
            <c:numRef>
              <c:f>TEA!$B$189:$AH$189</c:f>
              <c:numCache>
                <c:formatCode>_("$"* #,##0.00_);_("$"* \(#,##0.00\);_("$"* "-"??_);_(@_)</c:formatCode>
                <c:ptCount val="33"/>
                <c:pt idx="0">
                  <c:v>0</c:v>
                </c:pt>
                <c:pt idx="1">
                  <c:v>0</c:v>
                </c:pt>
                <c:pt idx="2">
                  <c:v>0</c:v>
                </c:pt>
                <c:pt idx="3">
                  <c:v>-45110814.757600293</c:v>
                </c:pt>
                <c:pt idx="4">
                  <c:v>-46868378.968935363</c:v>
                </c:pt>
                <c:pt idx="5">
                  <c:v>-42607617.244486682</c:v>
                </c:pt>
                <c:pt idx="6">
                  <c:v>-38734197.494987898</c:v>
                </c:pt>
                <c:pt idx="7">
                  <c:v>-35212906.813625358</c:v>
                </c:pt>
                <c:pt idx="8">
                  <c:v>-32011733.466932144</c:v>
                </c:pt>
                <c:pt idx="9">
                  <c:v>-29101575.879029214</c:v>
                </c:pt>
                <c:pt idx="10">
                  <c:v>-26455978.071844742</c:v>
                </c:pt>
                <c:pt idx="11">
                  <c:v>-24050889.156222492</c:v>
                </c:pt>
                <c:pt idx="12">
                  <c:v>-21864444.687474988</c:v>
                </c:pt>
                <c:pt idx="13">
                  <c:v>-19876767.897704534</c:v>
                </c:pt>
                <c:pt idx="14">
                  <c:v>-18069788.997913212</c:v>
                </c:pt>
                <c:pt idx="15">
                  <c:v>-16427080.90719383</c:v>
                </c:pt>
                <c:pt idx="16">
                  <c:v>-14933709.91563075</c:v>
                </c:pt>
                <c:pt idx="17">
                  <c:v>-13576099.923300682</c:v>
                </c:pt>
                <c:pt idx="18">
                  <c:v>-12341909.021182438</c:v>
                </c:pt>
                <c:pt idx="19">
                  <c:v>-11219917.291984035</c:v>
                </c:pt>
                <c:pt idx="20">
                  <c:v>-10199924.810894575</c:v>
                </c:pt>
                <c:pt idx="21">
                  <c:v>-9272658.9189950656</c:v>
                </c:pt>
                <c:pt idx="22">
                  <c:v>-8429689.9263591524</c:v>
                </c:pt>
                <c:pt idx="23">
                  <c:v>-7663354.4785083197</c:v>
                </c:pt>
                <c:pt idx="24">
                  <c:v>-6966685.889553017</c:v>
                </c:pt>
                <c:pt idx="25">
                  <c:v>-6333350.8086845605</c:v>
                </c:pt>
                <c:pt idx="26">
                  <c:v>-5757591.6442586919</c:v>
                </c:pt>
                <c:pt idx="27">
                  <c:v>-5234174.2220533546</c:v>
                </c:pt>
                <c:pt idx="28">
                  <c:v>-4758340.2018666863</c:v>
                </c:pt>
                <c:pt idx="29">
                  <c:v>-4325763.8198788054</c:v>
                </c:pt>
                <c:pt idx="30">
                  <c:v>-3932512.5635261862</c:v>
                </c:pt>
                <c:pt idx="31">
                  <c:v>-3575011.4213874419</c:v>
                </c:pt>
                <c:pt idx="32">
                  <c:v>-3250010.3830794925</c:v>
                </c:pt>
              </c:numCache>
            </c:numRef>
          </c:val>
          <c:extLst>
            <c:ext xmlns:c16="http://schemas.microsoft.com/office/drawing/2014/chart" uri="{C3380CC4-5D6E-409C-BE32-E72D297353CC}">
              <c16:uniqueId val="{00000002-BD96-4A17-9BB3-447439203767}"/>
            </c:ext>
          </c:extLst>
        </c:ser>
        <c:ser>
          <c:idx val="2"/>
          <c:order val="2"/>
          <c:tx>
            <c:v>Taxes</c:v>
          </c:tx>
          <c:spPr>
            <a:solidFill>
              <a:srgbClr val="FF0000"/>
            </a:solidFill>
            <a:ln>
              <a:noFill/>
            </a:ln>
            <a:effectLst/>
          </c:spPr>
          <c:invertIfNegative val="0"/>
          <c:val>
            <c:numRef>
              <c:f>TEA!$B$190:$AH$190</c:f>
              <c:numCache>
                <c:formatCode>_("$"* #,##0.00_);_("$"* \(#,##0.00\);_("$"* "-"??_);_(@_)</c:formatCode>
                <c:ptCount val="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-481906.40465871472</c:v>
                </c:pt>
                <c:pt idx="28">
                  <c:v>-609274.2320564125</c:v>
                </c:pt>
                <c:pt idx="29">
                  <c:v>-553885.6655058295</c:v>
                </c:pt>
                <c:pt idx="30">
                  <c:v>-503532.42318711767</c:v>
                </c:pt>
                <c:pt idx="31">
                  <c:v>-457756.74835192511</c:v>
                </c:pt>
                <c:pt idx="32">
                  <c:v>-416142.49850175006</c:v>
                </c:pt>
              </c:numCache>
            </c:numRef>
          </c:val>
          <c:extLst>
            <c:ext xmlns:c16="http://schemas.microsoft.com/office/drawing/2014/chart" uri="{C3380CC4-5D6E-409C-BE32-E72D297353CC}">
              <c16:uniqueId val="{00000003-BD96-4A17-9BB3-447439203767}"/>
            </c:ext>
          </c:extLst>
        </c:ser>
        <c:ser>
          <c:idx val="3"/>
          <c:order val="3"/>
          <c:tx>
            <c:v>Equip/Facilities Capital</c:v>
          </c:tx>
          <c:spPr>
            <a:solidFill>
              <a:schemeClr val="accent4"/>
            </a:solidFill>
            <a:ln>
              <a:noFill/>
            </a:ln>
            <a:effectLst/>
          </c:spPr>
          <c:invertIfNegative val="0"/>
          <c:val>
            <c:numRef>
              <c:f>TEA!$B$184:$AH$184</c:f>
              <c:numCache>
                <c:formatCode>_("$"* #,##0_);_("$"* \(#,##0\);_("$"* "-"??_);_(@_)</c:formatCode>
                <c:ptCount val="33"/>
                <c:pt idx="0" formatCode="_(&quot;$&quot;* #,##0.00_);_(&quot;$&quot;* \(#,##0.00\);_(&quot;$&quot;* &quot;-&quot;??_);_(@_)">
                  <c:v>-10244565.988623967</c:v>
                </c:pt>
                <c:pt idx="1">
                  <c:v>-69849313.558799759</c:v>
                </c:pt>
                <c:pt idx="2" formatCode="_(&quot;$&quot;* #,##0.00_);_(&quot;$&quot;* \(#,##0.00\);_(&quot;$&quot;* &quot;-&quot;??_);_(@_)">
                  <c:v>-33866333.846690796</c:v>
                </c:pt>
              </c:numCache>
            </c:numRef>
          </c:val>
          <c:extLst>
            <c:ext xmlns:c16="http://schemas.microsoft.com/office/drawing/2014/chart" uri="{C3380CC4-5D6E-409C-BE32-E72D297353CC}">
              <c16:uniqueId val="{00000004-BD96-4A17-9BB3-447439203767}"/>
            </c:ext>
          </c:extLst>
        </c:ser>
        <c:ser>
          <c:idx val="4"/>
          <c:order val="4"/>
          <c:tx>
            <c:v>Land Capital</c:v>
          </c:tx>
          <c:spPr>
            <a:solidFill>
              <a:schemeClr val="accent5"/>
            </a:solidFill>
            <a:ln>
              <a:noFill/>
            </a:ln>
            <a:effectLst/>
          </c:spPr>
          <c:invertIfNegative val="0"/>
          <c:val>
            <c:numRef>
              <c:f>TEA!$B$185:$AH$185</c:f>
              <c:numCache>
                <c:formatCode>General</c:formatCode>
                <c:ptCount val="33"/>
                <c:pt idx="0" formatCode="_(&quot;$&quot;* #,##0.00_);_(&quot;$&quot;* \(#,##0.00\);_(&quot;$&quot;* &quot;-&quot;??_);_(@_)">
                  <c:v>-2236080.0000000005</c:v>
                </c:pt>
              </c:numCache>
            </c:numRef>
          </c:val>
          <c:extLst>
            <c:ext xmlns:c16="http://schemas.microsoft.com/office/drawing/2014/chart" uri="{C3380CC4-5D6E-409C-BE32-E72D297353CC}">
              <c16:uniqueId val="{00000005-BD96-4A17-9BB3-447439203767}"/>
            </c:ext>
          </c:extLst>
        </c:ser>
        <c:ser>
          <c:idx val="5"/>
          <c:order val="5"/>
          <c:tx>
            <c:v>Working Capital</c:v>
          </c:tx>
          <c:spPr>
            <a:solidFill>
              <a:schemeClr val="accent6"/>
            </a:solidFill>
            <a:ln>
              <a:noFill/>
            </a:ln>
            <a:effectLst/>
          </c:spPr>
          <c:invertIfNegative val="0"/>
          <c:val>
            <c:numRef>
              <c:f>TEA!$B$186:$AH$186</c:f>
              <c:numCache>
                <c:formatCode>General</c:formatCode>
                <c:ptCount val="33"/>
                <c:pt idx="2" formatCode="_(&quot;$&quot;* #,##0.00_);_(&quot;$&quot;* \(#,##0.00\);_(&quot;$&quot;* &quot;-&quot;??_);_(@_)">
                  <c:v>-13229036.658863591</c:v>
                </c:pt>
              </c:numCache>
            </c:numRef>
          </c:val>
          <c:extLst>
            <c:ext xmlns:c16="http://schemas.microsoft.com/office/drawing/2014/chart" uri="{C3380CC4-5D6E-409C-BE32-E72D297353CC}">
              <c16:uniqueId val="{00000006-BD96-4A17-9BB3-447439203767}"/>
            </c:ext>
          </c:extLst>
        </c:ser>
        <c:ser>
          <c:idx val="6"/>
          <c:order val="6"/>
          <c:tx>
            <c:v>Ethanol Sales</c:v>
          </c:tx>
          <c:spPr>
            <a:solidFill>
              <a:srgbClr val="5DFF5D"/>
            </a:solidFill>
            <a:ln>
              <a:noFill/>
            </a:ln>
            <a:effectLst/>
          </c:spPr>
          <c:invertIfNegative val="0"/>
          <c:val>
            <c:numRef>
              <c:f>TEA!$B$188:$AH$188</c:f>
              <c:numCache>
                <c:formatCode>_("$"* #,##0.00_);_("$"* \(#,##0.00\);_("$"* "-"??_);_(@_)</c:formatCode>
                <c:ptCount val="33"/>
                <c:pt idx="0">
                  <c:v>0</c:v>
                </c:pt>
                <c:pt idx="1">
                  <c:v>0</c:v>
                </c:pt>
                <c:pt idx="2">
                  <c:v>0</c:v>
                </c:pt>
                <c:pt idx="3">
                  <c:v>61614082.615637816</c:v>
                </c:pt>
                <c:pt idx="4">
                  <c:v>64014631.288974352</c:v>
                </c:pt>
                <c:pt idx="5">
                  <c:v>58195119.353613034</c:v>
                </c:pt>
                <c:pt idx="6">
                  <c:v>52904653.957830034</c:v>
                </c:pt>
                <c:pt idx="7">
                  <c:v>48095139.961663663</c:v>
                </c:pt>
                <c:pt idx="8">
                  <c:v>43722854.510603331</c:v>
                </c:pt>
                <c:pt idx="9">
                  <c:v>39748049.555093929</c:v>
                </c:pt>
                <c:pt idx="10">
                  <c:v>36134590.504630841</c:v>
                </c:pt>
                <c:pt idx="11">
                  <c:v>32849627.731482584</c:v>
                </c:pt>
                <c:pt idx="12">
                  <c:v>29863297.937711436</c:v>
                </c:pt>
                <c:pt idx="13">
                  <c:v>27148452.670646757</c:v>
                </c:pt>
                <c:pt idx="14">
                  <c:v>24680411.518769778</c:v>
                </c:pt>
                <c:pt idx="15">
                  <c:v>22436737.744336165</c:v>
                </c:pt>
                <c:pt idx="16">
                  <c:v>20397034.313032869</c:v>
                </c:pt>
                <c:pt idx="17">
                  <c:v>18542758.466393519</c:v>
                </c:pt>
                <c:pt idx="18">
                  <c:v>16857053.151266836</c:v>
                </c:pt>
                <c:pt idx="19">
                  <c:v>15324593.773878939</c:v>
                </c:pt>
                <c:pt idx="20">
                  <c:v>13931448.885344489</c:v>
                </c:pt>
                <c:pt idx="21">
                  <c:v>12664953.532131352</c:v>
                </c:pt>
                <c:pt idx="22">
                  <c:v>11513594.120119411</c:v>
                </c:pt>
                <c:pt idx="23">
                  <c:v>10466903.745563101</c:v>
                </c:pt>
                <c:pt idx="24">
                  <c:v>9515367.0414209981</c:v>
                </c:pt>
                <c:pt idx="25">
                  <c:v>8650333.674019089</c:v>
                </c:pt>
                <c:pt idx="26">
                  <c:v>7863939.7036537183</c:v>
                </c:pt>
                <c:pt idx="27">
                  <c:v>7149036.0942306509</c:v>
                </c:pt>
                <c:pt idx="28">
                  <c:v>6499123.7220278643</c:v>
                </c:pt>
                <c:pt idx="29">
                  <c:v>5908294.292752604</c:v>
                </c:pt>
                <c:pt idx="30">
                  <c:v>5371176.6297750939</c:v>
                </c:pt>
                <c:pt idx="31">
                  <c:v>4882887.845250085</c:v>
                </c:pt>
                <c:pt idx="32">
                  <c:v>4438988.95022735</c:v>
                </c:pt>
              </c:numCache>
            </c:numRef>
          </c:val>
          <c:extLst>
            <c:ext xmlns:c16="http://schemas.microsoft.com/office/drawing/2014/chart" uri="{C3380CC4-5D6E-409C-BE32-E72D297353CC}">
              <c16:uniqueId val="{00000007-BD96-4A17-9BB3-447439203767}"/>
            </c:ext>
          </c:extLst>
        </c:ser>
        <c:dLbls>
          <c:showLegendKey val="0"/>
          <c:showVal val="0"/>
          <c:showCatName val="0"/>
          <c:showSerName val="0"/>
          <c:showPercent val="0"/>
          <c:showBubbleSize val="0"/>
        </c:dLbls>
        <c:gapWidth val="150"/>
        <c:overlap val="100"/>
        <c:axId val="566510856"/>
        <c:axId val="566512496"/>
      </c:barChart>
      <c:lineChart>
        <c:grouping val="standard"/>
        <c:varyColors val="0"/>
        <c:ser>
          <c:idx val="7"/>
          <c:order val="7"/>
          <c:tx>
            <c:v>Net Present Worth</c:v>
          </c:tx>
          <c:spPr>
            <a:ln w="28575" cap="rnd">
              <a:solidFill>
                <a:schemeClr val="accent5">
                  <a:lumMod val="40000"/>
                  <a:lumOff val="60000"/>
                </a:schemeClr>
              </a:solidFill>
              <a:round/>
            </a:ln>
            <a:effectLst/>
          </c:spPr>
          <c:marker>
            <c:symbol val="none"/>
          </c:marker>
          <c:val>
            <c:numRef>
              <c:f>TEA!$B$191:$AH$191</c:f>
              <c:numCache>
                <c:formatCode>_("$"* #,##0_);_("$"* \(#,##0\);_("$"* "-"??_);_(@_)</c:formatCode>
                <c:ptCount val="33"/>
                <c:pt idx="0" formatCode="_(&quot;$&quot;* #,##0.00_);_(&quot;$&quot;* \(#,##0.00\);_(&quot;$&quot;* &quot;-&quot;??_);_(@_)">
                  <c:v>-13709993.907258844</c:v>
                </c:pt>
                <c:pt idx="1">
                  <c:v>-93058814.110055357</c:v>
                </c:pt>
                <c:pt idx="2" formatCode="_(&quot;$&quot;* #,##0.00_);_(&quot;$&quot;* \(#,##0.00\);_(&quot;$&quot;* &quot;-&quot;??_);_(@_)">
                  <c:v>-152854059.80811879</c:v>
                </c:pt>
                <c:pt idx="3" formatCode="_(&quot;$&quot;* #,##0.00_);_(&quot;$&quot;* \(#,##0.00\);_(&quot;$&quot;* &quot;-&quot;??_);_(@_)">
                  <c:v>-157858245.43253917</c:v>
                </c:pt>
                <c:pt idx="4" formatCode="_(&quot;$&quot;* #,##0.00_);_(&quot;$&quot;* \(#,##0.00\);_(&quot;$&quot;* &quot;-&quot;??_);_(@_)">
                  <c:v>-160264223.55109826</c:v>
                </c:pt>
                <c:pt idx="5" formatCode="_(&quot;$&quot;* #,##0.00_);_(&quot;$&quot;* \(#,##0.00\);_(&quot;$&quot;* &quot;-&quot;??_);_(@_)">
                  <c:v>-162451476.386152</c:v>
                </c:pt>
                <c:pt idx="6" formatCode="_(&quot;$&quot;* #,##0.00_);_(&quot;$&quot;* \(#,##0.00\);_(&quot;$&quot;* &quot;-&quot;??_);_(@_)">
                  <c:v>-164439888.05438265</c:v>
                </c:pt>
                <c:pt idx="7" formatCode="_(&quot;$&quot;* #,##0.00_);_(&quot;$&quot;* \(#,##0.00\);_(&quot;$&quot;* &quot;-&quot;??_);_(@_)">
                  <c:v>-166247535.02550143</c:v>
                </c:pt>
                <c:pt idx="8" formatCode="_(&quot;$&quot;* #,##0.00_);_(&quot;$&quot;* \(#,##0.00\);_(&quot;$&quot;* &quot;-&quot;??_);_(@_)">
                  <c:v>-167890850.45379123</c:v>
                </c:pt>
                <c:pt idx="9" formatCode="_(&quot;$&quot;* #,##0.00_);_(&quot;$&quot;* \(#,##0.00\);_(&quot;$&quot;* &quot;-&quot;??_);_(@_)">
                  <c:v>-169384773.57041833</c:v>
                </c:pt>
                <c:pt idx="10" formatCode="_(&quot;$&quot;* #,##0.00_);_(&quot;$&quot;* \(#,##0.00\);_(&quot;$&quot;* &quot;-&quot;??_);_(@_)">
                  <c:v>-170742885.49462476</c:v>
                </c:pt>
                <c:pt idx="11" formatCode="_(&quot;$&quot;* #,##0.00_);_(&quot;$&quot;* \(#,##0.00\);_(&quot;$&quot;* &quot;-&quot;??_);_(@_)">
                  <c:v>-171977532.69844881</c:v>
                </c:pt>
                <c:pt idx="12" formatCode="_(&quot;$&quot;* #,##0.00_);_(&quot;$&quot;* \(#,##0.00\);_(&quot;$&quot;* &quot;-&quot;??_);_(@_)">
                  <c:v>-173099939.24737975</c:v>
                </c:pt>
                <c:pt idx="13" formatCode="_(&quot;$&quot;* #,##0.00_);_(&quot;$&quot;* \(#,##0.00\);_(&quot;$&quot;* &quot;-&quot;??_);_(@_)">
                  <c:v>-165828254.47443753</c:v>
                </c:pt>
                <c:pt idx="14" formatCode="_(&quot;$&quot;* #,##0.00_);_(&quot;$&quot;* \(#,##0.00\);_(&quot;$&quot;* &quot;-&quot;??_);_(@_)">
                  <c:v>-159217631.95358098</c:v>
                </c:pt>
                <c:pt idx="15" formatCode="_(&quot;$&quot;* #,##0.00_);_(&quot;$&quot;* \(#,##0.00\);_(&quot;$&quot;* &quot;-&quot;??_);_(@_)">
                  <c:v>-153207975.11643863</c:v>
                </c:pt>
                <c:pt idx="16" formatCode="_(&quot;$&quot;* #,##0.00_);_(&quot;$&quot;* \(#,##0.00\);_(&quot;$&quot;* &quot;-&quot;??_);_(@_)">
                  <c:v>-147744650.71903652</c:v>
                </c:pt>
                <c:pt idx="17" formatCode="_(&quot;$&quot;* #,##0.00_);_(&quot;$&quot;* \(#,##0.00\);_(&quot;$&quot;* &quot;-&quot;??_);_(@_)">
                  <c:v>-142777992.17594367</c:v>
                </c:pt>
                <c:pt idx="18" formatCode="_(&quot;$&quot;* #,##0.00_);_(&quot;$&quot;* \(#,##0.00\);_(&quot;$&quot;* &quot;-&quot;??_);_(@_)">
                  <c:v>-138262848.04585928</c:v>
                </c:pt>
                <c:pt idx="19" formatCode="_(&quot;$&quot;* #,##0.00_);_(&quot;$&quot;* \(#,##0.00\);_(&quot;$&quot;* &quot;-&quot;??_);_(@_)">
                  <c:v>-134158171.56396437</c:v>
                </c:pt>
                <c:pt idx="20" formatCode="_(&quot;$&quot;* #,##0.00_);_(&quot;$&quot;* \(#,##0.00\);_(&quot;$&quot;* &quot;-&quot;??_);_(@_)">
                  <c:v>-130426647.48951446</c:v>
                </c:pt>
                <c:pt idx="21" formatCode="_(&quot;$&quot;* #,##0.00_);_(&quot;$&quot;* \(#,##0.00\);_(&quot;$&quot;* &quot;-&quot;??_);_(@_)">
                  <c:v>-127034352.87637816</c:v>
                </c:pt>
                <c:pt idx="22" formatCode="_(&quot;$&quot;* #,##0.00_);_(&quot;$&quot;* \(#,##0.00\);_(&quot;$&quot;* &quot;-&quot;??_);_(@_)">
                  <c:v>-123950448.6826179</c:v>
                </c:pt>
                <c:pt idx="23" formatCode="_(&quot;$&quot;* #,##0.00_);_(&quot;$&quot;* \(#,##0.00\);_(&quot;$&quot;* &quot;-&quot;??_);_(@_)">
                  <c:v>-121146899.41556312</c:v>
                </c:pt>
                <c:pt idx="24" formatCode="_(&quot;$&quot;* #,##0.00_);_(&quot;$&quot;* \(#,##0.00\);_(&quot;$&quot;* &quot;-&quot;??_);_(@_)">
                  <c:v>-118598218.26369514</c:v>
                </c:pt>
                <c:pt idx="25" formatCode="_(&quot;$&quot;* #,##0.00_);_(&quot;$&quot;* \(#,##0.00\);_(&quot;$&quot;* &quot;-&quot;??_);_(@_)">
                  <c:v>-116281235.39836061</c:v>
                </c:pt>
                <c:pt idx="26" formatCode="_(&quot;$&quot;* #,##0.00_);_(&quot;$&quot;* \(#,##0.00\);_(&quot;$&quot;* &quot;-&quot;??_);_(@_)">
                  <c:v>-114174887.33896558</c:v>
                </c:pt>
                <c:pt idx="27" formatCode="_(&quot;$&quot;* #,##0.00_);_(&quot;$&quot;* \(#,##0.00\);_(&quot;$&quot;* &quot;-&quot;??_);_(@_)">
                  <c:v>-112741931.871447</c:v>
                </c:pt>
                <c:pt idx="28" formatCode="_(&quot;$&quot;* #,##0.00_);_(&quot;$&quot;* \(#,##0.00\);_(&quot;$&quot;* &quot;-&quot;??_);_(@_)">
                  <c:v>-111610422.58334222</c:v>
                </c:pt>
                <c:pt idx="29" formatCode="_(&quot;$&quot;* #,##0.00_);_(&quot;$&quot;* \(#,##0.00\);_(&quot;$&quot;* &quot;-&quot;??_);_(@_)">
                  <c:v>-110581777.77597426</c:v>
                </c:pt>
                <c:pt idx="30" formatCode="_(&quot;$&quot;* #,##0.00_);_(&quot;$&quot;* \(#,##0.00\);_(&quot;$&quot;* &quot;-&quot;??_);_(@_)">
                  <c:v>-109646646.13291247</c:v>
                </c:pt>
                <c:pt idx="31" formatCode="_(&quot;$&quot;* #,##0.00_);_(&quot;$&quot;* \(#,##0.00\);_(&quot;$&quot;* &quot;-&quot;??_);_(@_)">
                  <c:v>-108796526.45740175</c:v>
                </c:pt>
                <c:pt idx="32" formatCode="_(&quot;$&quot;* #,##0.00_);_(&quot;$&quot;* \(#,##0.00\);_(&quot;$&quot;* &quot;-&quot;??_);_(@_)">
                  <c:v>-108023690.38875565</c:v>
                </c:pt>
              </c:numCache>
            </c:numRef>
          </c:val>
          <c:smooth val="0"/>
          <c:extLst>
            <c:ext xmlns:c16="http://schemas.microsoft.com/office/drawing/2014/chart" uri="{C3380CC4-5D6E-409C-BE32-E72D297353CC}">
              <c16:uniqueId val="{00000009-BD96-4A17-9BB3-447439203767}"/>
            </c:ext>
          </c:extLst>
        </c:ser>
        <c:dLbls>
          <c:showLegendKey val="0"/>
          <c:showVal val="0"/>
          <c:showCatName val="0"/>
          <c:showSerName val="0"/>
          <c:showPercent val="0"/>
          <c:showBubbleSize val="0"/>
        </c:dLbls>
        <c:marker val="1"/>
        <c:smooth val="0"/>
        <c:axId val="566510856"/>
        <c:axId val="566512496"/>
      </c:lineChart>
      <c:catAx>
        <c:axId val="566510856"/>
        <c:scaling>
          <c:orientation val="minMax"/>
        </c:scaling>
        <c:delete val="0"/>
        <c:axPos val="b"/>
        <c:numFmt formatCode="General" sourceLinked="1"/>
        <c:majorTickMark val="none"/>
        <c:minorTickMark val="none"/>
        <c:tickLblPos val="nextTo"/>
        <c:spPr>
          <a:noFill/>
          <a:ln w="19050" cap="flat" cmpd="sng" algn="ctr">
            <a:solidFill>
              <a:schemeClr val="tx1"/>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566512496"/>
        <c:crosses val="autoZero"/>
        <c:auto val="1"/>
        <c:lblAlgn val="ctr"/>
        <c:lblOffset val="100"/>
        <c:noMultiLvlLbl val="0"/>
      </c:catAx>
      <c:valAx>
        <c:axId val="566512496"/>
        <c:scaling>
          <c:orientation val="minMax"/>
        </c:scaling>
        <c:delete val="0"/>
        <c:axPos val="l"/>
        <c:numFmt formatCode="_(&quot;$&quot;* #,##0.00_);_(&quot;$&quot;* \(#,##0.00\);_(&quot;$&quot;* &quot;-&quot;??_);_(@_)"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510856"/>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800"/>
              <a:t>MESP</a:t>
            </a:r>
            <a:r>
              <a:rPr lang="en-US" sz="2800" baseline="0"/>
              <a:t> Contributor Breakdown</a:t>
            </a:r>
            <a:endParaRPr lang="en-US" sz="280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TEA!$P$207</c:f>
              <c:strCache>
                <c:ptCount val="1"/>
                <c:pt idx="0">
                  <c:v>Capex/interest</c:v>
                </c:pt>
              </c:strCache>
            </c:strRef>
          </c:tx>
          <c:spPr>
            <a:solidFill>
              <a:schemeClr val="accent1">
                <a:lumMod val="50000"/>
              </a:schemeClr>
            </a:solidFill>
            <a:ln>
              <a:noFill/>
            </a:ln>
            <a:effectLst/>
          </c:spPr>
          <c:invertIfNegative val="0"/>
          <c:val>
            <c:numRef>
              <c:f>TEA!$Q$207</c:f>
              <c:numCache>
                <c:formatCode>_("$"* #,##0.00_);_("$"* \(#,##0.00\);_("$"* "-"??_);_(@_)</c:formatCode>
                <c:ptCount val="1"/>
                <c:pt idx="0">
                  <c:v>0.80203242337545055</c:v>
                </c:pt>
              </c:numCache>
            </c:numRef>
          </c:val>
          <c:extLst>
            <c:ext xmlns:c16="http://schemas.microsoft.com/office/drawing/2014/chart" uri="{C3380CC4-5D6E-409C-BE32-E72D297353CC}">
              <c16:uniqueId val="{00000000-8AC6-4F12-838A-63DB1C6D34A1}"/>
            </c:ext>
          </c:extLst>
        </c:ser>
        <c:ser>
          <c:idx val="1"/>
          <c:order val="1"/>
          <c:tx>
            <c:strRef>
              <c:f>TEA!$P$209</c:f>
              <c:strCache>
                <c:ptCount val="1"/>
                <c:pt idx="0">
                  <c:v>Fixed Opex/Taxes</c:v>
                </c:pt>
              </c:strCache>
            </c:strRef>
          </c:tx>
          <c:spPr>
            <a:solidFill>
              <a:schemeClr val="accent1">
                <a:lumMod val="75000"/>
              </a:schemeClr>
            </a:solidFill>
            <a:ln>
              <a:noFill/>
            </a:ln>
            <a:effectLst/>
          </c:spPr>
          <c:invertIfNegative val="0"/>
          <c:val>
            <c:numRef>
              <c:f>TEA!$Q$209</c:f>
              <c:numCache>
                <c:formatCode>_("$"* #,##0.00_);_("$"* \(#,##0.00\);_("$"* "-"??_);_(@_)</c:formatCode>
                <c:ptCount val="1"/>
                <c:pt idx="0">
                  <c:v>0.39362536669814557</c:v>
                </c:pt>
              </c:numCache>
            </c:numRef>
          </c:val>
          <c:extLst>
            <c:ext xmlns:c16="http://schemas.microsoft.com/office/drawing/2014/chart" uri="{C3380CC4-5D6E-409C-BE32-E72D297353CC}">
              <c16:uniqueId val="{00000002-8AC6-4F12-838A-63DB1C6D34A1}"/>
            </c:ext>
          </c:extLst>
        </c:ser>
        <c:ser>
          <c:idx val="2"/>
          <c:order val="2"/>
          <c:tx>
            <c:strRef>
              <c:f>TEA!$P$211</c:f>
              <c:strCache>
                <c:ptCount val="1"/>
                <c:pt idx="0">
                  <c:v>DAH</c:v>
                </c:pt>
              </c:strCache>
            </c:strRef>
          </c:tx>
          <c:spPr>
            <a:solidFill>
              <a:schemeClr val="accent1">
                <a:lumMod val="60000"/>
                <a:lumOff val="40000"/>
              </a:schemeClr>
            </a:solidFill>
            <a:ln>
              <a:noFill/>
            </a:ln>
            <a:effectLst/>
          </c:spPr>
          <c:invertIfNegative val="0"/>
          <c:val>
            <c:numRef>
              <c:f>TEA!$Q$211</c:f>
              <c:numCache>
                <c:formatCode>_("$"* #,##0.00_);_("$"* \(#,##0.00\);_("$"* "-"??_);_(@_)</c:formatCode>
                <c:ptCount val="1"/>
                <c:pt idx="0">
                  <c:v>8.5401970440692559E-2</c:v>
                </c:pt>
              </c:numCache>
            </c:numRef>
          </c:val>
          <c:extLst>
            <c:ext xmlns:c16="http://schemas.microsoft.com/office/drawing/2014/chart" uri="{C3380CC4-5D6E-409C-BE32-E72D297353CC}">
              <c16:uniqueId val="{00000003-8AC6-4F12-838A-63DB1C6D34A1}"/>
            </c:ext>
          </c:extLst>
        </c:ser>
        <c:ser>
          <c:idx val="3"/>
          <c:order val="3"/>
          <c:tx>
            <c:strRef>
              <c:f>TEA!$P$208</c:f>
              <c:strCache>
                <c:ptCount val="1"/>
                <c:pt idx="0">
                  <c:v>EH and EP</c:v>
                </c:pt>
              </c:strCache>
            </c:strRef>
          </c:tx>
          <c:spPr>
            <a:solidFill>
              <a:schemeClr val="accent1">
                <a:lumMod val="40000"/>
                <a:lumOff val="60000"/>
              </a:schemeClr>
            </a:solidFill>
            <a:ln>
              <a:noFill/>
            </a:ln>
            <a:effectLst/>
          </c:spPr>
          <c:invertIfNegative val="0"/>
          <c:val>
            <c:numRef>
              <c:f>TEA!$Q$208</c:f>
              <c:numCache>
                <c:formatCode>_("$"* #,##0.00_);_("$"* \(#,##0.00\);_("$"* "-"??_);_(@_)</c:formatCode>
                <c:ptCount val="1"/>
                <c:pt idx="0">
                  <c:v>0.30288814827221366</c:v>
                </c:pt>
              </c:numCache>
            </c:numRef>
          </c:val>
          <c:extLst>
            <c:ext xmlns:c16="http://schemas.microsoft.com/office/drawing/2014/chart" uri="{C3380CC4-5D6E-409C-BE32-E72D297353CC}">
              <c16:uniqueId val="{00000004-8AC6-4F12-838A-63DB1C6D34A1}"/>
            </c:ext>
          </c:extLst>
        </c:ser>
        <c:ser>
          <c:idx val="4"/>
          <c:order val="4"/>
          <c:tx>
            <c:strRef>
              <c:f>TEA!$P$210</c:f>
              <c:strCache>
                <c:ptCount val="1"/>
                <c:pt idx="0">
                  <c:v>Waste Treat/Other Conv</c:v>
                </c:pt>
              </c:strCache>
            </c:strRef>
          </c:tx>
          <c:spPr>
            <a:solidFill>
              <a:schemeClr val="accent1">
                <a:lumMod val="20000"/>
                <a:lumOff val="80000"/>
              </a:schemeClr>
            </a:solidFill>
            <a:ln>
              <a:noFill/>
            </a:ln>
            <a:effectLst/>
          </c:spPr>
          <c:invertIfNegative val="0"/>
          <c:val>
            <c:numRef>
              <c:f>TEA!$Q$210</c:f>
              <c:numCache>
                <c:formatCode>_("$"* #,##0.00_);_("$"* \(#,##0.00\);_("$"* "-"??_);_(@_)</c:formatCode>
                <c:ptCount val="1"/>
                <c:pt idx="0">
                  <c:v>0.10821035427598241</c:v>
                </c:pt>
              </c:numCache>
            </c:numRef>
          </c:val>
          <c:extLst>
            <c:ext xmlns:c16="http://schemas.microsoft.com/office/drawing/2014/chart" uri="{C3380CC4-5D6E-409C-BE32-E72D297353CC}">
              <c16:uniqueId val="{00000005-8AC6-4F12-838A-63DB1C6D34A1}"/>
            </c:ext>
          </c:extLst>
        </c:ser>
        <c:ser>
          <c:idx val="5"/>
          <c:order val="5"/>
          <c:tx>
            <c:strRef>
              <c:f>TEA!$P$206</c:f>
              <c:strCache>
                <c:ptCount val="1"/>
                <c:pt idx="0">
                  <c:v>Feedstock</c:v>
                </c:pt>
              </c:strCache>
            </c:strRef>
          </c:tx>
          <c:spPr>
            <a:solidFill>
              <a:srgbClr val="00A400"/>
            </a:solidFill>
            <a:ln>
              <a:noFill/>
            </a:ln>
            <a:effectLst/>
          </c:spPr>
          <c:invertIfNegative val="0"/>
          <c:val>
            <c:numRef>
              <c:f>TEA!$Q$206</c:f>
              <c:numCache>
                <c:formatCode>_("$"* #,##0.00_);_("$"* \(#,##0.00\);_("$"* "-"??_);_(@_)</c:formatCode>
                <c:ptCount val="1"/>
                <c:pt idx="0">
                  <c:v>0.81823535415144177</c:v>
                </c:pt>
              </c:numCache>
            </c:numRef>
          </c:val>
          <c:extLst>
            <c:ext xmlns:c16="http://schemas.microsoft.com/office/drawing/2014/chart" uri="{C3380CC4-5D6E-409C-BE32-E72D297353CC}">
              <c16:uniqueId val="{00000006-8AC6-4F12-838A-63DB1C6D34A1}"/>
            </c:ext>
          </c:extLst>
        </c:ser>
        <c:ser>
          <c:idx val="6"/>
          <c:order val="6"/>
          <c:tx>
            <c:strRef>
              <c:f>TEA!$P$212</c:f>
              <c:strCache>
                <c:ptCount val="1"/>
                <c:pt idx="0">
                  <c:v>Electricity Credit</c:v>
                </c:pt>
              </c:strCache>
            </c:strRef>
          </c:tx>
          <c:spPr>
            <a:solidFill>
              <a:srgbClr val="FFFF00"/>
            </a:solidFill>
            <a:ln>
              <a:noFill/>
            </a:ln>
            <a:effectLst/>
          </c:spPr>
          <c:invertIfNegative val="0"/>
          <c:val>
            <c:numRef>
              <c:f>TEA!$Q$212</c:f>
              <c:numCache>
                <c:formatCode>_("$"* #,##0.00_);_("$"* \(#,##0.00\);_("$"* "-"??_);_(@_)</c:formatCode>
                <c:ptCount val="1"/>
                <c:pt idx="0">
                  <c:v>-7.9600533869328235E-2</c:v>
                </c:pt>
              </c:numCache>
            </c:numRef>
          </c:val>
          <c:extLst>
            <c:ext xmlns:c16="http://schemas.microsoft.com/office/drawing/2014/chart" uri="{C3380CC4-5D6E-409C-BE32-E72D297353CC}">
              <c16:uniqueId val="{00000007-8AC6-4F12-838A-63DB1C6D34A1}"/>
            </c:ext>
          </c:extLst>
        </c:ser>
        <c:dLbls>
          <c:showLegendKey val="0"/>
          <c:showVal val="0"/>
          <c:showCatName val="0"/>
          <c:showSerName val="0"/>
          <c:showPercent val="0"/>
          <c:showBubbleSize val="0"/>
        </c:dLbls>
        <c:gapWidth val="150"/>
        <c:overlap val="100"/>
        <c:axId val="600463872"/>
        <c:axId val="600463216"/>
      </c:barChart>
      <c:scatterChart>
        <c:scatterStyle val="lineMarker"/>
        <c:varyColors val="0"/>
        <c:ser>
          <c:idx val="7"/>
          <c:order val="7"/>
          <c:tx>
            <c:strRef>
              <c:f>TEA!$P$213</c:f>
              <c:strCache>
                <c:ptCount val="1"/>
                <c:pt idx="0">
                  <c:v>Total Cost</c:v>
                </c:pt>
              </c:strCache>
            </c:strRef>
          </c:tx>
          <c:spPr>
            <a:ln w="25400" cap="rnd">
              <a:noFill/>
              <a:round/>
            </a:ln>
            <a:effectLst/>
          </c:spPr>
          <c:marker>
            <c:symbol val="diamond"/>
            <c:size val="12"/>
            <c:spPr>
              <a:solidFill>
                <a:srgbClr val="FFC000"/>
              </a:solidFill>
              <a:ln w="9525">
                <a:solidFill>
                  <a:srgbClr val="FFC000"/>
                </a:solidFill>
              </a:ln>
              <a:effectLst/>
            </c:spPr>
          </c:marker>
          <c:dLbls>
            <c:dLbl>
              <c:idx val="0"/>
              <c:layout>
                <c:manualLayout>
                  <c:x val="0.23992624067986851"/>
                  <c:y val="-1.8509786888579085E-3"/>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0B8F6400-C32F-4F10-AC72-A7E7536A2635}" type="YVALUE">
                      <a:rPr lang="en-US" sz="2400"/>
                      <a:pPr>
                        <a:defRPr/>
                      </a:pPr>
                      <a:t>[Y VALUE]</a:t>
                    </a:fld>
                    <a:endParaRPr lang="en-US"/>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9177949370640585"/>
                      <c:h val="5.5503854049685421E-2"/>
                    </c:manualLayout>
                  </c15:layout>
                  <c15:dlblFieldTable/>
                  <c15:showDataLabelsRange val="0"/>
                </c:ext>
                <c:ext xmlns:c16="http://schemas.microsoft.com/office/drawing/2014/chart" uri="{C3380CC4-5D6E-409C-BE32-E72D297353CC}">
                  <c16:uniqueId val="{00000003-B853-4B6A-864B-019A07241D1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yVal>
            <c:numRef>
              <c:f>TEA!$Q$213</c:f>
              <c:numCache>
                <c:formatCode>_("$"* #,##0.00_);_("$"* \(#,##0.00\);_("$"* "-"??_);_(@_)</c:formatCode>
                <c:ptCount val="1"/>
                <c:pt idx="0">
                  <c:v>2.4307930833445983</c:v>
                </c:pt>
              </c:numCache>
            </c:numRef>
          </c:yVal>
          <c:smooth val="0"/>
          <c:extLst>
            <c:ext xmlns:c16="http://schemas.microsoft.com/office/drawing/2014/chart" uri="{C3380CC4-5D6E-409C-BE32-E72D297353CC}">
              <c16:uniqueId val="{00000008-8AC6-4F12-838A-63DB1C6D34A1}"/>
            </c:ext>
          </c:extLst>
        </c:ser>
        <c:dLbls>
          <c:showLegendKey val="0"/>
          <c:showVal val="0"/>
          <c:showCatName val="0"/>
          <c:showSerName val="0"/>
          <c:showPercent val="0"/>
          <c:showBubbleSize val="0"/>
        </c:dLbls>
        <c:axId val="600463872"/>
        <c:axId val="600463216"/>
      </c:scatterChart>
      <c:catAx>
        <c:axId val="600463872"/>
        <c:scaling>
          <c:orientation val="minMax"/>
        </c:scaling>
        <c:delete val="0"/>
        <c:axPos val="b"/>
        <c:numFmt formatCode="General" sourceLinked="1"/>
        <c:majorTickMark val="none"/>
        <c:minorTickMark val="none"/>
        <c:tickLblPos val="none"/>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0463216"/>
        <c:crosses val="autoZero"/>
        <c:auto val="1"/>
        <c:lblAlgn val="ctr"/>
        <c:lblOffset val="100"/>
        <c:noMultiLvlLbl val="0"/>
      </c:catAx>
      <c:valAx>
        <c:axId val="60046321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0463872"/>
        <c:crosses val="autoZero"/>
        <c:crossBetween val="between"/>
      </c:valAx>
      <c:spPr>
        <a:noFill/>
        <a:ln>
          <a:noFill/>
        </a:ln>
        <a:effectLst/>
      </c:spPr>
    </c:plotArea>
    <c:legend>
      <c:legendPos val="b"/>
      <c:layout>
        <c:manualLayout>
          <c:xMode val="edge"/>
          <c:yMode val="edge"/>
          <c:x val="0.05"/>
          <c:y val="0.77646483814870182"/>
          <c:w val="0.9"/>
          <c:h val="0.21242871525765017"/>
        </c:manualLayout>
      </c:layout>
      <c:overlay val="0"/>
      <c:spPr>
        <a:noFill/>
        <a:ln>
          <a:noFill/>
        </a:ln>
        <a:effectLst/>
      </c:spPr>
      <c:txPr>
        <a:bodyPr rot="0" spcFirstLastPara="1" vertOverflow="ellipsis" vert="horz" wrap="square" anchor="ctr" anchorCtr="1"/>
        <a:lstStyle/>
        <a:p>
          <a:pPr>
            <a:defRPr sz="175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800"/>
              <a:t>MESP</a:t>
            </a:r>
            <a:r>
              <a:rPr lang="en-US" sz="2800" baseline="0"/>
              <a:t> Contributor Breakdown</a:t>
            </a:r>
            <a:endParaRPr lang="en-US" sz="280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9918304801507083E-2"/>
          <c:y val="8.3514450867052017E-2"/>
          <c:w val="0.91213475339848527"/>
          <c:h val="0.74534905102180149"/>
        </c:manualLayout>
      </c:layout>
      <c:barChart>
        <c:barDir val="col"/>
        <c:grouping val="stacked"/>
        <c:varyColors val="0"/>
        <c:ser>
          <c:idx val="0"/>
          <c:order val="0"/>
          <c:tx>
            <c:strRef>
              <c:f>TEA!$R$206</c:f>
              <c:strCache>
                <c:ptCount val="1"/>
                <c:pt idx="0">
                  <c:v>Loan Total</c:v>
                </c:pt>
              </c:strCache>
            </c:strRef>
          </c:tx>
          <c:spPr>
            <a:solidFill>
              <a:schemeClr val="accent1"/>
            </a:solidFill>
            <a:ln>
              <a:noFill/>
            </a:ln>
            <a:effectLst/>
          </c:spPr>
          <c:invertIfNegative val="0"/>
          <c:val>
            <c:numRef>
              <c:f>TEA!$S$206</c:f>
              <c:numCache>
                <c:formatCode>_("$"* #,##0.00_);_("$"* \(#,##0.00\);_("$"* "-"??_);_(@_)</c:formatCode>
                <c:ptCount val="1"/>
                <c:pt idx="0">
                  <c:v>0.44574258651123566</c:v>
                </c:pt>
              </c:numCache>
            </c:numRef>
          </c:val>
          <c:extLst>
            <c:ext xmlns:c16="http://schemas.microsoft.com/office/drawing/2014/chart" uri="{C3380CC4-5D6E-409C-BE32-E72D297353CC}">
              <c16:uniqueId val="{00000000-A061-423D-81AE-A29D5DFE3439}"/>
            </c:ext>
          </c:extLst>
        </c:ser>
        <c:ser>
          <c:idx val="1"/>
          <c:order val="1"/>
          <c:tx>
            <c:strRef>
              <c:f>TEA!$R$207</c:f>
              <c:strCache>
                <c:ptCount val="1"/>
                <c:pt idx="0">
                  <c:v>Taxes</c:v>
                </c:pt>
              </c:strCache>
            </c:strRef>
          </c:tx>
          <c:spPr>
            <a:solidFill>
              <a:schemeClr val="accent2"/>
            </a:solidFill>
            <a:ln>
              <a:noFill/>
            </a:ln>
            <a:effectLst/>
          </c:spPr>
          <c:invertIfNegative val="0"/>
          <c:val>
            <c:numRef>
              <c:f>TEA!$S$207</c:f>
              <c:numCache>
                <c:formatCode>_("$"* #,##0.00_);_("$"* \(#,##0.00\);_("$"* "-"??_);_(@_)</c:formatCode>
                <c:ptCount val="1"/>
                <c:pt idx="0">
                  <c:v>9.2678112012315253E-3</c:v>
                </c:pt>
              </c:numCache>
            </c:numRef>
          </c:val>
          <c:extLst>
            <c:ext xmlns:c16="http://schemas.microsoft.com/office/drawing/2014/chart" uri="{C3380CC4-5D6E-409C-BE32-E72D297353CC}">
              <c16:uniqueId val="{00000001-A061-423D-81AE-A29D5DFE3439}"/>
            </c:ext>
          </c:extLst>
        </c:ser>
        <c:ser>
          <c:idx val="2"/>
          <c:order val="2"/>
          <c:tx>
            <c:strRef>
              <c:f>TEA!$R$208</c:f>
              <c:strCache>
                <c:ptCount val="1"/>
                <c:pt idx="0">
                  <c:v>Equip/Facilities</c:v>
                </c:pt>
              </c:strCache>
            </c:strRef>
          </c:tx>
          <c:spPr>
            <a:solidFill>
              <a:schemeClr val="accent3"/>
            </a:solidFill>
            <a:ln>
              <a:noFill/>
            </a:ln>
            <a:effectLst/>
          </c:spPr>
          <c:invertIfNegative val="0"/>
          <c:val>
            <c:numRef>
              <c:f>TEA!$S$208</c:f>
              <c:numCache>
                <c:formatCode>_("$"* #,##0.00_);_("$"* \(#,##0.00\);_("$"* "-"??_);_(@_)</c:formatCode>
                <c:ptCount val="1"/>
                <c:pt idx="0">
                  <c:v>0.34943339975125892</c:v>
                </c:pt>
              </c:numCache>
            </c:numRef>
          </c:val>
          <c:extLst>
            <c:ext xmlns:c16="http://schemas.microsoft.com/office/drawing/2014/chart" uri="{C3380CC4-5D6E-409C-BE32-E72D297353CC}">
              <c16:uniqueId val="{00000002-A061-423D-81AE-A29D5DFE3439}"/>
            </c:ext>
          </c:extLst>
        </c:ser>
        <c:ser>
          <c:idx val="3"/>
          <c:order val="3"/>
          <c:tx>
            <c:strRef>
              <c:f>TEA!$R$209</c:f>
              <c:strCache>
                <c:ptCount val="1"/>
                <c:pt idx="0">
                  <c:v>Land Cost</c:v>
                </c:pt>
              </c:strCache>
            </c:strRef>
          </c:tx>
          <c:spPr>
            <a:solidFill>
              <a:schemeClr val="accent4"/>
            </a:solidFill>
            <a:ln>
              <a:noFill/>
            </a:ln>
            <a:effectLst/>
          </c:spPr>
          <c:invertIfNegative val="0"/>
          <c:val>
            <c:numRef>
              <c:f>TEA!$S$209</c:f>
              <c:numCache>
                <c:formatCode>_("$"* #,##0.00_);_("$"* \(#,##0.00\);_("$"* "-"??_);_(@_)</c:formatCode>
                <c:ptCount val="1"/>
                <c:pt idx="0">
                  <c:v>6.8564371129560264E-3</c:v>
                </c:pt>
              </c:numCache>
            </c:numRef>
          </c:val>
          <c:extLst>
            <c:ext xmlns:c16="http://schemas.microsoft.com/office/drawing/2014/chart" uri="{C3380CC4-5D6E-409C-BE32-E72D297353CC}">
              <c16:uniqueId val="{00000003-A061-423D-81AE-A29D5DFE3439}"/>
            </c:ext>
          </c:extLst>
        </c:ser>
        <c:ser>
          <c:idx val="4"/>
          <c:order val="4"/>
          <c:tx>
            <c:strRef>
              <c:f>TEA!$R$210</c:f>
              <c:strCache>
                <c:ptCount val="1"/>
                <c:pt idx="0">
                  <c:v>H2O (DAH)</c:v>
                </c:pt>
              </c:strCache>
            </c:strRef>
          </c:tx>
          <c:spPr>
            <a:solidFill>
              <a:schemeClr val="accent5"/>
            </a:solidFill>
            <a:ln>
              <a:noFill/>
            </a:ln>
            <a:effectLst/>
          </c:spPr>
          <c:invertIfNegative val="0"/>
          <c:val>
            <c:numRef>
              <c:f>TEA!$S$210</c:f>
              <c:numCache>
                <c:formatCode>_("$"* #,##0.00_);_("$"* \(#,##0.00\);_("$"* "-"??_);_(@_)</c:formatCode>
                <c:ptCount val="1"/>
                <c:pt idx="0">
                  <c:v>8.7778889487367083E-3</c:v>
                </c:pt>
              </c:numCache>
            </c:numRef>
          </c:val>
          <c:extLst>
            <c:ext xmlns:c16="http://schemas.microsoft.com/office/drawing/2014/chart" uri="{C3380CC4-5D6E-409C-BE32-E72D297353CC}">
              <c16:uniqueId val="{00000004-A061-423D-81AE-A29D5DFE3439}"/>
            </c:ext>
          </c:extLst>
        </c:ser>
        <c:ser>
          <c:idx val="5"/>
          <c:order val="5"/>
          <c:tx>
            <c:strRef>
              <c:f>TEA!$R$211</c:f>
              <c:strCache>
                <c:ptCount val="1"/>
                <c:pt idx="0">
                  <c:v>H2SO4 (DAH)</c:v>
                </c:pt>
              </c:strCache>
            </c:strRef>
          </c:tx>
          <c:spPr>
            <a:solidFill>
              <a:schemeClr val="accent6"/>
            </a:solidFill>
            <a:ln>
              <a:noFill/>
            </a:ln>
            <a:effectLst/>
          </c:spPr>
          <c:invertIfNegative val="0"/>
          <c:val>
            <c:numRef>
              <c:f>TEA!$S$211</c:f>
              <c:numCache>
                <c:formatCode>_("$"* #,##0.00_);_("$"* \(#,##0.00\);_("$"* "-"??_);_(@_)</c:formatCode>
                <c:ptCount val="1"/>
                <c:pt idx="0">
                  <c:v>2.8019021524367572E-2</c:v>
                </c:pt>
              </c:numCache>
            </c:numRef>
          </c:val>
          <c:extLst>
            <c:ext xmlns:c16="http://schemas.microsoft.com/office/drawing/2014/chart" uri="{C3380CC4-5D6E-409C-BE32-E72D297353CC}">
              <c16:uniqueId val="{00000005-A061-423D-81AE-A29D5DFE3439}"/>
            </c:ext>
          </c:extLst>
        </c:ser>
        <c:ser>
          <c:idx val="6"/>
          <c:order val="6"/>
          <c:tx>
            <c:strRef>
              <c:f>TEA!$R$212</c:f>
              <c:strCache>
                <c:ptCount val="1"/>
                <c:pt idx="0">
                  <c:v>NH3 (DAH)</c:v>
                </c:pt>
              </c:strCache>
            </c:strRef>
          </c:tx>
          <c:spPr>
            <a:solidFill>
              <a:schemeClr val="accent1">
                <a:lumMod val="60000"/>
              </a:schemeClr>
            </a:solidFill>
            <a:ln>
              <a:noFill/>
            </a:ln>
            <a:effectLst/>
          </c:spPr>
          <c:invertIfNegative val="0"/>
          <c:val>
            <c:numRef>
              <c:f>TEA!$S$212</c:f>
              <c:numCache>
                <c:formatCode>_("$"* #,##0.00_);_("$"* \(#,##0.00\);_("$"* "-"??_);_(@_)</c:formatCode>
                <c:ptCount val="1"/>
                <c:pt idx="0">
                  <c:v>4.8605059967588279E-2</c:v>
                </c:pt>
              </c:numCache>
            </c:numRef>
          </c:val>
          <c:extLst>
            <c:ext xmlns:c16="http://schemas.microsoft.com/office/drawing/2014/chart" uri="{C3380CC4-5D6E-409C-BE32-E72D297353CC}">
              <c16:uniqueId val="{00000006-A061-423D-81AE-A29D5DFE3439}"/>
            </c:ext>
          </c:extLst>
        </c:ser>
        <c:ser>
          <c:idx val="7"/>
          <c:order val="7"/>
          <c:tx>
            <c:strRef>
              <c:f>TEA!$R$213</c:f>
              <c:strCache>
                <c:ptCount val="1"/>
                <c:pt idx="0">
                  <c:v>H2O (EH)</c:v>
                </c:pt>
              </c:strCache>
            </c:strRef>
          </c:tx>
          <c:spPr>
            <a:solidFill>
              <a:schemeClr val="accent2">
                <a:lumMod val="60000"/>
              </a:schemeClr>
            </a:solidFill>
            <a:ln w="25400">
              <a:noFill/>
            </a:ln>
            <a:effectLst/>
          </c:spPr>
          <c:invertIfNegative val="0"/>
          <c:val>
            <c:numRef>
              <c:f>TEA!$S$213</c:f>
              <c:numCache>
                <c:formatCode>_("$"* #,##0.00_);_("$"* \(#,##0.00\);_("$"* "-"??_);_(@_)</c:formatCode>
                <c:ptCount val="1"/>
                <c:pt idx="0">
                  <c:v>8.5408859471208156E-3</c:v>
                </c:pt>
              </c:numCache>
            </c:numRef>
          </c:val>
          <c:extLst>
            <c:ext xmlns:c16="http://schemas.microsoft.com/office/drawing/2014/chart" uri="{C3380CC4-5D6E-409C-BE32-E72D297353CC}">
              <c16:uniqueId val="{00000008-A061-423D-81AE-A29D5DFE3439}"/>
            </c:ext>
          </c:extLst>
        </c:ser>
        <c:ser>
          <c:idx val="8"/>
          <c:order val="8"/>
          <c:tx>
            <c:strRef>
              <c:f>TEA!$R$214</c:f>
              <c:strCache>
                <c:ptCount val="1"/>
                <c:pt idx="0">
                  <c:v>Diammonium Phosphate (DAP)</c:v>
                </c:pt>
              </c:strCache>
            </c:strRef>
          </c:tx>
          <c:spPr>
            <a:solidFill>
              <a:schemeClr val="accent3">
                <a:lumMod val="60000"/>
              </a:schemeClr>
            </a:solidFill>
            <a:ln w="25400">
              <a:noFill/>
            </a:ln>
            <a:effectLst/>
          </c:spPr>
          <c:invertIfNegative val="0"/>
          <c:val>
            <c:numRef>
              <c:f>TEA!$S$214</c:f>
              <c:numCache>
                <c:formatCode>_("$"* #,##0.00_);_("$"* \(#,##0.00\);_("$"* "-"??_);_(@_)</c:formatCode>
                <c:ptCount val="1"/>
                <c:pt idx="0">
                  <c:v>1.5839118956540218E-2</c:v>
                </c:pt>
              </c:numCache>
            </c:numRef>
          </c:val>
          <c:extLst>
            <c:ext xmlns:c16="http://schemas.microsoft.com/office/drawing/2014/chart" uri="{C3380CC4-5D6E-409C-BE32-E72D297353CC}">
              <c16:uniqueId val="{0000000A-A061-423D-81AE-A29D5DFE3439}"/>
            </c:ext>
          </c:extLst>
        </c:ser>
        <c:ser>
          <c:idx val="9"/>
          <c:order val="9"/>
          <c:tx>
            <c:strRef>
              <c:f>TEA!$R$215</c:f>
              <c:strCache>
                <c:ptCount val="1"/>
                <c:pt idx="0">
                  <c:v>Glucose</c:v>
                </c:pt>
              </c:strCache>
            </c:strRef>
          </c:tx>
          <c:spPr>
            <a:solidFill>
              <a:schemeClr val="accent4">
                <a:lumMod val="60000"/>
              </a:schemeClr>
            </a:solidFill>
            <a:ln w="25400">
              <a:noFill/>
            </a:ln>
            <a:effectLst/>
          </c:spPr>
          <c:invertIfNegative val="0"/>
          <c:val>
            <c:numRef>
              <c:f>TEA!$S$215</c:f>
              <c:numCache>
                <c:formatCode>_("$"* #,##0.00_);_("$"* \(#,##0.00\);_("$"* "-"??_);_(@_)</c:formatCode>
                <c:ptCount val="1"/>
                <c:pt idx="0">
                  <c:v>0.14683257971937796</c:v>
                </c:pt>
              </c:numCache>
            </c:numRef>
          </c:val>
          <c:extLst>
            <c:ext xmlns:c16="http://schemas.microsoft.com/office/drawing/2014/chart" uri="{C3380CC4-5D6E-409C-BE32-E72D297353CC}">
              <c16:uniqueId val="{0000000B-A061-423D-81AE-A29D5DFE3439}"/>
            </c:ext>
          </c:extLst>
        </c:ser>
        <c:ser>
          <c:idx val="10"/>
          <c:order val="10"/>
          <c:tx>
            <c:strRef>
              <c:f>TEA!$R$216</c:f>
              <c:strCache>
                <c:ptCount val="1"/>
                <c:pt idx="0">
                  <c:v>NH3 (EP)</c:v>
                </c:pt>
              </c:strCache>
            </c:strRef>
          </c:tx>
          <c:spPr>
            <a:solidFill>
              <a:schemeClr val="accent5">
                <a:lumMod val="60000"/>
              </a:schemeClr>
            </a:solidFill>
            <a:ln w="25400">
              <a:noFill/>
            </a:ln>
            <a:effectLst/>
          </c:spPr>
          <c:invertIfNegative val="0"/>
          <c:val>
            <c:numRef>
              <c:f>TEA!$S$216</c:f>
              <c:numCache>
                <c:formatCode>_("$"* #,##0.00_);_("$"* \(#,##0.00\);_("$"* "-"??_);_(@_)</c:formatCode>
                <c:ptCount val="1"/>
                <c:pt idx="0">
                  <c:v>4.8605059967588276E-3</c:v>
                </c:pt>
              </c:numCache>
            </c:numRef>
          </c:val>
          <c:extLst>
            <c:ext xmlns:c16="http://schemas.microsoft.com/office/drawing/2014/chart" uri="{C3380CC4-5D6E-409C-BE32-E72D297353CC}">
              <c16:uniqueId val="{0000000C-A061-423D-81AE-A29D5DFE3439}"/>
            </c:ext>
          </c:extLst>
        </c:ser>
        <c:ser>
          <c:idx val="11"/>
          <c:order val="11"/>
          <c:tx>
            <c:strRef>
              <c:f>TEA!$R$217</c:f>
              <c:strCache>
                <c:ptCount val="1"/>
                <c:pt idx="0">
                  <c:v>SO2</c:v>
                </c:pt>
              </c:strCache>
            </c:strRef>
          </c:tx>
          <c:spPr>
            <a:solidFill>
              <a:schemeClr val="accent6">
                <a:lumMod val="60000"/>
              </a:schemeClr>
            </a:solidFill>
            <a:ln w="25400">
              <a:noFill/>
            </a:ln>
            <a:effectLst/>
          </c:spPr>
          <c:invertIfNegative val="0"/>
          <c:val>
            <c:numRef>
              <c:f>TEA!$S$217</c:f>
              <c:numCache>
                <c:formatCode>_("$"* #,##0.00_);_("$"* \(#,##0.00\);_("$"* "-"??_);_(@_)</c:formatCode>
                <c:ptCount val="1"/>
                <c:pt idx="0">
                  <c:v>5.0618680123174138E-4</c:v>
                </c:pt>
              </c:numCache>
            </c:numRef>
          </c:val>
          <c:extLst>
            <c:ext xmlns:c16="http://schemas.microsoft.com/office/drawing/2014/chart" uri="{C3380CC4-5D6E-409C-BE32-E72D297353CC}">
              <c16:uniqueId val="{0000000D-A061-423D-81AE-A29D5DFE3439}"/>
            </c:ext>
          </c:extLst>
        </c:ser>
        <c:ser>
          <c:idx val="12"/>
          <c:order val="12"/>
          <c:tx>
            <c:strRef>
              <c:f>TEA!$R$218</c:f>
              <c:strCache>
                <c:ptCount val="1"/>
                <c:pt idx="0">
                  <c:v>CSL</c:v>
                </c:pt>
              </c:strCache>
            </c:strRef>
          </c:tx>
          <c:spPr>
            <a:solidFill>
              <a:schemeClr val="accent1">
                <a:lumMod val="80000"/>
                <a:lumOff val="20000"/>
              </a:schemeClr>
            </a:solidFill>
            <a:ln w="25400">
              <a:noFill/>
            </a:ln>
            <a:effectLst/>
          </c:spPr>
          <c:invertIfNegative val="0"/>
          <c:val>
            <c:numRef>
              <c:f>TEA!$S$218</c:f>
              <c:numCache>
                <c:formatCode>_("$"* #,##0.00_);_("$"* \(#,##0.00\);_("$"* "-"??_);_(@_)</c:formatCode>
                <c:ptCount val="1"/>
                <c:pt idx="0">
                  <c:v>8.2677795152450023E-3</c:v>
                </c:pt>
              </c:numCache>
            </c:numRef>
          </c:val>
          <c:extLst>
            <c:ext xmlns:c16="http://schemas.microsoft.com/office/drawing/2014/chart" uri="{C3380CC4-5D6E-409C-BE32-E72D297353CC}">
              <c16:uniqueId val="{0000000E-A061-423D-81AE-A29D5DFE3439}"/>
            </c:ext>
          </c:extLst>
        </c:ser>
        <c:ser>
          <c:idx val="13"/>
          <c:order val="13"/>
          <c:tx>
            <c:strRef>
              <c:f>TEA!$R$219</c:f>
              <c:strCache>
                <c:ptCount val="1"/>
                <c:pt idx="0">
                  <c:v>Nutrients for EP</c:v>
                </c:pt>
              </c:strCache>
            </c:strRef>
          </c:tx>
          <c:spPr>
            <a:solidFill>
              <a:schemeClr val="accent2">
                <a:lumMod val="80000"/>
                <a:lumOff val="20000"/>
              </a:schemeClr>
            </a:solidFill>
            <a:ln w="25400">
              <a:noFill/>
            </a:ln>
            <a:effectLst/>
          </c:spPr>
          <c:invertIfNegative val="0"/>
          <c:val>
            <c:numRef>
              <c:f>TEA!$S$219</c:f>
              <c:numCache>
                <c:formatCode>_("$"* #,##0.00_);_("$"* \(#,##0.00\);_("$"* "-"??_);_(@_)</c:formatCode>
                <c:ptCount val="1"/>
                <c:pt idx="0">
                  <c:v>0.1180410913359391</c:v>
                </c:pt>
              </c:numCache>
            </c:numRef>
          </c:val>
          <c:extLst>
            <c:ext xmlns:c16="http://schemas.microsoft.com/office/drawing/2014/chart" uri="{C3380CC4-5D6E-409C-BE32-E72D297353CC}">
              <c16:uniqueId val="{0000000F-A061-423D-81AE-A29D5DFE3439}"/>
            </c:ext>
          </c:extLst>
        </c:ser>
        <c:ser>
          <c:idx val="14"/>
          <c:order val="14"/>
          <c:tx>
            <c:strRef>
              <c:f>TEA!$R$220</c:f>
              <c:strCache>
                <c:ptCount val="1"/>
                <c:pt idx="0">
                  <c:v>Flue Gas Desulf (FGD) Lime</c:v>
                </c:pt>
              </c:strCache>
            </c:strRef>
          </c:tx>
          <c:spPr>
            <a:solidFill>
              <a:schemeClr val="accent3">
                <a:lumMod val="80000"/>
                <a:lumOff val="20000"/>
              </a:schemeClr>
            </a:solidFill>
            <a:ln w="25400">
              <a:noFill/>
            </a:ln>
            <a:effectLst/>
          </c:spPr>
          <c:invertIfNegative val="0"/>
          <c:val>
            <c:numRef>
              <c:f>TEA!$S$220</c:f>
              <c:numCache>
                <c:formatCode>_("$"* #,##0.00_);_("$"* \(#,##0.00\);_("$"* "-"??_);_(@_)</c:formatCode>
                <c:ptCount val="1"/>
                <c:pt idx="0">
                  <c:v>3.0103386384337804E-2</c:v>
                </c:pt>
              </c:numCache>
            </c:numRef>
          </c:val>
          <c:extLst>
            <c:ext xmlns:c16="http://schemas.microsoft.com/office/drawing/2014/chart" uri="{C3380CC4-5D6E-409C-BE32-E72D297353CC}">
              <c16:uniqueId val="{00000010-A061-423D-81AE-A29D5DFE3439}"/>
            </c:ext>
          </c:extLst>
        </c:ser>
        <c:ser>
          <c:idx val="15"/>
          <c:order val="15"/>
          <c:tx>
            <c:strRef>
              <c:f>TEA!$R$221</c:f>
              <c:strCache>
                <c:ptCount val="1"/>
                <c:pt idx="0">
                  <c:v>NaOH Waste-water pH</c:v>
                </c:pt>
              </c:strCache>
            </c:strRef>
          </c:tx>
          <c:spPr>
            <a:solidFill>
              <a:schemeClr val="accent4">
                <a:lumMod val="80000"/>
                <a:lumOff val="20000"/>
              </a:schemeClr>
            </a:solidFill>
            <a:ln w="25400">
              <a:noFill/>
            </a:ln>
            <a:effectLst/>
          </c:spPr>
          <c:invertIfNegative val="0"/>
          <c:val>
            <c:numRef>
              <c:f>TEA!$S$221</c:f>
              <c:numCache>
                <c:formatCode>_("$"* #,##0.00_);_("$"* \(#,##0.00\);_("$"* "-"??_);_(@_)</c:formatCode>
                <c:ptCount val="1"/>
                <c:pt idx="0">
                  <c:v>3.4878625827755125E-2</c:v>
                </c:pt>
              </c:numCache>
            </c:numRef>
          </c:val>
          <c:extLst>
            <c:ext xmlns:c16="http://schemas.microsoft.com/office/drawing/2014/chart" uri="{C3380CC4-5D6E-409C-BE32-E72D297353CC}">
              <c16:uniqueId val="{00000011-A061-423D-81AE-A29D5DFE3439}"/>
            </c:ext>
          </c:extLst>
        </c:ser>
        <c:ser>
          <c:idx val="16"/>
          <c:order val="16"/>
          <c:tx>
            <c:strRef>
              <c:f>TEA!$R$222</c:f>
              <c:strCache>
                <c:ptCount val="1"/>
                <c:pt idx="0">
                  <c:v>Gasoline Denaturant</c:v>
                </c:pt>
              </c:strCache>
            </c:strRef>
          </c:tx>
          <c:spPr>
            <a:solidFill>
              <a:schemeClr val="accent5">
                <a:lumMod val="80000"/>
                <a:lumOff val="20000"/>
              </a:schemeClr>
            </a:solidFill>
            <a:ln w="25400">
              <a:noFill/>
            </a:ln>
            <a:effectLst/>
          </c:spPr>
          <c:invertIfNegative val="0"/>
          <c:val>
            <c:numRef>
              <c:f>TEA!$S$222</c:f>
              <c:numCache>
                <c:formatCode>_("$"* #,##0.00_);_("$"* \(#,##0.00\);_("$"* "-"??_);_(@_)</c:formatCode>
                <c:ptCount val="1"/>
                <c:pt idx="0">
                  <c:v>4.3228342063889487E-2</c:v>
                </c:pt>
              </c:numCache>
            </c:numRef>
          </c:val>
          <c:extLst>
            <c:ext xmlns:c16="http://schemas.microsoft.com/office/drawing/2014/chart" uri="{C3380CC4-5D6E-409C-BE32-E72D297353CC}">
              <c16:uniqueId val="{00000012-A061-423D-81AE-A29D5DFE3439}"/>
            </c:ext>
          </c:extLst>
        </c:ser>
        <c:ser>
          <c:idx val="17"/>
          <c:order val="17"/>
          <c:tx>
            <c:strRef>
              <c:f>TEA!$R$223</c:f>
              <c:strCache>
                <c:ptCount val="1"/>
                <c:pt idx="0">
                  <c:v>Feedstock</c:v>
                </c:pt>
              </c:strCache>
            </c:strRef>
          </c:tx>
          <c:spPr>
            <a:solidFill>
              <a:schemeClr val="accent6">
                <a:lumMod val="80000"/>
                <a:lumOff val="20000"/>
              </a:schemeClr>
            </a:solidFill>
            <a:ln w="25400">
              <a:noFill/>
            </a:ln>
            <a:effectLst/>
          </c:spPr>
          <c:invertIfNegative val="0"/>
          <c:val>
            <c:numRef>
              <c:f>TEA!$S$223</c:f>
              <c:numCache>
                <c:formatCode>_("$"* #,##0.00_);_("$"* \(#,##0.00\);_("$"* "-"??_);_(@_)</c:formatCode>
                <c:ptCount val="1"/>
                <c:pt idx="0">
                  <c:v>0.81823535415144177</c:v>
                </c:pt>
              </c:numCache>
            </c:numRef>
          </c:val>
          <c:extLst>
            <c:ext xmlns:c16="http://schemas.microsoft.com/office/drawing/2014/chart" uri="{C3380CC4-5D6E-409C-BE32-E72D297353CC}">
              <c16:uniqueId val="{00000013-A061-423D-81AE-A29D5DFE3439}"/>
            </c:ext>
          </c:extLst>
        </c:ser>
        <c:ser>
          <c:idx val="18"/>
          <c:order val="18"/>
          <c:tx>
            <c:strRef>
              <c:f>TEA!$R$224</c:f>
              <c:strCache>
                <c:ptCount val="1"/>
                <c:pt idx="0">
                  <c:v>Electricity Credit</c:v>
                </c:pt>
              </c:strCache>
            </c:strRef>
          </c:tx>
          <c:spPr>
            <a:solidFill>
              <a:srgbClr val="FFFF00"/>
            </a:solidFill>
            <a:ln w="25400">
              <a:noFill/>
            </a:ln>
            <a:effectLst/>
          </c:spPr>
          <c:invertIfNegative val="0"/>
          <c:val>
            <c:numRef>
              <c:f>TEA!$S$224</c:f>
              <c:numCache>
                <c:formatCode>_("$"* #,##0.00_);_("$"* \(#,##0.00\);_("$"* "-"??_);_(@_)</c:formatCode>
                <c:ptCount val="1"/>
                <c:pt idx="0">
                  <c:v>-7.9600533869328235E-2</c:v>
                </c:pt>
              </c:numCache>
            </c:numRef>
          </c:val>
          <c:extLst>
            <c:ext xmlns:c16="http://schemas.microsoft.com/office/drawing/2014/chart" uri="{C3380CC4-5D6E-409C-BE32-E72D297353CC}">
              <c16:uniqueId val="{00000014-A061-423D-81AE-A29D5DFE3439}"/>
            </c:ext>
          </c:extLst>
        </c:ser>
        <c:ser>
          <c:idx val="19"/>
          <c:order val="19"/>
          <c:tx>
            <c:strRef>
              <c:f>TEA!$R$225</c:f>
              <c:strCache>
                <c:ptCount val="1"/>
                <c:pt idx="0">
                  <c:v>Fixed Opex</c:v>
                </c:pt>
              </c:strCache>
            </c:strRef>
          </c:tx>
          <c:spPr>
            <a:solidFill>
              <a:schemeClr val="accent2">
                <a:lumMod val="80000"/>
              </a:schemeClr>
            </a:solidFill>
            <a:ln w="25400">
              <a:noFill/>
            </a:ln>
            <a:effectLst/>
          </c:spPr>
          <c:invertIfNegative val="0"/>
          <c:val>
            <c:numRef>
              <c:f>TEA!$S$225</c:f>
              <c:numCache>
                <c:formatCode>_("$"* #,##0.00_);_("$"* \(#,##0.00\);_("$"* "-"??_);_(@_)</c:formatCode>
                <c:ptCount val="1"/>
                <c:pt idx="0">
                  <c:v>0.38435755549691403</c:v>
                </c:pt>
              </c:numCache>
            </c:numRef>
          </c:val>
          <c:extLst>
            <c:ext xmlns:c16="http://schemas.microsoft.com/office/drawing/2014/chart" uri="{C3380CC4-5D6E-409C-BE32-E72D297353CC}">
              <c16:uniqueId val="{00000015-A061-423D-81AE-A29D5DFE3439}"/>
            </c:ext>
          </c:extLst>
        </c:ser>
        <c:dLbls>
          <c:showLegendKey val="0"/>
          <c:showVal val="0"/>
          <c:showCatName val="0"/>
          <c:showSerName val="0"/>
          <c:showPercent val="0"/>
          <c:showBubbleSize val="0"/>
        </c:dLbls>
        <c:gapWidth val="150"/>
        <c:overlap val="100"/>
        <c:axId val="600463872"/>
        <c:axId val="600463216"/>
      </c:barChart>
      <c:scatterChart>
        <c:scatterStyle val="lineMarker"/>
        <c:varyColors val="0"/>
        <c:ser>
          <c:idx val="20"/>
          <c:order val="20"/>
          <c:tx>
            <c:strRef>
              <c:f>TEA!$R$226</c:f>
              <c:strCache>
                <c:ptCount val="1"/>
                <c:pt idx="0">
                  <c:v>Total Cost</c:v>
                </c:pt>
              </c:strCache>
            </c:strRef>
          </c:tx>
          <c:spPr>
            <a:ln w="25400" cap="rnd">
              <a:noFill/>
              <a:round/>
            </a:ln>
            <a:effectLst/>
          </c:spPr>
          <c:marker>
            <c:symbol val="diamond"/>
            <c:size val="10"/>
            <c:spPr>
              <a:solidFill>
                <a:srgbClr val="FFC000"/>
              </a:solidFill>
              <a:ln w="9525">
                <a:solidFill>
                  <a:schemeClr val="accent3">
                    <a:lumMod val="80000"/>
                  </a:schemeClr>
                </a:solidFill>
              </a:ln>
              <a:effectLst/>
            </c:spPr>
          </c:marker>
          <c:dLbls>
            <c:dLbl>
              <c:idx val="0"/>
              <c:layout>
                <c:manualLayout>
                  <c:x val="0.27443653291108794"/>
                  <c:y val="2.7765044713097598E-3"/>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DD4D597F-512B-46CC-BEFC-D10008407B97}" type="YVALUE">
                      <a:rPr lang="en-US" sz="1800"/>
                      <a:pPr>
                        <a:defRPr/>
                      </a:pPr>
                      <a:t>[Y VALUE]</a:t>
                    </a:fld>
                    <a:endParaRPr lang="en-US"/>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2336922753146796"/>
                      <c:h val="3.8844389965551486E-2"/>
                    </c:manualLayout>
                  </c15:layout>
                  <c15:dlblFieldTable/>
                  <c15:showDataLabelsRange val="0"/>
                </c:ext>
                <c:ext xmlns:c16="http://schemas.microsoft.com/office/drawing/2014/chart" uri="{C3380CC4-5D6E-409C-BE32-E72D297353CC}">
                  <c16:uniqueId val="{00000017-A061-423D-81AE-A29D5DFE343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yVal>
            <c:numRef>
              <c:f>TEA!$S$226</c:f>
              <c:numCache>
                <c:formatCode>_("$"* #,##0.00_);_("$"* \(#,##0.00\);_("$"* "-"??_);_(@_)</c:formatCode>
                <c:ptCount val="1"/>
                <c:pt idx="0">
                  <c:v>2.4307930833445979</c:v>
                </c:pt>
              </c:numCache>
            </c:numRef>
          </c:yVal>
          <c:smooth val="0"/>
          <c:extLst>
            <c:ext xmlns:c16="http://schemas.microsoft.com/office/drawing/2014/chart" uri="{C3380CC4-5D6E-409C-BE32-E72D297353CC}">
              <c16:uniqueId val="{00000016-A061-423D-81AE-A29D5DFE3439}"/>
            </c:ext>
          </c:extLst>
        </c:ser>
        <c:dLbls>
          <c:showLegendKey val="0"/>
          <c:showVal val="0"/>
          <c:showCatName val="0"/>
          <c:showSerName val="0"/>
          <c:showPercent val="0"/>
          <c:showBubbleSize val="0"/>
        </c:dLbls>
        <c:axId val="600463872"/>
        <c:axId val="600463216"/>
      </c:scatterChart>
      <c:catAx>
        <c:axId val="600463872"/>
        <c:scaling>
          <c:orientation val="minMax"/>
        </c:scaling>
        <c:delete val="0"/>
        <c:axPos val="b"/>
        <c:numFmt formatCode="General" sourceLinked="1"/>
        <c:majorTickMark val="none"/>
        <c:minorTickMark val="none"/>
        <c:tickLblPos val="none"/>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0463216"/>
        <c:crosses val="autoZero"/>
        <c:auto val="1"/>
        <c:lblAlgn val="ctr"/>
        <c:lblOffset val="100"/>
        <c:noMultiLvlLbl val="0"/>
      </c:catAx>
      <c:valAx>
        <c:axId val="60046321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0463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B82-4116-9B12-5454C011308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B82-4116-9B12-5454C011308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B82-4116-9B12-5454C011308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B82-4116-9B12-5454C011308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B82-4116-9B12-5454C0113089}"/>
              </c:ext>
            </c:extLst>
          </c:dPt>
          <c:cat>
            <c:strRef>
              <c:f>TEA!$R$14:$V$14</c:f>
              <c:strCache>
                <c:ptCount val="5"/>
                <c:pt idx="0">
                  <c:v>Harvesting Cost</c:v>
                </c:pt>
                <c:pt idx="1">
                  <c:v>Transportation Cost</c:v>
                </c:pt>
                <c:pt idx="2">
                  <c:v>Preprocessing</c:v>
                </c:pt>
                <c:pt idx="3">
                  <c:v>Fert and Other Apps</c:v>
                </c:pt>
                <c:pt idx="4">
                  <c:v>Farmer Margin</c:v>
                </c:pt>
              </c:strCache>
            </c:strRef>
          </c:cat>
          <c:val>
            <c:numRef>
              <c:f>TEA!$R$15:$V$15</c:f>
              <c:numCache>
                <c:formatCode>General</c:formatCode>
                <c:ptCount val="5"/>
                <c:pt idx="0">
                  <c:v>0.21741028591943512</c:v>
                </c:pt>
                <c:pt idx="1">
                  <c:v>0.13167219380132109</c:v>
                </c:pt>
                <c:pt idx="2">
                  <c:v>6.9718940150047481E-2</c:v>
                </c:pt>
                <c:pt idx="3">
                  <c:v>0.58119858012919634</c:v>
                </c:pt>
                <c:pt idx="4">
                  <c:v>0</c:v>
                </c:pt>
              </c:numCache>
            </c:numRef>
          </c:val>
          <c:extLst>
            <c:ext xmlns:c16="http://schemas.microsoft.com/office/drawing/2014/chart" uri="{C3380CC4-5D6E-409C-BE32-E72D297353CC}">
              <c16:uniqueId val="{00000000-83BA-455E-AB7C-0F239164958A}"/>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MESP</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'Sensitivity Analysis'!$D$28</c:f>
              <c:strCache>
                <c:ptCount val="1"/>
                <c:pt idx="0">
                  <c:v>-20%</c:v>
                </c:pt>
              </c:strCache>
            </c:strRef>
          </c:tx>
          <c:spPr>
            <a:solidFill>
              <a:schemeClr val="accent1"/>
            </a:solidFill>
            <a:ln>
              <a:noFill/>
            </a:ln>
            <a:effectLst/>
          </c:spPr>
          <c:invertIfNegative val="0"/>
          <c:cat>
            <c:strRef>
              <c:extLst>
                <c:ext xmlns:c15="http://schemas.microsoft.com/office/drawing/2012/chart" uri="{02D57815-91ED-43cb-92C2-25804820EDAC}">
                  <c15:fullRef>
                    <c15:sqref>'Sensitivity Analysis'!$C$29:$C$39</c15:sqref>
                  </c15:fullRef>
                </c:ext>
              </c:extLst>
              <c:f>('Sensitivity Analysis'!$C$29:$C$35,'Sensitivity Analysis'!$C$37:$C$38)</c:f>
              <c:strCache>
                <c:ptCount val="9"/>
                <c:pt idx="0">
                  <c:v>N Up</c:v>
                </c:pt>
                <c:pt idx="1">
                  <c:v>P Up</c:v>
                </c:pt>
                <c:pt idx="2">
                  <c:v>K Up</c:v>
                </c:pt>
                <c:pt idx="3">
                  <c:v>P App</c:v>
                </c:pt>
                <c:pt idx="4">
                  <c:v>K App</c:v>
                </c:pt>
                <c:pt idx="5">
                  <c:v>N App</c:v>
                </c:pt>
                <c:pt idx="6">
                  <c:v>Seeds</c:v>
                </c:pt>
                <c:pt idx="7">
                  <c:v>% Collected</c:v>
                </c:pt>
                <c:pt idx="8">
                  <c:v>Rainwater (in)</c:v>
                </c:pt>
              </c:strCache>
            </c:strRef>
          </c:cat>
          <c:val>
            <c:numRef>
              <c:extLst>
                <c:ext xmlns:c15="http://schemas.microsoft.com/office/drawing/2012/chart" uri="{02D57815-91ED-43cb-92C2-25804820EDAC}">
                  <c15:fullRef>
                    <c15:sqref>'Sensitivity Analysis'!$D$29:$D$39</c15:sqref>
                  </c15:fullRef>
                </c:ext>
              </c:extLst>
              <c:f>('Sensitivity Analysis'!$D$29:$D$35,'Sensitivity Analysis'!$D$37:$D$38)</c:f>
              <c:numCache>
                <c:formatCode>General</c:formatCode>
                <c:ptCount val="9"/>
                <c:pt idx="0">
                  <c:v>2.581988708401084</c:v>
                </c:pt>
                <c:pt idx="1">
                  <c:v>2.581988708401084</c:v>
                </c:pt>
                <c:pt idx="2">
                  <c:v>2.581988708401084</c:v>
                </c:pt>
                <c:pt idx="3">
                  <c:v>2.5808661511222146</c:v>
                </c:pt>
                <c:pt idx="4">
                  <c:v>2.5701238128115373</c:v>
                </c:pt>
                <c:pt idx="5">
                  <c:v>2.5681491629850393</c:v>
                </c:pt>
                <c:pt idx="6">
                  <c:v>2.5606036340791971</c:v>
                </c:pt>
                <c:pt idx="7">
                  <c:v>2.802695672710259</c:v>
                </c:pt>
                <c:pt idx="8">
                  <c:v>2.9073487693691877</c:v>
                </c:pt>
              </c:numCache>
            </c:numRef>
          </c:val>
          <c:extLst>
            <c:ext xmlns:c16="http://schemas.microsoft.com/office/drawing/2014/chart" uri="{C3380CC4-5D6E-409C-BE32-E72D297353CC}">
              <c16:uniqueId val="{00000000-E887-48D7-B511-70148D704391}"/>
            </c:ext>
          </c:extLst>
        </c:ser>
        <c:ser>
          <c:idx val="1"/>
          <c:order val="1"/>
          <c:tx>
            <c:strRef>
              <c:f>'Sensitivity Analysis'!$E$28</c:f>
              <c:strCache>
                <c:ptCount val="1"/>
                <c:pt idx="0">
                  <c:v>20%</c:v>
                </c:pt>
              </c:strCache>
            </c:strRef>
          </c:tx>
          <c:spPr>
            <a:solidFill>
              <a:schemeClr val="accent2"/>
            </a:solidFill>
            <a:ln>
              <a:noFill/>
            </a:ln>
            <a:effectLst/>
          </c:spPr>
          <c:invertIfNegative val="0"/>
          <c:cat>
            <c:strRef>
              <c:extLst>
                <c:ext xmlns:c15="http://schemas.microsoft.com/office/drawing/2012/chart" uri="{02D57815-91ED-43cb-92C2-25804820EDAC}">
                  <c15:fullRef>
                    <c15:sqref>'Sensitivity Analysis'!$C$29:$C$39</c15:sqref>
                  </c15:fullRef>
                </c:ext>
              </c:extLst>
              <c:f>('Sensitivity Analysis'!$C$29:$C$35,'Sensitivity Analysis'!$C$37:$C$38)</c:f>
              <c:strCache>
                <c:ptCount val="9"/>
                <c:pt idx="0">
                  <c:v>N Up</c:v>
                </c:pt>
                <c:pt idx="1">
                  <c:v>P Up</c:v>
                </c:pt>
                <c:pt idx="2">
                  <c:v>K Up</c:v>
                </c:pt>
                <c:pt idx="3">
                  <c:v>P App</c:v>
                </c:pt>
                <c:pt idx="4">
                  <c:v>K App</c:v>
                </c:pt>
                <c:pt idx="5">
                  <c:v>N App</c:v>
                </c:pt>
                <c:pt idx="6">
                  <c:v>Seeds</c:v>
                </c:pt>
                <c:pt idx="7">
                  <c:v>% Collected</c:v>
                </c:pt>
                <c:pt idx="8">
                  <c:v>Rainwater (in)</c:v>
                </c:pt>
              </c:strCache>
            </c:strRef>
          </c:cat>
          <c:val>
            <c:numRef>
              <c:extLst>
                <c:ext xmlns:c15="http://schemas.microsoft.com/office/drawing/2012/chart" uri="{02D57815-91ED-43cb-92C2-25804820EDAC}">
                  <c15:fullRef>
                    <c15:sqref>'Sensitivity Analysis'!$E$29:$E$39</c15:sqref>
                  </c15:fullRef>
                </c:ext>
              </c:extLst>
              <c:f>('Sensitivity Analysis'!$E$29:$E$35,'Sensitivity Analysis'!$E$37:$E$38)</c:f>
              <c:numCache>
                <c:formatCode>General</c:formatCode>
                <c:ptCount val="9"/>
                <c:pt idx="0">
                  <c:v>2.581988708401084</c:v>
                </c:pt>
                <c:pt idx="1">
                  <c:v>2.581988708401084</c:v>
                </c:pt>
                <c:pt idx="2">
                  <c:v>2.581988708401084</c:v>
                </c:pt>
                <c:pt idx="3">
                  <c:v>2.5831112656799533</c:v>
                </c:pt>
                <c:pt idx="4">
                  <c:v>2.5938536039906306</c:v>
                </c:pt>
                <c:pt idx="5">
                  <c:v>2.5958282538171287</c:v>
                </c:pt>
                <c:pt idx="6">
                  <c:v>2.6033737827229704</c:v>
                </c:pt>
                <c:pt idx="7">
                  <c:v>2.4254075865054503</c:v>
                </c:pt>
                <c:pt idx="8">
                  <c:v>2.3631935190459958</c:v>
                </c:pt>
              </c:numCache>
            </c:numRef>
          </c:val>
          <c:extLst>
            <c:ext xmlns:c16="http://schemas.microsoft.com/office/drawing/2014/chart" uri="{C3380CC4-5D6E-409C-BE32-E72D297353CC}">
              <c16:uniqueId val="{00000001-E887-48D7-B511-70148D704391}"/>
            </c:ext>
          </c:extLst>
        </c:ser>
        <c:dLbls>
          <c:showLegendKey val="0"/>
          <c:showVal val="0"/>
          <c:showCatName val="0"/>
          <c:showSerName val="0"/>
          <c:showPercent val="0"/>
          <c:showBubbleSize val="0"/>
        </c:dLbls>
        <c:gapWidth val="82"/>
        <c:overlap val="100"/>
        <c:axId val="565609976"/>
        <c:axId val="565609648"/>
      </c:barChart>
      <c:catAx>
        <c:axId val="565609976"/>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609648"/>
        <c:crossesAt val="2.5819887080000004"/>
        <c:auto val="1"/>
        <c:lblAlgn val="ctr"/>
        <c:lblOffset val="100"/>
        <c:noMultiLvlLbl val="0"/>
      </c:catAx>
      <c:valAx>
        <c:axId val="565609648"/>
        <c:scaling>
          <c:orientation val="minMax"/>
          <c:max val="3"/>
          <c:min val="2.15"/>
        </c:scaling>
        <c:delete val="0"/>
        <c:axPos val="b"/>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609976"/>
        <c:crosses val="autoZero"/>
        <c:crossBetween val="between"/>
      </c:valAx>
      <c:spPr>
        <a:noFill/>
        <a:ln cmpd="sng">
          <a:solidFill>
            <a:schemeClr val="tx1"/>
          </a:solid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Acidification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'Sensitivity Analysis'!$O$19</c:f>
              <c:strCache>
                <c:ptCount val="1"/>
                <c:pt idx="0">
                  <c:v>-20</c:v>
                </c:pt>
              </c:strCache>
            </c:strRef>
          </c:tx>
          <c:spPr>
            <a:solidFill>
              <a:schemeClr val="accent1"/>
            </a:solidFill>
            <a:ln>
              <a:noFill/>
            </a:ln>
            <a:effectLst/>
          </c:spPr>
          <c:invertIfNegative val="0"/>
          <c:cat>
            <c:strRef>
              <c:extLst>
                <c:ext xmlns:c15="http://schemas.microsoft.com/office/drawing/2012/chart" uri="{02D57815-91ED-43cb-92C2-25804820EDAC}">
                  <c15:fullRef>
                    <c15:sqref>'Sensitivity Analysis'!$N$20:$N$30</c15:sqref>
                  </c15:fullRef>
                </c:ext>
              </c:extLst>
              <c:f>('Sensitivity Analysis'!$N$20:$N$27,'Sensitivity Analysis'!$N$29:$N$30)</c:f>
              <c:strCache>
                <c:ptCount val="10"/>
                <c:pt idx="0">
                  <c:v>Seeds</c:v>
                </c:pt>
                <c:pt idx="1">
                  <c:v>N Up</c:v>
                </c:pt>
                <c:pt idx="2">
                  <c:v>P Up</c:v>
                </c:pt>
                <c:pt idx="3">
                  <c:v>K Up</c:v>
                </c:pt>
                <c:pt idx="4">
                  <c:v>N Appl</c:v>
                </c:pt>
                <c:pt idx="5">
                  <c:v>P Appl</c:v>
                </c:pt>
                <c:pt idx="6">
                  <c:v>K Appl</c:v>
                </c:pt>
                <c:pt idx="7">
                  <c:v>Water Consumed</c:v>
                </c:pt>
                <c:pt idx="8">
                  <c:v>Percent Stover Collected</c:v>
                </c:pt>
                <c:pt idx="9">
                  <c:v>Rainwater (in.)</c:v>
                </c:pt>
              </c:strCache>
            </c:strRef>
          </c:cat>
          <c:val>
            <c:numRef>
              <c:extLst>
                <c:ext xmlns:c15="http://schemas.microsoft.com/office/drawing/2012/chart" uri="{02D57815-91ED-43cb-92C2-25804820EDAC}">
                  <c15:fullRef>
                    <c15:sqref>'Sensitivity Analysis'!$O$20:$O$30</c15:sqref>
                  </c15:fullRef>
                </c:ext>
              </c:extLst>
              <c:f>('Sensitivity Analysis'!$O$20:$O$27,'Sensitivity Analysis'!$O$29:$O$30)</c:f>
              <c:numCache>
                <c:formatCode>General</c:formatCode>
                <c:ptCount val="10"/>
                <c:pt idx="0" formatCode="0.00E+00">
                  <c:v>1.3667120597244554E-2</c:v>
                </c:pt>
                <c:pt idx="1">
                  <c:v>1.3773568942738096E-2</c:v>
                </c:pt>
                <c:pt idx="2">
                  <c:v>1.3773568942738096E-2</c:v>
                </c:pt>
                <c:pt idx="3">
                  <c:v>1.3773568942738096E-2</c:v>
                </c:pt>
                <c:pt idx="4">
                  <c:v>1.3318122240154747E-2</c:v>
                </c:pt>
                <c:pt idx="5">
                  <c:v>1.3753143287927183E-2</c:v>
                </c:pt>
                <c:pt idx="6">
                  <c:v>1.3749364564007523E-2</c:v>
                </c:pt>
                <c:pt idx="7">
                  <c:v>1.6584484395991712E-2</c:v>
                </c:pt>
                <c:pt idx="8">
                  <c:v>1.5440609710347683E-2</c:v>
                </c:pt>
                <c:pt idx="9">
                  <c:v>1.6584484395991712E-2</c:v>
                </c:pt>
              </c:numCache>
            </c:numRef>
          </c:val>
          <c:extLst>
            <c:ext xmlns:c16="http://schemas.microsoft.com/office/drawing/2014/chart" uri="{C3380CC4-5D6E-409C-BE32-E72D297353CC}">
              <c16:uniqueId val="{00000000-E887-48D7-B511-70148D704391}"/>
            </c:ext>
          </c:extLst>
        </c:ser>
        <c:ser>
          <c:idx val="1"/>
          <c:order val="1"/>
          <c:tx>
            <c:strRef>
              <c:f>'Sensitivity Analysis'!$P$19</c:f>
              <c:strCache>
                <c:ptCount val="1"/>
                <c:pt idx="0">
                  <c:v>20</c:v>
                </c:pt>
              </c:strCache>
            </c:strRef>
          </c:tx>
          <c:spPr>
            <a:solidFill>
              <a:schemeClr val="accent2"/>
            </a:solidFill>
            <a:ln>
              <a:noFill/>
            </a:ln>
            <a:effectLst/>
          </c:spPr>
          <c:invertIfNegative val="0"/>
          <c:cat>
            <c:strRef>
              <c:extLst>
                <c:ext xmlns:c15="http://schemas.microsoft.com/office/drawing/2012/chart" uri="{02D57815-91ED-43cb-92C2-25804820EDAC}">
                  <c15:fullRef>
                    <c15:sqref>'Sensitivity Analysis'!$N$20:$N$30</c15:sqref>
                  </c15:fullRef>
                </c:ext>
              </c:extLst>
              <c:f>('Sensitivity Analysis'!$N$20:$N$27,'Sensitivity Analysis'!$N$29:$N$30)</c:f>
              <c:strCache>
                <c:ptCount val="10"/>
                <c:pt idx="0">
                  <c:v>Seeds</c:v>
                </c:pt>
                <c:pt idx="1">
                  <c:v>N Up</c:v>
                </c:pt>
                <c:pt idx="2">
                  <c:v>P Up</c:v>
                </c:pt>
                <c:pt idx="3">
                  <c:v>K Up</c:v>
                </c:pt>
                <c:pt idx="4">
                  <c:v>N Appl</c:v>
                </c:pt>
                <c:pt idx="5">
                  <c:v>P Appl</c:v>
                </c:pt>
                <c:pt idx="6">
                  <c:v>K Appl</c:v>
                </c:pt>
                <c:pt idx="7">
                  <c:v>Water Consumed</c:v>
                </c:pt>
                <c:pt idx="8">
                  <c:v>Percent Stover Collected</c:v>
                </c:pt>
                <c:pt idx="9">
                  <c:v>Rainwater (in.)</c:v>
                </c:pt>
              </c:strCache>
            </c:strRef>
          </c:cat>
          <c:val>
            <c:numRef>
              <c:extLst>
                <c:ext xmlns:c15="http://schemas.microsoft.com/office/drawing/2012/chart" uri="{02D57815-91ED-43cb-92C2-25804820EDAC}">
                  <c15:fullRef>
                    <c15:sqref>'Sensitivity Analysis'!$P$20:$P$30</c15:sqref>
                  </c15:fullRef>
                </c:ext>
              </c:extLst>
              <c:f>('Sensitivity Analysis'!$P$20:$P$27,'Sensitivity Analysis'!$P$29:$P$30)</c:f>
              <c:numCache>
                <c:formatCode>General</c:formatCode>
                <c:ptCount val="10"/>
                <c:pt idx="0">
                  <c:v>1.3880017288231638E-2</c:v>
                </c:pt>
                <c:pt idx="1">
                  <c:v>1.3773568942738096E-2</c:v>
                </c:pt>
                <c:pt idx="2">
                  <c:v>1.3773568942738096E-2</c:v>
                </c:pt>
                <c:pt idx="3">
                  <c:v>1.3773568942738096E-2</c:v>
                </c:pt>
                <c:pt idx="4">
                  <c:v>1.4229015645321443E-2</c:v>
                </c:pt>
                <c:pt idx="5">
                  <c:v>1.3793994597549004E-2</c:v>
                </c:pt>
                <c:pt idx="6">
                  <c:v>1.3797773321468667E-2</c:v>
                </c:pt>
                <c:pt idx="7">
                  <c:v>1.1893489760471091E-2</c:v>
                </c:pt>
                <c:pt idx="8">
                  <c:v>1.257513076373557E-2</c:v>
                </c:pt>
                <c:pt idx="9">
                  <c:v>1.1893489760471091E-2</c:v>
                </c:pt>
              </c:numCache>
            </c:numRef>
          </c:val>
          <c:extLst>
            <c:ext xmlns:c16="http://schemas.microsoft.com/office/drawing/2014/chart" uri="{C3380CC4-5D6E-409C-BE32-E72D297353CC}">
              <c16:uniqueId val="{00000001-E887-48D7-B511-70148D704391}"/>
            </c:ext>
          </c:extLst>
        </c:ser>
        <c:dLbls>
          <c:showLegendKey val="0"/>
          <c:showVal val="0"/>
          <c:showCatName val="0"/>
          <c:showSerName val="0"/>
          <c:showPercent val="0"/>
          <c:showBubbleSize val="0"/>
        </c:dLbls>
        <c:gapWidth val="82"/>
        <c:overlap val="100"/>
        <c:axId val="565609976"/>
        <c:axId val="565609648"/>
      </c:barChart>
      <c:catAx>
        <c:axId val="565609976"/>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609648"/>
        <c:crossesAt val="1.3773570000000004E-2"/>
        <c:auto val="1"/>
        <c:lblAlgn val="ctr"/>
        <c:lblOffset val="100"/>
        <c:noMultiLvlLbl val="0"/>
      </c:catAx>
      <c:valAx>
        <c:axId val="565609648"/>
        <c:scaling>
          <c:orientation val="minMax"/>
          <c:max val="1.8000000000000002E-2"/>
          <c:min val="1.0000000000000002E-2"/>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609976"/>
        <c:crosses val="autoZero"/>
        <c:crossBetween val="between"/>
      </c:valAx>
      <c:spPr>
        <a:noFill/>
        <a:ln cmpd="sng">
          <a:solidFill>
            <a:schemeClr val="tx1"/>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Ecotoxicity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'Sensitivity Analysis'!$Q$19</c:f>
              <c:strCache>
                <c:ptCount val="1"/>
                <c:pt idx="0">
                  <c:v>-20</c:v>
                </c:pt>
              </c:strCache>
            </c:strRef>
          </c:tx>
          <c:spPr>
            <a:solidFill>
              <a:schemeClr val="accent1"/>
            </a:solidFill>
            <a:ln>
              <a:noFill/>
            </a:ln>
            <a:effectLst/>
          </c:spPr>
          <c:invertIfNegative val="0"/>
          <c:cat>
            <c:strRef>
              <c:extLst>
                <c:ext xmlns:c15="http://schemas.microsoft.com/office/drawing/2012/chart" uri="{02D57815-91ED-43cb-92C2-25804820EDAC}">
                  <c15:fullRef>
                    <c15:sqref>'Sensitivity Analysis'!$N$20:$N$30</c15:sqref>
                  </c15:fullRef>
                </c:ext>
              </c:extLst>
              <c:f>('Sensitivity Analysis'!$N$20:$N$27,'Sensitivity Analysis'!$N$29:$N$30)</c:f>
              <c:strCache>
                <c:ptCount val="10"/>
                <c:pt idx="0">
                  <c:v>Seeds</c:v>
                </c:pt>
                <c:pt idx="1">
                  <c:v>N Up</c:v>
                </c:pt>
                <c:pt idx="2">
                  <c:v>P Up</c:v>
                </c:pt>
                <c:pt idx="3">
                  <c:v>K Up</c:v>
                </c:pt>
                <c:pt idx="4">
                  <c:v>N Appl</c:v>
                </c:pt>
                <c:pt idx="5">
                  <c:v>P Appl</c:v>
                </c:pt>
                <c:pt idx="6">
                  <c:v>K Appl</c:v>
                </c:pt>
                <c:pt idx="7">
                  <c:v>Water Consumed</c:v>
                </c:pt>
                <c:pt idx="8">
                  <c:v>Percent Stover Collected</c:v>
                </c:pt>
                <c:pt idx="9">
                  <c:v>Rainwater (in.)</c:v>
                </c:pt>
              </c:strCache>
            </c:strRef>
          </c:cat>
          <c:val>
            <c:numRef>
              <c:extLst>
                <c:ext xmlns:c15="http://schemas.microsoft.com/office/drawing/2012/chart" uri="{02D57815-91ED-43cb-92C2-25804820EDAC}">
                  <c15:fullRef>
                    <c15:sqref>'Sensitivity Analysis'!$Q$20:$Q$30</c15:sqref>
                  </c15:fullRef>
                </c:ext>
              </c:extLst>
              <c:f>('Sensitivity Analysis'!$Q$20:$Q$27,'Sensitivity Analysis'!$Q$29:$Q$30)</c:f>
              <c:numCache>
                <c:formatCode>General</c:formatCode>
                <c:ptCount val="10"/>
                <c:pt idx="0" formatCode="0.00E+00">
                  <c:v>3.921239661197859</c:v>
                </c:pt>
                <c:pt idx="1">
                  <c:v>3.9316500776177898</c:v>
                </c:pt>
                <c:pt idx="2">
                  <c:v>3.9316500776177898</c:v>
                </c:pt>
                <c:pt idx="3">
                  <c:v>3.9316500776177898</c:v>
                </c:pt>
                <c:pt idx="4">
                  <c:v>3.6297538338322473</c:v>
                </c:pt>
                <c:pt idx="5">
                  <c:v>3.9135457240457363</c:v>
                </c:pt>
                <c:pt idx="6">
                  <c:v>3.870247246894706</c:v>
                </c:pt>
                <c:pt idx="7">
                  <c:v>5.5988198338036073</c:v>
                </c:pt>
                <c:pt idx="8">
                  <c:v>5.012606829670883</c:v>
                </c:pt>
                <c:pt idx="9">
                  <c:v>5.5988198338036073</c:v>
                </c:pt>
              </c:numCache>
            </c:numRef>
          </c:val>
          <c:extLst>
            <c:ext xmlns:c16="http://schemas.microsoft.com/office/drawing/2014/chart" uri="{C3380CC4-5D6E-409C-BE32-E72D297353CC}">
              <c16:uniqueId val="{00000000-C7B8-4072-ADF0-E2717CCBA349}"/>
            </c:ext>
          </c:extLst>
        </c:ser>
        <c:ser>
          <c:idx val="1"/>
          <c:order val="1"/>
          <c:tx>
            <c:strRef>
              <c:f>'Sensitivity Analysis'!$R$19</c:f>
              <c:strCache>
                <c:ptCount val="1"/>
                <c:pt idx="0">
                  <c:v>20</c:v>
                </c:pt>
              </c:strCache>
            </c:strRef>
          </c:tx>
          <c:spPr>
            <a:solidFill>
              <a:schemeClr val="accent2"/>
            </a:solidFill>
            <a:ln>
              <a:noFill/>
            </a:ln>
            <a:effectLst/>
          </c:spPr>
          <c:invertIfNegative val="0"/>
          <c:cat>
            <c:strRef>
              <c:extLst>
                <c:ext xmlns:c15="http://schemas.microsoft.com/office/drawing/2012/chart" uri="{02D57815-91ED-43cb-92C2-25804820EDAC}">
                  <c15:fullRef>
                    <c15:sqref>'Sensitivity Analysis'!$N$20:$N$30</c15:sqref>
                  </c15:fullRef>
                </c:ext>
              </c:extLst>
              <c:f>('Sensitivity Analysis'!$N$20:$N$27,'Sensitivity Analysis'!$N$29:$N$30)</c:f>
              <c:strCache>
                <c:ptCount val="10"/>
                <c:pt idx="0">
                  <c:v>Seeds</c:v>
                </c:pt>
                <c:pt idx="1">
                  <c:v>N Up</c:v>
                </c:pt>
                <c:pt idx="2">
                  <c:v>P Up</c:v>
                </c:pt>
                <c:pt idx="3">
                  <c:v>K Up</c:v>
                </c:pt>
                <c:pt idx="4">
                  <c:v>N Appl</c:v>
                </c:pt>
                <c:pt idx="5">
                  <c:v>P Appl</c:v>
                </c:pt>
                <c:pt idx="6">
                  <c:v>K Appl</c:v>
                </c:pt>
                <c:pt idx="7">
                  <c:v>Water Consumed</c:v>
                </c:pt>
                <c:pt idx="8">
                  <c:v>Percent Stover Collected</c:v>
                </c:pt>
                <c:pt idx="9">
                  <c:v>Rainwater (in.)</c:v>
                </c:pt>
              </c:strCache>
            </c:strRef>
          </c:cat>
          <c:val>
            <c:numRef>
              <c:extLst>
                <c:ext xmlns:c15="http://schemas.microsoft.com/office/drawing/2012/chart" uri="{02D57815-91ED-43cb-92C2-25804820EDAC}">
                  <c15:fullRef>
                    <c15:sqref>'Sensitivity Analysis'!$R$20:$R$30</c15:sqref>
                  </c15:fullRef>
                </c:ext>
              </c:extLst>
              <c:f>('Sensitivity Analysis'!$R$20:$R$27,'Sensitivity Analysis'!$R$29:$R$30)</c:f>
              <c:numCache>
                <c:formatCode>General</c:formatCode>
                <c:ptCount val="10"/>
                <c:pt idx="0">
                  <c:v>3.9420604940377211</c:v>
                </c:pt>
                <c:pt idx="1">
                  <c:v>3.9316500776177898</c:v>
                </c:pt>
                <c:pt idx="2">
                  <c:v>3.9316500776177898</c:v>
                </c:pt>
                <c:pt idx="3">
                  <c:v>3.9316500776177898</c:v>
                </c:pt>
                <c:pt idx="4">
                  <c:v>4.2335463214033302</c:v>
                </c:pt>
                <c:pt idx="5">
                  <c:v>3.9497544311898434</c:v>
                </c:pt>
                <c:pt idx="6">
                  <c:v>3.9930529083408737</c:v>
                </c:pt>
                <c:pt idx="7">
                  <c:v>2.8165645462183844</c:v>
                </c:pt>
                <c:pt idx="8">
                  <c:v>3.1650736265204498</c:v>
                </c:pt>
                <c:pt idx="9">
                  <c:v>2.8165645462183844</c:v>
                </c:pt>
              </c:numCache>
            </c:numRef>
          </c:val>
          <c:extLst>
            <c:ext xmlns:c16="http://schemas.microsoft.com/office/drawing/2014/chart" uri="{C3380CC4-5D6E-409C-BE32-E72D297353CC}">
              <c16:uniqueId val="{00000001-C7B8-4072-ADF0-E2717CCBA349}"/>
            </c:ext>
          </c:extLst>
        </c:ser>
        <c:dLbls>
          <c:showLegendKey val="0"/>
          <c:showVal val="0"/>
          <c:showCatName val="0"/>
          <c:showSerName val="0"/>
          <c:showPercent val="0"/>
          <c:showBubbleSize val="0"/>
        </c:dLbls>
        <c:gapWidth val="82"/>
        <c:overlap val="100"/>
        <c:axId val="361017688"/>
        <c:axId val="361019000"/>
      </c:barChart>
      <c:catAx>
        <c:axId val="361017688"/>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019000"/>
        <c:crossesAt val="3.9316500779999997"/>
        <c:auto val="1"/>
        <c:lblAlgn val="ctr"/>
        <c:lblOffset val="100"/>
        <c:noMultiLvlLbl val="0"/>
      </c:catAx>
      <c:valAx>
        <c:axId val="361019000"/>
        <c:scaling>
          <c:orientation val="minMax"/>
          <c:max val="6"/>
          <c:min val="2.5"/>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017688"/>
        <c:crosses val="autoZero"/>
        <c:crossBetween val="between"/>
      </c:valAx>
      <c:spPr>
        <a:noFill/>
        <a:ln>
          <a:solidFill>
            <a:schemeClr val="tx1"/>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Growth Model Bounds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'Mat''l &amp; Handl Enrgy'!$W$27</c:f>
              <c:strCache>
                <c:ptCount val="1"/>
                <c:pt idx="0">
                  <c:v>Linear</c:v>
                </c:pt>
              </c:strCache>
            </c:strRef>
          </c:tx>
          <c:spPr>
            <a:ln w="76200" cap="rnd">
              <a:solidFill>
                <a:sysClr val="windowText" lastClr="000000"/>
              </a:solidFill>
              <a:prstDash val="sysDot"/>
              <a:round/>
            </a:ln>
            <a:effectLst/>
          </c:spPr>
          <c:marker>
            <c:symbol val="none"/>
          </c:marker>
          <c:cat>
            <c:numRef>
              <c:f>'Mat''l &amp; Handl Enrgy'!$V$28:$V$88</c:f>
              <c:numCache>
                <c:formatCode>General</c:formatCode>
                <c:ptCount val="61"/>
                <c:pt idx="0">
                  <c:v>20</c:v>
                </c:pt>
                <c:pt idx="1">
                  <c:v>20.5</c:v>
                </c:pt>
                <c:pt idx="2">
                  <c:v>21</c:v>
                </c:pt>
                <c:pt idx="3">
                  <c:v>21.5</c:v>
                </c:pt>
                <c:pt idx="4">
                  <c:v>22</c:v>
                </c:pt>
                <c:pt idx="5">
                  <c:v>22.5</c:v>
                </c:pt>
                <c:pt idx="6">
                  <c:v>23</c:v>
                </c:pt>
                <c:pt idx="7">
                  <c:v>23.5</c:v>
                </c:pt>
                <c:pt idx="8">
                  <c:v>24</c:v>
                </c:pt>
                <c:pt idx="9">
                  <c:v>24.5</c:v>
                </c:pt>
                <c:pt idx="10">
                  <c:v>25</c:v>
                </c:pt>
                <c:pt idx="11">
                  <c:v>25.5</c:v>
                </c:pt>
                <c:pt idx="12">
                  <c:v>26</c:v>
                </c:pt>
                <c:pt idx="13">
                  <c:v>26.5</c:v>
                </c:pt>
                <c:pt idx="14">
                  <c:v>27</c:v>
                </c:pt>
                <c:pt idx="15">
                  <c:v>27.5</c:v>
                </c:pt>
                <c:pt idx="16">
                  <c:v>28</c:v>
                </c:pt>
                <c:pt idx="17">
                  <c:v>28.5</c:v>
                </c:pt>
                <c:pt idx="18">
                  <c:v>29</c:v>
                </c:pt>
                <c:pt idx="19">
                  <c:v>29.5</c:v>
                </c:pt>
                <c:pt idx="20">
                  <c:v>30</c:v>
                </c:pt>
                <c:pt idx="21">
                  <c:v>30.5</c:v>
                </c:pt>
                <c:pt idx="22">
                  <c:v>31</c:v>
                </c:pt>
                <c:pt idx="23">
                  <c:v>31.5</c:v>
                </c:pt>
                <c:pt idx="24">
                  <c:v>32</c:v>
                </c:pt>
                <c:pt idx="25">
                  <c:v>32.5</c:v>
                </c:pt>
                <c:pt idx="26">
                  <c:v>33</c:v>
                </c:pt>
                <c:pt idx="27">
                  <c:v>33.5</c:v>
                </c:pt>
                <c:pt idx="28">
                  <c:v>34</c:v>
                </c:pt>
                <c:pt idx="29">
                  <c:v>34.5</c:v>
                </c:pt>
                <c:pt idx="30">
                  <c:v>35</c:v>
                </c:pt>
                <c:pt idx="31">
                  <c:v>35.5</c:v>
                </c:pt>
                <c:pt idx="32">
                  <c:v>36</c:v>
                </c:pt>
                <c:pt idx="33">
                  <c:v>36.5</c:v>
                </c:pt>
                <c:pt idx="34">
                  <c:v>37</c:v>
                </c:pt>
                <c:pt idx="35">
                  <c:v>37.5</c:v>
                </c:pt>
                <c:pt idx="36">
                  <c:v>38</c:v>
                </c:pt>
                <c:pt idx="37">
                  <c:v>38.5</c:v>
                </c:pt>
                <c:pt idx="38">
                  <c:v>39</c:v>
                </c:pt>
                <c:pt idx="39">
                  <c:v>39.5</c:v>
                </c:pt>
                <c:pt idx="40">
                  <c:v>40</c:v>
                </c:pt>
                <c:pt idx="41">
                  <c:v>40.5</c:v>
                </c:pt>
                <c:pt idx="42">
                  <c:v>41</c:v>
                </c:pt>
                <c:pt idx="43">
                  <c:v>41.5</c:v>
                </c:pt>
                <c:pt idx="44">
                  <c:v>42</c:v>
                </c:pt>
                <c:pt idx="45">
                  <c:v>42.5</c:v>
                </c:pt>
                <c:pt idx="46">
                  <c:v>43</c:v>
                </c:pt>
                <c:pt idx="47">
                  <c:v>43.5</c:v>
                </c:pt>
                <c:pt idx="48">
                  <c:v>44</c:v>
                </c:pt>
                <c:pt idx="49">
                  <c:v>44.5</c:v>
                </c:pt>
                <c:pt idx="50">
                  <c:v>45</c:v>
                </c:pt>
                <c:pt idx="51">
                  <c:v>45.5</c:v>
                </c:pt>
                <c:pt idx="52">
                  <c:v>46</c:v>
                </c:pt>
                <c:pt idx="53">
                  <c:v>46.5</c:v>
                </c:pt>
                <c:pt idx="54">
                  <c:v>47</c:v>
                </c:pt>
                <c:pt idx="55">
                  <c:v>47.5</c:v>
                </c:pt>
                <c:pt idx="56">
                  <c:v>48</c:v>
                </c:pt>
                <c:pt idx="57">
                  <c:v>48.5</c:v>
                </c:pt>
                <c:pt idx="58">
                  <c:v>49</c:v>
                </c:pt>
                <c:pt idx="59">
                  <c:v>49.5</c:v>
                </c:pt>
                <c:pt idx="60">
                  <c:v>50</c:v>
                </c:pt>
              </c:numCache>
            </c:numRef>
          </c:cat>
          <c:val>
            <c:numRef>
              <c:f>'Mat''l &amp; Handl Enrgy'!$W$28:$W$88</c:f>
              <c:numCache>
                <c:formatCode>General</c:formatCode>
                <c:ptCount val="61"/>
                <c:pt idx="0">
                  <c:v>6308.377243031282</c:v>
                </c:pt>
                <c:pt idx="1">
                  <c:v>6466.0866741072387</c:v>
                </c:pt>
                <c:pt idx="2">
                  <c:v>6623.7961051827297</c:v>
                </c:pt>
                <c:pt idx="3">
                  <c:v>6781.5055362586863</c:v>
                </c:pt>
                <c:pt idx="4">
                  <c:v>6939.2149673341773</c:v>
                </c:pt>
                <c:pt idx="5">
                  <c:v>7096.924398410134</c:v>
                </c:pt>
                <c:pt idx="6">
                  <c:v>7254.6338294860907</c:v>
                </c:pt>
                <c:pt idx="7">
                  <c:v>7412.3432605615817</c:v>
                </c:pt>
                <c:pt idx="8">
                  <c:v>7570.0526916375384</c:v>
                </c:pt>
                <c:pt idx="9">
                  <c:v>7727.762122713495</c:v>
                </c:pt>
                <c:pt idx="10">
                  <c:v>7885.4715537889861</c:v>
                </c:pt>
                <c:pt idx="11">
                  <c:v>8043.1809848649427</c:v>
                </c:pt>
                <c:pt idx="12">
                  <c:v>8200.8904159404337</c:v>
                </c:pt>
                <c:pt idx="13">
                  <c:v>8358.5998470163904</c:v>
                </c:pt>
                <c:pt idx="14">
                  <c:v>8516.3092780923471</c:v>
                </c:pt>
                <c:pt idx="15">
                  <c:v>8674.0187091678381</c:v>
                </c:pt>
                <c:pt idx="16">
                  <c:v>8831.7281402437948</c:v>
                </c:pt>
                <c:pt idx="17">
                  <c:v>8989.4375713197514</c:v>
                </c:pt>
                <c:pt idx="18">
                  <c:v>9147.1470023952425</c:v>
                </c:pt>
                <c:pt idx="19">
                  <c:v>9304.8564334711991</c:v>
                </c:pt>
                <c:pt idx="20">
                  <c:v>9462.5658645466901</c:v>
                </c:pt>
                <c:pt idx="21">
                  <c:v>9620.2752956226468</c:v>
                </c:pt>
                <c:pt idx="22">
                  <c:v>9777.9847266981378</c:v>
                </c:pt>
                <c:pt idx="23">
                  <c:v>9935.6941577745602</c:v>
                </c:pt>
                <c:pt idx="24">
                  <c:v>10093.403588850051</c:v>
                </c:pt>
                <c:pt idx="25">
                  <c:v>10251.113019925542</c:v>
                </c:pt>
                <c:pt idx="26">
                  <c:v>10408.822451001965</c:v>
                </c:pt>
                <c:pt idx="27">
                  <c:v>10566.531882077456</c:v>
                </c:pt>
                <c:pt idx="28">
                  <c:v>10724.241313152947</c:v>
                </c:pt>
                <c:pt idx="29">
                  <c:v>10881.950744229369</c:v>
                </c:pt>
                <c:pt idx="30">
                  <c:v>11039.66017530486</c:v>
                </c:pt>
                <c:pt idx="31">
                  <c:v>11197.369606380351</c:v>
                </c:pt>
                <c:pt idx="32">
                  <c:v>11355.079037455842</c:v>
                </c:pt>
                <c:pt idx="33">
                  <c:v>11512.788468532264</c:v>
                </c:pt>
                <c:pt idx="34">
                  <c:v>11670.497899607755</c:v>
                </c:pt>
                <c:pt idx="35">
                  <c:v>11828.207330683246</c:v>
                </c:pt>
                <c:pt idx="36">
                  <c:v>11985.916761759669</c:v>
                </c:pt>
                <c:pt idx="37">
                  <c:v>12143.62619283516</c:v>
                </c:pt>
                <c:pt idx="38">
                  <c:v>12301.335623910651</c:v>
                </c:pt>
                <c:pt idx="39">
                  <c:v>12459.045054987073</c:v>
                </c:pt>
                <c:pt idx="40">
                  <c:v>12616.754486062564</c:v>
                </c:pt>
                <c:pt idx="41">
                  <c:v>12774.463917138055</c:v>
                </c:pt>
                <c:pt idx="42">
                  <c:v>12932.173348214477</c:v>
                </c:pt>
                <c:pt idx="43">
                  <c:v>13089.882779289968</c:v>
                </c:pt>
                <c:pt idx="44">
                  <c:v>13247.592210365459</c:v>
                </c:pt>
                <c:pt idx="45">
                  <c:v>13405.301641441882</c:v>
                </c:pt>
                <c:pt idx="46">
                  <c:v>13563.011072517373</c:v>
                </c:pt>
                <c:pt idx="47">
                  <c:v>13720.720503592864</c:v>
                </c:pt>
                <c:pt idx="48">
                  <c:v>13878.429934668355</c:v>
                </c:pt>
                <c:pt idx="49">
                  <c:v>14036.139365744777</c:v>
                </c:pt>
                <c:pt idx="50">
                  <c:v>14193.848796820268</c:v>
                </c:pt>
                <c:pt idx="51">
                  <c:v>14351.558227895759</c:v>
                </c:pt>
                <c:pt idx="52">
                  <c:v>14509.267658972181</c:v>
                </c:pt>
                <c:pt idx="53">
                  <c:v>14666.977090047672</c:v>
                </c:pt>
                <c:pt idx="54">
                  <c:v>14824.686521123163</c:v>
                </c:pt>
                <c:pt idx="55">
                  <c:v>14982.395952199586</c:v>
                </c:pt>
                <c:pt idx="56">
                  <c:v>15140.105383275077</c:v>
                </c:pt>
                <c:pt idx="57">
                  <c:v>15297.814814350568</c:v>
                </c:pt>
                <c:pt idx="58">
                  <c:v>15455.52424542699</c:v>
                </c:pt>
                <c:pt idx="59">
                  <c:v>15613.233676502481</c:v>
                </c:pt>
                <c:pt idx="60">
                  <c:v>15770.943107577972</c:v>
                </c:pt>
              </c:numCache>
            </c:numRef>
          </c:val>
          <c:smooth val="0"/>
          <c:extLst>
            <c:ext xmlns:c16="http://schemas.microsoft.com/office/drawing/2014/chart" uri="{C3380CC4-5D6E-409C-BE32-E72D297353CC}">
              <c16:uniqueId val="{00000006-8C33-442B-B4DC-700F32A3F8A3}"/>
            </c:ext>
          </c:extLst>
        </c:ser>
        <c:ser>
          <c:idx val="1"/>
          <c:order val="1"/>
          <c:tx>
            <c:strRef>
              <c:f>'Mat''l &amp; Handl Enrgy'!$Y$27</c:f>
              <c:strCache>
                <c:ptCount val="1"/>
                <c:pt idx="0">
                  <c:v>Bounded - 4</c:v>
                </c:pt>
              </c:strCache>
            </c:strRef>
          </c:tx>
          <c:spPr>
            <a:ln w="28575" cap="rnd">
              <a:solidFill>
                <a:srgbClr val="FF0000"/>
              </a:solidFill>
              <a:round/>
            </a:ln>
            <a:effectLst/>
          </c:spPr>
          <c:marker>
            <c:symbol val="none"/>
          </c:marker>
          <c:val>
            <c:numRef>
              <c:f>'Mat''l &amp; Handl Enrgy'!$Y$28:$Y$88</c:f>
              <c:numCache>
                <c:formatCode>General</c:formatCode>
                <c:ptCount val="61"/>
                <c:pt idx="0">
                  <c:v>7290.41383823047</c:v>
                </c:pt>
                <c:pt idx="1">
                  <c:v>7300.4545809926612</c:v>
                </c:pt>
                <c:pt idx="2">
                  <c:v>7326.7062258593014</c:v>
                </c:pt>
                <c:pt idx="3">
                  <c:v>7368.398361113208</c:v>
                </c:pt>
                <c:pt idx="4">
                  <c:v>7424.6277454593364</c:v>
                </c:pt>
                <c:pt idx="5">
                  <c:v>7494.390852845343</c:v>
                </c:pt>
                <c:pt idx="6">
                  <c:v>7576.6151566647195</c:v>
                </c:pt>
                <c:pt idx="7">
                  <c:v>7670.1883262118308</c:v>
                </c:pt>
                <c:pt idx="8">
                  <c:v>7773.9847188887306</c:v>
                </c:pt>
                <c:pt idx="9">
                  <c:v>7886.8887522153527</c:v>
                </c:pt>
                <c:pt idx="10">
                  <c:v>8007.814921675641</c:v>
                </c:pt>
                <c:pt idx="11">
                  <c:v>8135.724388201199</c:v>
                </c:pt>
                <c:pt idx="12">
                  <c:v>8269.6381896520961</c:v>
                </c:pt>
                <c:pt idx="13">
                  <c:v>8408.6472331826917</c:v>
                </c:pt>
                <c:pt idx="14">
                  <c:v>8551.9193007247959</c:v>
                </c:pt>
                <c:pt idx="15">
                  <c:v>8698.7033502143258</c:v>
                </c:pt>
                <c:pt idx="16">
                  <c:v>8848.3314235399012</c:v>
                </c:pt>
                <c:pt idx="17">
                  <c:v>9000.218481986567</c:v>
                </c:pt>
                <c:pt idx="18">
                  <c:v>9153.8604847654242</c:v>
                </c:pt>
                <c:pt idx="19">
                  <c:v>9308.8310095158886</c:v>
                </c:pt>
                <c:pt idx="20">
                  <c:v>9464.7766887110338</c:v>
                </c:pt>
                <c:pt idx="21">
                  <c:v>9621.4117055718634</c:v>
                </c:pt>
                <c:pt idx="22">
                  <c:v>9778.511559810755</c:v>
                </c:pt>
                <c:pt idx="23">
                  <c:v>9935.9062794202109</c:v>
                </c:pt>
                <c:pt idx="24">
                  <c:v>10093.473221326129</c:v>
                </c:pt>
                <c:pt idx="25">
                  <c:v>10251.129572450254</c:v>
                </c:pt>
                <c:pt idx="26">
                  <c:v>10408.824634392493</c:v>
                </c:pt>
                <c:pt idx="27">
                  <c:v>10566.53195041955</c:v>
                </c:pt>
                <c:pt idx="28">
                  <c:v>10724.241313152947</c:v>
                </c:pt>
                <c:pt idx="29">
                  <c:v>10881.950675670314</c:v>
                </c:pt>
                <c:pt idx="30">
                  <c:v>11039.657978026107</c:v>
                </c:pt>
                <c:pt idx="31">
                  <c:v>11197.352895607726</c:v>
                </c:pt>
                <c:pt idx="32">
                  <c:v>11355.008515457506</c:v>
                </c:pt>
                <c:pt idx="33">
                  <c:v>11512.572951962329</c:v>
                </c:pt>
                <c:pt idx="34">
                  <c:v>11669.960924171923</c:v>
                </c:pt>
                <c:pt idx="35">
                  <c:v>11827.045333680791</c:v>
                </c:pt>
                <c:pt idx="36">
                  <c:v>11983.648904442414</c:v>
                </c:pt>
                <c:pt idx="37">
                  <c:v>12139.535974147911</c:v>
                </c:pt>
                <c:pt idx="38">
                  <c:v>12294.404560601695</c:v>
                </c:pt>
                <c:pt idx="39">
                  <c:v>12447.878865422399</c:v>
                </c:pt>
                <c:pt idx="40">
                  <c:v>12599.502420701199</c:v>
                </c:pt>
                <c:pt idx="41">
                  <c:v>12748.732130706718</c:v>
                </c:pt>
                <c:pt idx="42">
                  <c:v>12894.933508642134</c:v>
                </c:pt>
                <c:pt idx="43">
                  <c:v>13037.377455598533</c:v>
                </c:pt>
                <c:pt idx="44">
                  <c:v>13175.238972125066</c:v>
                </c:pt>
                <c:pt idx="45">
                  <c:v>13307.598228492387</c:v>
                </c:pt>
                <c:pt idx="46">
                  <c:v>13433.444443305259</c:v>
                </c:pt>
                <c:pt idx="47">
                  <c:v>13551.683026320732</c:v>
                </c:pt>
                <c:pt idx="48">
                  <c:v>13661.146424372939</c:v>
                </c:pt>
                <c:pt idx="49">
                  <c:v>13760.60906318685</c:v>
                </c:pt>
                <c:pt idx="50">
                  <c:v>13848.806696517233</c:v>
                </c:pt>
                <c:pt idx="51">
                  <c:v>13924.46035224841</c:v>
                </c:pt>
                <c:pt idx="52">
                  <c:v>13986.304898797694</c:v>
                </c:pt>
                <c:pt idx="53">
                  <c:v>14033.122042683974</c:v>
                </c:pt>
                <c:pt idx="54">
                  <c:v>14063.777310728447</c:v>
                </c:pt>
                <c:pt idx="55">
                  <c:v>14077.260273473605</c:v>
                </c:pt>
                <c:pt idx="56">
                  <c:v>14072.726940409057</c:v>
                </c:pt>
                <c:pt idx="57">
                  <c:v>14049.542918385821</c:v>
                </c:pt>
                <c:pt idx="58">
                  <c:v>14007.325594035663</c:v>
                </c:pt>
                <c:pt idx="59">
                  <c:v>13945.983306508855</c:v>
                </c:pt>
                <c:pt idx="60">
                  <c:v>13865.749250387145</c:v>
                </c:pt>
              </c:numCache>
            </c:numRef>
          </c:val>
          <c:smooth val="0"/>
          <c:extLst>
            <c:ext xmlns:c16="http://schemas.microsoft.com/office/drawing/2014/chart" uri="{C3380CC4-5D6E-409C-BE32-E72D297353CC}">
              <c16:uniqueId val="{00000007-8C33-442B-B4DC-700F32A3F8A3}"/>
            </c:ext>
          </c:extLst>
        </c:ser>
        <c:ser>
          <c:idx val="2"/>
          <c:order val="2"/>
          <c:tx>
            <c:strRef>
              <c:f>'Mat''l &amp; Handl Enrgy'!$Z$27</c:f>
              <c:strCache>
                <c:ptCount val="1"/>
                <c:pt idx="0">
                  <c:v>Bounded - 3</c:v>
                </c:pt>
              </c:strCache>
            </c:strRef>
          </c:tx>
          <c:spPr>
            <a:ln w="28575" cap="rnd">
              <a:solidFill>
                <a:srgbClr val="7030A0"/>
              </a:solidFill>
              <a:round/>
            </a:ln>
            <a:effectLst/>
          </c:spPr>
          <c:marker>
            <c:symbol val="none"/>
          </c:marker>
          <c:val>
            <c:numRef>
              <c:f>'Mat''l &amp; Handl Enrgy'!$Z$28:$Z$88</c:f>
              <c:numCache>
                <c:formatCode>General</c:formatCode>
                <c:ptCount val="61"/>
                <c:pt idx="0">
                  <c:v>8326.9252664104661</c:v>
                </c:pt>
                <c:pt idx="1">
                  <c:v>8265.6822762038482</c:v>
                </c:pt>
                <c:pt idx="2">
                  <c:v>8216.7453982587485</c:v>
                </c:pt>
                <c:pt idx="3">
                  <c:v>8180.8778368881649</c:v>
                </c:pt>
                <c:pt idx="4">
                  <c:v>8158.6602995828243</c:v>
                </c:pt>
                <c:pt idx="5">
                  <c:v>8150.4834750477621</c:v>
                </c:pt>
                <c:pt idx="6">
                  <c:v>8156.545665032565</c:v>
                </c:pt>
                <c:pt idx="7">
                  <c:v>8176.85543033883</c:v>
                </c:pt>
                <c:pt idx="8">
                  <c:v>8211.238935912048</c:v>
                </c:pt>
                <c:pt idx="9">
                  <c:v>8259.3515301326406</c:v>
                </c:pt>
                <c:pt idx="10">
                  <c:v>8320.6929746064197</c:v>
                </c:pt>
                <c:pt idx="11">
                  <c:v>8394.6256560172897</c:v>
                </c:pt>
                <c:pt idx="12">
                  <c:v>8480.3950619167972</c:v>
                </c:pt>
                <c:pt idx="13">
                  <c:v>8577.1517867085786</c:v>
                </c:pt>
                <c:pt idx="14">
                  <c:v>8683.9743498414919</c:v>
                </c:pt>
                <c:pt idx="15">
                  <c:v>8799.8921514088725</c:v>
                </c:pt>
                <c:pt idx="16">
                  <c:v>8923.9079560109039</c:v>
                </c:pt>
                <c:pt idx="17">
                  <c:v>9055.0193784713992</c:v>
                </c:pt>
                <c:pt idx="18">
                  <c:v>9192.2389392527675</c:v>
                </c:pt>
                <c:pt idx="19">
                  <c:v>9334.6123577869257</c:v>
                </c:pt>
                <c:pt idx="20">
                  <c:v>9481.2348535662404</c:v>
                </c:pt>
                <c:pt idx="21">
                  <c:v>9631.2653235079488</c:v>
                </c:pt>
                <c:pt idx="22">
                  <c:v>9783.9383563509436</c:v>
                </c:pt>
                <c:pt idx="23">
                  <c:v>9938.5741282176987</c:v>
                </c:pt>
                <c:pt idx="24">
                  <c:v>10094.586296210513</c:v>
                </c:pt>
                <c:pt idx="25">
                  <c:v>10251.488068320054</c:v>
                </c:pt>
                <c:pt idx="26">
                  <c:v>10408.896677801675</c:v>
                </c:pt>
                <c:pt idx="27">
                  <c:v>10566.536529272405</c:v>
                </c:pt>
                <c:pt idx="28">
                  <c:v>10724.241313152947</c:v>
                </c:pt>
                <c:pt idx="29">
                  <c:v>10881.946082281562</c:v>
                </c:pt>
                <c:pt idx="30">
                  <c:v>11039.585476413708</c:v>
                </c:pt>
                <c:pt idx="31">
                  <c:v>11196.990973764165</c:v>
                </c:pt>
                <c:pt idx="32">
                  <c:v>11353.881235071947</c:v>
                </c:pt>
                <c:pt idx="33">
                  <c:v>11509.862484617142</c:v>
                </c:pt>
                <c:pt idx="34">
                  <c:v>11664.429989543914</c:v>
                </c:pt>
                <c:pt idx="35">
                  <c:v>11816.970988599669</c:v>
                </c:pt>
                <c:pt idx="36">
                  <c:v>11966.769407108177</c:v>
                </c:pt>
                <c:pt idx="37">
                  <c:v>12113.012668841266</c:v>
                </c:pt>
                <c:pt idx="38">
                  <c:v>12254.800875154064</c:v>
                </c:pt>
                <c:pt idx="39">
                  <c:v>12391.158565534484</c:v>
                </c:pt>
                <c:pt idx="40">
                  <c:v>12521.049200506108</c:v>
                </c:pt>
                <c:pt idx="41">
                  <c:v>12643.392417210174</c:v>
                </c:pt>
                <c:pt idx="42">
                  <c:v>12757.084000676838</c:v>
                </c:pt>
                <c:pt idx="43">
                  <c:v>12861.018391736685</c:v>
                </c:pt>
                <c:pt idx="44">
                  <c:v>12954.113418883169</c:v>
                </c:pt>
                <c:pt idx="45">
                  <c:v>13035.336800827885</c:v>
                </c:pt>
                <c:pt idx="46">
                  <c:v>13103.733825073727</c:v>
                </c:pt>
                <c:pt idx="47">
                  <c:v>13158.455472794842</c:v>
                </c:pt>
                <c:pt idx="48">
                  <c:v>13198.786139968583</c:v>
                </c:pt>
                <c:pt idx="49">
                  <c:v>13224.170008001847</c:v>
                </c:pt>
                <c:pt idx="50">
                  <c:v>13234.235052987091</c:v>
                </c:pt>
                <c:pt idx="51">
                  <c:v>13228.813659734689</c:v>
                </c:pt>
                <c:pt idx="52">
                  <c:v>13207.958832057398</c:v>
                </c:pt>
                <c:pt idx="53">
                  <c:v>13171.955069684285</c:v>
                </c:pt>
                <c:pt idx="54">
                  <c:v>13121.323117138098</c:v>
                </c:pt>
                <c:pt idx="55">
                  <c:v>13056.817980104941</c:v>
                </c:pt>
                <c:pt idx="56">
                  <c:v>12979.419845593777</c:v>
                </c:pt>
                <c:pt idx="57">
                  <c:v>12890.317824870108</c:v>
                </c:pt>
                <c:pt idx="58">
                  <c:v>12790.886750209165</c:v>
                </c:pt>
                <c:pt idx="59">
                  <c:v>12682.657581882291</c:v>
                </c:pt>
                <c:pt idx="60">
                  <c:v>12567.282301820185</c:v>
                </c:pt>
              </c:numCache>
            </c:numRef>
          </c:val>
          <c:smooth val="0"/>
          <c:extLst>
            <c:ext xmlns:c16="http://schemas.microsoft.com/office/drawing/2014/chart" uri="{C3380CC4-5D6E-409C-BE32-E72D297353CC}">
              <c16:uniqueId val="{00000008-8C33-442B-B4DC-700F32A3F8A3}"/>
            </c:ext>
          </c:extLst>
        </c:ser>
        <c:ser>
          <c:idx val="3"/>
          <c:order val="3"/>
          <c:tx>
            <c:strRef>
              <c:f>'Mat''l &amp; Handl Enrgy'!$AA$27</c:f>
              <c:strCache>
                <c:ptCount val="1"/>
                <c:pt idx="0">
                  <c:v>Bounded - 2</c:v>
                </c:pt>
              </c:strCache>
            </c:strRef>
          </c:tx>
          <c:spPr>
            <a:ln w="28575" cap="rnd">
              <a:solidFill>
                <a:srgbClr val="00DE00"/>
              </a:solidFill>
              <a:round/>
            </a:ln>
            <a:effectLst/>
          </c:spPr>
          <c:marker>
            <c:symbol val="none"/>
          </c:marker>
          <c:val>
            <c:numRef>
              <c:f>'Mat''l &amp; Handl Enrgy'!$AA$28:$AA$88</c:f>
              <c:numCache>
                <c:formatCode>General</c:formatCode>
                <c:ptCount val="61"/>
                <c:pt idx="0">
                  <c:v>9722.5382509890733</c:v>
                </c:pt>
                <c:pt idx="1">
                  <c:v>9656.5344409876961</c:v>
                </c:pt>
                <c:pt idx="2">
                  <c:v>9591.2959239167576</c:v>
                </c:pt>
                <c:pt idx="3">
                  <c:v>9527.6690487677624</c:v>
                </c:pt>
                <c:pt idx="4">
                  <c:v>9466.571661587499</c:v>
                </c:pt>
                <c:pt idx="5">
                  <c:v>9408.982924664253</c:v>
                </c:pt>
                <c:pt idx="6">
                  <c:v>9355.9304345317032</c:v>
                </c:pt>
                <c:pt idx="7">
                  <c:v>9308.474690776271</c:v>
                </c:pt>
                <c:pt idx="8">
                  <c:v>9267.6910619744958</c:v>
                </c:pt>
                <c:pt idx="9">
                  <c:v>9234.6494951520272</c:v>
                </c:pt>
                <c:pt idx="10">
                  <c:v>9210.3923174145584</c:v>
                </c:pt>
                <c:pt idx="11">
                  <c:v>9195.9105788044308</c:v>
                </c:pt>
                <c:pt idx="12">
                  <c:v>9192.1194795328011</c:v>
                </c:pt>
                <c:pt idx="13">
                  <c:v>9199.8335078996515</c:v>
                </c:pt>
                <c:pt idx="14">
                  <c:v>9219.7419828339989</c:v>
                </c:pt>
                <c:pt idx="15">
                  <c:v>9252.3857427018393</c:v>
                </c:pt>
                <c:pt idx="16">
                  <c:v>9298.1357460000909</c:v>
                </c:pt>
                <c:pt idx="17">
                  <c:v>9357.1743466766147</c:v>
                </c:pt>
                <c:pt idx="18">
                  <c:v>9429.4799749813392</c:v>
                </c:pt>
                <c:pt idx="19">
                  <c:v>9514.8158930033042</c:v>
                </c:pt>
                <c:pt idx="20">
                  <c:v>9612.7236027556974</c:v>
                </c:pt>
                <c:pt idx="21">
                  <c:v>9722.5213656179967</c:v>
                </c:pt>
                <c:pt idx="22">
                  <c:v>9843.3081482773305</c:v>
                </c:pt>
                <c:pt idx="23">
                  <c:v>9973.9731466143403</c:v>
                </c:pt>
                <c:pt idx="24">
                  <c:v>10113.210860915789</c:v>
                </c:pt>
                <c:pt idx="25">
                  <c:v>10259.541510179048</c:v>
                </c:pt>
                <c:pt idx="26">
                  <c:v>10411.336387408783</c:v>
                </c:pt>
                <c:pt idx="27">
                  <c:v>10566.847579591369</c:v>
                </c:pt>
                <c:pt idx="28">
                  <c:v>10724.241313152947</c:v>
                </c:pt>
                <c:pt idx="29">
                  <c:v>10881.634045503115</c:v>
                </c:pt>
                <c:pt idx="30">
                  <c:v>11037.130312364377</c:v>
                </c:pt>
                <c:pt idx="31">
                  <c:v>11188.861264306628</c:v>
                </c:pt>
                <c:pt idx="32">
                  <c:v>11335.022788170929</c:v>
                </c:pt>
                <c:pt idx="33">
                  <c:v>11473.912112195632</c:v>
                </c:pt>
                <c:pt idx="34">
                  <c:v>11603.961837922781</c:v>
                </c:pt>
                <c:pt idx="35">
                  <c:v>11723.770425967796</c:v>
                </c:pt>
                <c:pt idx="36">
                  <c:v>11832.128283040382</c:v>
                </c:pt>
                <c:pt idx="37">
                  <c:v>11928.038749295831</c:v>
                </c:pt>
                <c:pt idx="38">
                  <c:v>12010.733461638427</c:v>
                </c:pt>
                <c:pt idx="39">
                  <c:v>12079.681762451701</c:v>
                </c:pt>
                <c:pt idx="40">
                  <c:v>12134.594026163437</c:v>
                </c:pt>
                <c:pt idx="41">
                  <c:v>12175.418979431839</c:v>
                </c:pt>
                <c:pt idx="42">
                  <c:v>12202.335286147001</c:v>
                </c:pt>
                <c:pt idx="43">
                  <c:v>12215.737848022853</c:v>
                </c:pt>
                <c:pt idx="44">
                  <c:v>12216.219428323238</c:v>
                </c:pt>
                <c:pt idx="45">
                  <c:v>12204.548334556832</c:v>
                </c:pt>
                <c:pt idx="46">
                  <c:v>12181.642991605842</c:v>
                </c:pt>
                <c:pt idx="47">
                  <c:v>12148.544297169909</c:v>
                </c:pt>
                <c:pt idx="48">
                  <c:v>12106.38667580814</c:v>
                </c:pt>
                <c:pt idx="49">
                  <c:v>12056.368737087516</c:v>
                </c:pt>
                <c:pt idx="50">
                  <c:v>11999.724399812756</c:v>
                </c:pt>
                <c:pt idx="51">
                  <c:v>11937.695271758968</c:v>
                </c:pt>
                <c:pt idx="52">
                  <c:v>11871.504977619014</c:v>
                </c:pt>
                <c:pt idx="53">
                  <c:v>11802.336012594531</c:v>
                </c:pt>
                <c:pt idx="54">
                  <c:v>11731.309571290783</c:v>
                </c:pt>
                <c:pt idx="55">
                  <c:v>11659.468667512647</c:v>
                </c:pt>
                <c:pt idx="56">
                  <c:v>11587.764726154008</c:v>
                </c:pt>
                <c:pt idx="57">
                  <c:v>11517.047699168947</c:v>
                </c:pt>
                <c:pt idx="58">
                  <c:v>11448.059638418747</c:v>
                </c:pt>
                <c:pt idx="59">
                  <c:v>11381.431552891187</c:v>
                </c:pt>
                <c:pt idx="60">
                  <c:v>11317.683289353226</c:v>
                </c:pt>
              </c:numCache>
            </c:numRef>
          </c:val>
          <c:smooth val="0"/>
          <c:extLst>
            <c:ext xmlns:c16="http://schemas.microsoft.com/office/drawing/2014/chart" uri="{C3380CC4-5D6E-409C-BE32-E72D297353CC}">
              <c16:uniqueId val="{00000009-8C33-442B-B4DC-700F32A3F8A3}"/>
            </c:ext>
          </c:extLst>
        </c:ser>
        <c:ser>
          <c:idx val="4"/>
          <c:order val="4"/>
          <c:tx>
            <c:strRef>
              <c:f>'Mat''l &amp; Handl Enrgy'!$X$27</c:f>
              <c:strCache>
                <c:ptCount val="1"/>
                <c:pt idx="0">
                  <c:v>Bounded - 2.5</c:v>
                </c:pt>
              </c:strCache>
            </c:strRef>
          </c:tx>
          <c:spPr>
            <a:ln w="28575" cap="rnd">
              <a:solidFill>
                <a:schemeClr val="accent1"/>
              </a:solidFill>
              <a:round/>
            </a:ln>
            <a:effectLst/>
          </c:spPr>
          <c:marker>
            <c:symbol val="none"/>
          </c:marker>
          <c:val>
            <c:numRef>
              <c:f>'Mat''l &amp; Handl Enrgy'!$X$28:$X$88</c:f>
              <c:numCache>
                <c:formatCode>General</c:formatCode>
                <c:ptCount val="61"/>
                <c:pt idx="0">
                  <c:v>9019.7669963111912</c:v>
                </c:pt>
                <c:pt idx="1">
                  <c:v>8943.2533144915378</c:v>
                </c:pt>
                <c:pt idx="2">
                  <c:v>8873.2312299962832</c:v>
                </c:pt>
                <c:pt idx="3">
                  <c:v>8810.868100100728</c:v>
                </c:pt>
                <c:pt idx="4">
                  <c:v>8757.2784268394244</c:v>
                </c:pt>
                <c:pt idx="5">
                  <c:v>8713.499865213973</c:v>
                </c:pt>
                <c:pt idx="6">
                  <c:v>8680.4703777797276</c:v>
                </c:pt>
                <c:pt idx="7">
                  <c:v>8659.007262149109</c:v>
                </c:pt>
                <c:pt idx="8">
                  <c:v>8649.7887277791488</c:v>
                </c:pt>
                <c:pt idx="9">
                  <c:v>8653.3386204591789</c:v>
                </c:pt>
                <c:pt idx="10">
                  <c:v>8670.0147907024148</c:v>
                </c:pt>
                <c:pt idx="11">
                  <c:v>8700.0014805576211</c:v>
                </c:pt>
                <c:pt idx="12">
                  <c:v>8743.3059679740527</c:v>
                </c:pt>
                <c:pt idx="13">
                  <c:v>8799.7595652570726</c:v>
                </c:pt>
                <c:pt idx="14">
                  <c:v>8869.0229251363908</c:v>
                </c:pt>
                <c:pt idx="15">
                  <c:v>8950.5954713484589</c:v>
                </c:pt>
                <c:pt idx="16">
                  <c:v>9043.8286468718197</c:v>
                </c:pt>
                <c:pt idx="17">
                  <c:v>9147.942567984006</c:v>
                </c:pt>
                <c:pt idx="18">
                  <c:v>9262.0455913956321</c:v>
                </c:pt>
                <c:pt idx="19">
                  <c:v>9385.1562494822174</c:v>
                </c:pt>
                <c:pt idx="20">
                  <c:v>9516.2269894755027</c:v>
                </c:pt>
                <c:pt idx="21">
                  <c:v>9654.1691713880591</c:v>
                </c:pt>
                <c:pt idx="22">
                  <c:v>9797.878843840319</c:v>
                </c:pt>
                <c:pt idx="23">
                  <c:v>9946.262941043391</c:v>
                </c:pt>
                <c:pt idx="24">
                  <c:v>10098.265758774189</c:v>
                </c:pt>
                <c:pt idx="25">
                  <c:v>10252.895947688485</c:v>
                </c:pt>
                <c:pt idx="26">
                  <c:v>10409.25501795116</c:v>
                </c:pt>
                <c:pt idx="27">
                  <c:v>10566.570199737711</c:v>
                </c:pt>
                <c:pt idx="28">
                  <c:v>10724.241313152947</c:v>
                </c:pt>
                <c:pt idx="29">
                  <c:v>10881.912304939966</c:v>
                </c:pt>
                <c:pt idx="30">
                  <c:v>11039.224858751215</c:v>
                </c:pt>
                <c:pt idx="31">
                  <c:v>11195.569665369896</c:v>
                </c:pt>
                <c:pt idx="32">
                  <c:v>11350.154995169216</c:v>
                </c:pt>
                <c:pt idx="33">
                  <c:v>11502.051669826409</c:v>
                </c:pt>
                <c:pt idx="34">
                  <c:v>11650.22481553019</c:v>
                </c:pt>
                <c:pt idx="35">
                  <c:v>11793.562015922478</c:v>
                </c:pt>
                <c:pt idx="36">
                  <c:v>11930.900734316065</c:v>
                </c:pt>
                <c:pt idx="37">
                  <c:v>12061.056027177328</c:v>
                </c:pt>
                <c:pt idx="38">
                  <c:v>12182.848795577822</c:v>
                </c:pt>
                <c:pt idx="39">
                  <c:v>12295.134408873755</c:v>
                </c:pt>
                <c:pt idx="40">
                  <c:v>12396.831281032719</c:v>
                </c:pt>
                <c:pt idx="41">
                  <c:v>12486.948813092156</c:v>
                </c:pt>
                <c:pt idx="42">
                  <c:v>12564.614007682785</c:v>
                </c:pt>
                <c:pt idx="43">
                  <c:v>12629.096002627211</c:v>
                </c:pt>
                <c:pt idx="44">
                  <c:v>12679.82775606517</c:v>
                </c:pt>
                <c:pt idx="45">
                  <c:v>12716.424143446924</c:v>
                </c:pt>
                <c:pt idx="46">
                  <c:v>12738.695795366504</c:v>
                </c:pt>
                <c:pt idx="47">
                  <c:v>12746.658111908777</c:v>
                </c:pt>
                <c:pt idx="48">
                  <c:v>12740.535029927734</c:v>
                </c:pt>
                <c:pt idx="49">
                  <c:v>12720.757288760684</c:v>
                </c:pt>
                <c:pt idx="50">
                  <c:v>12687.955129953907</c:v>
                </c:pt>
                <c:pt idx="51">
                  <c:v>12642.945568884425</c:v>
                </c:pt>
                <c:pt idx="52">
                  <c:v>12586.714580907386</c:v>
                </c:pt>
                <c:pt idx="53">
                  <c:v>12520.394741477068</c:v>
                </c:pt>
                <c:pt idx="54">
                  <c:v>12445.239038270194</c:v>
                </c:pt>
                <c:pt idx="55">
                  <c:v>12362.591724058071</c:v>
                </c:pt>
                <c:pt idx="56">
                  <c:v>12273.857193540533</c:v>
                </c:pt>
                <c:pt idx="57">
                  <c:v>12180.467939095743</c:v>
                </c:pt>
                <c:pt idx="58">
                  <c:v>12083.852665252996</c:v>
                </c:pt>
                <c:pt idx="59">
                  <c:v>11985.405618076098</c:v>
                </c:pt>
                <c:pt idx="60">
                  <c:v>11886.458114832227</c:v>
                </c:pt>
              </c:numCache>
            </c:numRef>
          </c:val>
          <c:smooth val="0"/>
          <c:extLst>
            <c:ext xmlns:c16="http://schemas.microsoft.com/office/drawing/2014/chart" uri="{C3380CC4-5D6E-409C-BE32-E72D297353CC}">
              <c16:uniqueId val="{0000000C-8C33-442B-B4DC-700F32A3F8A3}"/>
            </c:ext>
          </c:extLst>
        </c:ser>
        <c:dLbls>
          <c:showLegendKey val="0"/>
          <c:showVal val="0"/>
          <c:showCatName val="0"/>
          <c:showSerName val="0"/>
          <c:showPercent val="0"/>
          <c:showBubbleSize val="0"/>
        </c:dLbls>
        <c:smooth val="0"/>
        <c:axId val="507038336"/>
        <c:axId val="495778248"/>
      </c:lineChart>
      <c:catAx>
        <c:axId val="507038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778248"/>
        <c:crosses val="autoZero"/>
        <c:auto val="1"/>
        <c:lblAlgn val="ctr"/>
        <c:lblOffset val="100"/>
        <c:noMultiLvlLbl val="0"/>
      </c:catAx>
      <c:valAx>
        <c:axId val="495778248"/>
        <c:scaling>
          <c:orientation val="minMax"/>
          <c:max val="16000"/>
          <c:min val="63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7038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data id="1">
      <cx:numDim type="val">
        <cx:f>_xlchart.v1.3</cx:f>
      </cx:numDim>
    </cx:data>
  </cx:chartData>
  <cx:chart>
    <cx:title pos="t" align="ctr" overlay="0">
      <cx:tx>
        <cx:txData>
          <cx:v>GHG Impact of Corn Stover Ethanol </cx:v>
        </cx:txData>
      </cx:tx>
      <cx:txPr>
        <a:bodyPr spcFirstLastPara="1" vertOverflow="ellipsis" horzOverflow="overflow" wrap="square" lIns="0" tIns="0" rIns="0" bIns="0" anchor="ctr" anchorCtr="1"/>
        <a:lstStyle/>
        <a:p>
          <a:pPr algn="ctr" rtl="0">
            <a:defRPr/>
          </a:pPr>
          <a:r>
            <a:rPr lang="en-US" sz="2000" b="0" i="0" u="none" strike="noStrike" baseline="0">
              <a:solidFill>
                <a:sysClr val="windowText" lastClr="000000">
                  <a:lumMod val="65000"/>
                  <a:lumOff val="35000"/>
                </a:sysClr>
              </a:solidFill>
              <a:latin typeface="Calibri" panose="020F0502020204030204"/>
            </a:rPr>
            <a:t>GHG Impact of Corn Stover Ethanol </a:t>
          </a:r>
        </a:p>
      </cx:txPr>
    </cx:title>
    <cx:plotArea>
      <cx:plotAreaRegion>
        <cx:series layoutId="boxWhisker" uniqueId="{00000003-2B12-4286-BFDF-8C300DFFBF5B}">
          <cx:tx>
            <cx:txData>
              <cx:f>_xlchart.v1.1</cx:f>
              <cx:v>GHG Impact </cx:v>
            </cx:txData>
          </cx:tx>
          <cx:spPr>
            <a:solidFill>
              <a:schemeClr val="bg1"/>
            </a:solidFill>
            <a:ln w="19050">
              <a:solidFill>
                <a:sysClr val="windowText" lastClr="000000"/>
              </a:solidFill>
            </a:ln>
          </cx:spPr>
          <cx:dataId val="0"/>
          <cx:layoutPr>
            <cx:visibility nonoutliers="0"/>
            <cx:statistics quartileMethod="exclusive"/>
          </cx:layoutPr>
        </cx:series>
        <cx:series layoutId="boxWhisker" uniqueId="{00000005-2B12-4286-BFDF-8C300DFFBF5B}">
          <cx:tx>
            <cx:txData>
              <cx:f>_xlchart.v1.0</cx:f>
              <cx:v>This Work</cx:v>
            </cx:txData>
          </cx:tx>
          <cx:spPr>
            <a:solidFill>
              <a:srgbClr val="C00000"/>
            </a:solidFill>
            <a:ln w="12700">
              <a:noFill/>
              <a:round/>
            </a:ln>
          </cx:spPr>
          <cx:dataId val="1"/>
          <cx:layoutPr>
            <cx:visibility meanLine="1" meanMarker="0" nonoutliers="0" outliers="0"/>
            <cx:statistics quartileMethod="exclusive"/>
          </cx:layoutPr>
        </cx:series>
      </cx:plotAreaRegion>
      <cx:axis id="0" hidden="1">
        <cx:catScaling gapWidth="1"/>
        <cx:title>
          <cx:tx>
            <cx:txData>
              <cx:v>Corn Stover Ethanol</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Corn Stover Ethanol</a:t>
              </a:r>
            </a:p>
          </cx:txPr>
        </cx:title>
        <cx:tickLabels/>
      </cx:axis>
      <cx:axis id="1">
        <cx:valScaling/>
        <cx:title>
          <cx:tx>
            <cx:txData>
              <cx:v>g CO2 eq/MJ EtOH</cx:v>
            </cx:txData>
          </cx:tx>
          <cx:txPr>
            <a:bodyPr spcFirstLastPara="1" vertOverflow="ellipsis" horzOverflow="overflow" wrap="square" lIns="0" tIns="0" rIns="0" bIns="0" anchor="ctr" anchorCtr="1"/>
            <a:lstStyle/>
            <a:p>
              <a:pPr algn="ctr" rtl="0">
                <a:defRPr/>
              </a:pPr>
              <a:r>
                <a:rPr lang="en-US" sz="1800" b="0" i="0" u="none" strike="noStrike" baseline="0">
                  <a:solidFill>
                    <a:sysClr val="windowText" lastClr="000000">
                      <a:lumMod val="65000"/>
                      <a:lumOff val="35000"/>
                    </a:sysClr>
                  </a:solidFill>
                  <a:latin typeface="Calibri" panose="020F0502020204030204"/>
                </a:rPr>
                <a:t>g CO2 eq/MJ EtOH</a:t>
              </a:r>
            </a:p>
          </cx:txPr>
        </cx:title>
        <cx:majorGridlines/>
        <cx:tickLabels/>
        <cx:txPr>
          <a:bodyPr spcFirstLastPara="1" vertOverflow="ellipsis" horzOverflow="overflow" wrap="square" lIns="0" tIns="0" rIns="0" bIns="0" anchor="ctr" anchorCtr="1"/>
          <a:lstStyle/>
          <a:p>
            <a:pPr algn="ctr" rtl="0">
              <a:defRPr sz="1400" baseline="0"/>
            </a:pPr>
            <a:endParaRPr lang="en-US" sz="1400" b="0" i="0" u="none" strike="noStrike" baseline="0">
              <a:solidFill>
                <a:sysClr val="windowText" lastClr="000000">
                  <a:lumMod val="65000"/>
                  <a:lumOff val="35000"/>
                </a:sysClr>
              </a:solidFill>
              <a:latin typeface="Calibri" panose="020F0502020204030204"/>
            </a:endParaRPr>
          </a:p>
        </cx:txPr>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microsoft.com/office/2014/relationships/chartEx" Target="../charts/chartEx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15</xdr:col>
      <xdr:colOff>37609</xdr:colOff>
      <xdr:row>111</xdr:row>
      <xdr:rowOff>62871</xdr:rowOff>
    </xdr:from>
    <xdr:to>
      <xdr:col>27</xdr:col>
      <xdr:colOff>770303</xdr:colOff>
      <xdr:row>151</xdr:row>
      <xdr:rowOff>177729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387530</xdr:colOff>
      <xdr:row>37</xdr:row>
      <xdr:rowOff>58238</xdr:rowOff>
    </xdr:from>
    <xdr:to>
      <xdr:col>30</xdr:col>
      <xdr:colOff>647700</xdr:colOff>
      <xdr:row>67</xdr:row>
      <xdr:rowOff>49530</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30</xdr:col>
      <xdr:colOff>647700</xdr:colOff>
      <xdr:row>37</xdr:row>
      <xdr:rowOff>63500</xdr:rowOff>
    </xdr:from>
    <xdr:to>
      <xdr:col>41</xdr:col>
      <xdr:colOff>114300</xdr:colOff>
      <xdr:row>67</xdr:row>
      <xdr:rowOff>63500</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836700</xdr:colOff>
      <xdr:row>80</xdr:row>
      <xdr:rowOff>215982</xdr:rowOff>
    </xdr:from>
    <xdr:to>
      <xdr:col>27</xdr:col>
      <xdr:colOff>1101784</xdr:colOff>
      <xdr:row>109</xdr:row>
      <xdr:rowOff>112285</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xdr:col>
      <xdr:colOff>820616</xdr:colOff>
      <xdr:row>126</xdr:row>
      <xdr:rowOff>115763</xdr:rowOff>
    </xdr:from>
    <xdr:to>
      <xdr:col>10</xdr:col>
      <xdr:colOff>1003789</xdr:colOff>
      <xdr:row>149</xdr:row>
      <xdr:rowOff>109903</xdr:rowOff>
    </xdr:to>
    <xdr:graphicFrame macro="">
      <xdr:nvGraphicFramePr>
        <xdr:cNvPr id="8" name="Chart 7">
          <a:extLst>
            <a:ext uri="{FF2B5EF4-FFF2-40B4-BE49-F238E27FC236}">
              <a16:creationId xmlns:a16="http://schemas.microsoft.com/office/drawing/2014/main" id="{00000000-0008-0000-04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179509</xdr:colOff>
      <xdr:row>151</xdr:row>
      <xdr:rowOff>108439</xdr:rowOff>
    </xdr:from>
    <xdr:to>
      <xdr:col>7</xdr:col>
      <xdr:colOff>718039</xdr:colOff>
      <xdr:row>173</xdr:row>
      <xdr:rowOff>117231</xdr:rowOff>
    </xdr:to>
    <xdr:graphicFrame macro="">
      <xdr:nvGraphicFramePr>
        <xdr:cNvPr id="9" name="Chart 8">
          <a:extLst>
            <a:ext uri="{FF2B5EF4-FFF2-40B4-BE49-F238E27FC236}">
              <a16:creationId xmlns:a16="http://schemas.microsoft.com/office/drawing/2014/main" id="{00000000-0008-0000-04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1287186</xdr:colOff>
      <xdr:row>53</xdr:row>
      <xdr:rowOff>124938</xdr:rowOff>
    </xdr:from>
    <xdr:to>
      <xdr:col>18</xdr:col>
      <xdr:colOff>369422</xdr:colOff>
      <xdr:row>72</xdr:row>
      <xdr:rowOff>44929</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1478280</xdr:colOff>
      <xdr:row>193</xdr:row>
      <xdr:rowOff>41910</xdr:rowOff>
    </xdr:from>
    <xdr:to>
      <xdr:col>8</xdr:col>
      <xdr:colOff>723900</xdr:colOff>
      <xdr:row>235</xdr:row>
      <xdr:rowOff>86139</xdr:rowOff>
    </xdr:to>
    <xdr:graphicFrame macro="">
      <xdr:nvGraphicFramePr>
        <xdr:cNvPr id="6" name="Chart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39999</xdr:colOff>
      <xdr:row>193</xdr:row>
      <xdr:rowOff>35350</xdr:rowOff>
    </xdr:from>
    <xdr:to>
      <xdr:col>14</xdr:col>
      <xdr:colOff>1293987</xdr:colOff>
      <xdr:row>236</xdr:row>
      <xdr:rowOff>133350</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5</xdr:col>
          <xdr:colOff>298450</xdr:colOff>
          <xdr:row>113</xdr:row>
          <xdr:rowOff>107950</xdr:rowOff>
        </xdr:from>
        <xdr:to>
          <xdr:col>6</xdr:col>
          <xdr:colOff>742950</xdr:colOff>
          <xdr:row>116</xdr:row>
          <xdr:rowOff>38100</xdr:rowOff>
        </xdr:to>
        <xdr:sp macro="" textlink="">
          <xdr:nvSpPr>
            <xdr:cNvPr id="9252" name="Button 36" hidden="1">
              <a:extLst>
                <a:ext uri="{63B3BB69-23CF-44E3-9099-C40C66FF867C}">
                  <a14:compatExt spid="_x0000_s9252"/>
                </a:ext>
                <a:ext uri="{FF2B5EF4-FFF2-40B4-BE49-F238E27FC236}">
                  <a16:creationId xmlns:a16="http://schemas.microsoft.com/office/drawing/2014/main" id="{00000000-0008-0000-0500-000024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MESP Solver</a:t>
              </a:r>
            </a:p>
          </xdr:txBody>
        </xdr:sp>
        <xdr:clientData fPrintsWithSheet="0"/>
      </xdr:twoCellAnchor>
    </mc:Choice>
    <mc:Fallback/>
  </mc:AlternateContent>
  <xdr:twoCellAnchor>
    <xdr:from>
      <xdr:col>20</xdr:col>
      <xdr:colOff>114300</xdr:colOff>
      <xdr:row>193</xdr:row>
      <xdr:rowOff>95250</xdr:rowOff>
    </xdr:from>
    <xdr:to>
      <xdr:col>26</xdr:col>
      <xdr:colOff>68806</xdr:colOff>
      <xdr:row>236</xdr:row>
      <xdr:rowOff>142875</xdr:rowOff>
    </xdr:to>
    <xdr:graphicFrame macro="">
      <xdr:nvGraphicFramePr>
        <xdr:cNvPr id="7" name="Chart 6">
          <a:extLst>
            <a:ext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1152524</xdr:colOff>
      <xdr:row>21</xdr:row>
      <xdr:rowOff>52386</xdr:rowOff>
    </xdr:from>
    <xdr:to>
      <xdr:col>24</xdr:col>
      <xdr:colOff>1133474</xdr:colOff>
      <xdr:row>42</xdr:row>
      <xdr:rowOff>152399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131641</xdr:colOff>
      <xdr:row>12</xdr:row>
      <xdr:rowOff>118375</xdr:rowOff>
    </xdr:from>
    <xdr:to>
      <xdr:col>9</xdr:col>
      <xdr:colOff>574445</xdr:colOff>
      <xdr:row>42</xdr:row>
      <xdr:rowOff>9257</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374765</xdr:colOff>
      <xdr:row>32</xdr:row>
      <xdr:rowOff>122217</xdr:rowOff>
    </xdr:from>
    <xdr:to>
      <xdr:col>16</xdr:col>
      <xdr:colOff>274320</xdr:colOff>
      <xdr:row>47</xdr:row>
      <xdr:rowOff>53340</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312420</xdr:colOff>
      <xdr:row>32</xdr:row>
      <xdr:rowOff>125730</xdr:rowOff>
    </xdr:from>
    <xdr:to>
      <xdr:col>21</xdr:col>
      <xdr:colOff>106680</xdr:colOff>
      <xdr:row>47</xdr:row>
      <xdr:rowOff>45720</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29</xdr:col>
      <xdr:colOff>110489</xdr:colOff>
      <xdr:row>7</xdr:row>
      <xdr:rowOff>163830</xdr:rowOff>
    </xdr:from>
    <xdr:to>
      <xdr:col>48</xdr:col>
      <xdr:colOff>161924</xdr:colOff>
      <xdr:row>44</xdr:row>
      <xdr:rowOff>133350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acks074/Documents/ABM/z_Other%20(Non-Backed)%20Files/dw1102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Summary"/>
      <sheetName val="CB_DATA_"/>
      <sheetName val="OPEX"/>
      <sheetName val="CAPEX"/>
      <sheetName val="INDICES"/>
      <sheetName val="DCFROR"/>
      <sheetName val="Operating Summaries"/>
      <sheetName val="aspen"/>
      <sheetName val="Cost Breakdown"/>
      <sheetName val="Energy Bal"/>
      <sheetName val="aspen2"/>
      <sheetName val="aspenqw"/>
      <sheetName val="SUGAR"/>
      <sheetName val="PFD tables"/>
    </sheetNames>
    <sheetDataSet>
      <sheetData sheetId="0"/>
      <sheetData sheetId="1"/>
      <sheetData sheetId="2"/>
      <sheetData sheetId="3"/>
      <sheetData sheetId="4"/>
      <sheetData sheetId="5"/>
      <sheetData sheetId="6">
        <row r="35">
          <cell r="B35">
            <v>2.3398322125926292</v>
          </cell>
        </row>
      </sheetData>
      <sheetData sheetId="7"/>
      <sheetData sheetId="8"/>
      <sheetData sheetId="9"/>
      <sheetData sheetId="10"/>
      <sheetData sheetId="11"/>
      <sheetData sheetId="12"/>
      <sheetData sheetId="13"/>
      <sheetData sheetId="1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ncbi.nlm.nih.gov/pmc/articles/PMC4461158/" TargetMode="External"/><Relationship Id="rId13" Type="http://schemas.openxmlformats.org/officeDocument/2006/relationships/hyperlink" Target="https://www.sciencedirect.com/science/article/pii/S0196890415007931" TargetMode="External"/><Relationship Id="rId18" Type="http://schemas.openxmlformats.org/officeDocument/2006/relationships/hyperlink" Target="http://cropphysiology.cropsci.illinois.edu/documents/BenderHaegele2013NutrUptakeBetterCrops.pdf" TargetMode="External"/><Relationship Id="rId3" Type="http://schemas.openxmlformats.org/officeDocument/2006/relationships/hyperlink" Target="https://www.ers.usda.gov/webdocs/publications/43883/49018_eib128.pdf?v=0" TargetMode="External"/><Relationship Id="rId21" Type="http://schemas.openxmlformats.org/officeDocument/2006/relationships/hyperlink" Target="https://www.nrel.gov/docs/fy05osti/37092.pdf" TargetMode="External"/><Relationship Id="rId7" Type="http://schemas.openxmlformats.org/officeDocument/2006/relationships/hyperlink" Target="https://www.nrel.gov/docs/gen/fy03/34471.pdf" TargetMode="External"/><Relationship Id="rId12" Type="http://schemas.openxmlformats.org/officeDocument/2006/relationships/hyperlink" Target="https://www.mdpi.com/2071-1050/4/1/92" TargetMode="External"/><Relationship Id="rId17" Type="http://schemas.openxmlformats.org/officeDocument/2006/relationships/hyperlink" Target="https://www.usda.gov/oce/reports/energy/2015EnergyBalanceCornEthanol.pdf" TargetMode="External"/><Relationship Id="rId2" Type="http://schemas.openxmlformats.org/officeDocument/2006/relationships/hyperlink" Target="https://www.agry.purdue.edu/ext/corn/news/timeless/SeedingRates.html" TargetMode="External"/><Relationship Id="rId16" Type="http://schemas.openxmlformats.org/officeDocument/2006/relationships/hyperlink" Target="https://www.sciencedirect.com/customer/institutionchoice?targetURL=https%3A%2F%2Fwww.sciencedirect.com%2Fscience%2Farticle%2Fpii%2FS0961953415301756" TargetMode="External"/><Relationship Id="rId20" Type="http://schemas.openxmlformats.org/officeDocument/2006/relationships/hyperlink" Target="https://earthobservatory.nasa.gov/features/CarbonCycle" TargetMode="External"/><Relationship Id="rId1" Type="http://schemas.openxmlformats.org/officeDocument/2006/relationships/hyperlink" Target="https://crops.extension.iastate.edu/cropnews/2017/06/corn-water-use-and-evapotranspiration" TargetMode="External"/><Relationship Id="rId6" Type="http://schemas.openxmlformats.org/officeDocument/2006/relationships/hyperlink" Target="../../../../../../AppData/z_Other%20(Non-Backed)%20Files/Process%20Model%20Draft%20-%20Corn%20Stover%20to%20Ethanol/2%20-%20Pretreatment%20and%20Dilute%20Acid%20Hydrolysis/Size%20Reduction/Energy%20Analysis%20of%20Size%20Reduction%20Process%20-%20USED.pdf" TargetMode="External"/><Relationship Id="rId11" Type="http://schemas.openxmlformats.org/officeDocument/2006/relationships/hyperlink" Target="..\..\..\..\..\AppData\z_Other%20(Non-Backed)%20Files\Process%20Model%20Draft%20-%20Corn%20Stover%20to%20Ethanol\z_General%20or%20Multi-category\z_NREL%20Corn%20and%20Stover%20Index%20(PFD).pdf" TargetMode="External"/><Relationship Id="rId24" Type="http://schemas.openxmlformats.org/officeDocument/2006/relationships/comments" Target="../comments4.xml"/><Relationship Id="rId5" Type="http://schemas.openxmlformats.org/officeDocument/2006/relationships/hyperlink" Target="../../../../../AppData/z_Other%20(Non-Backed)%20Files/Process%20Model%20Draft%20-%20Corn%20Stover%20to%20Ethanol/z_General%20or%20Multi-category/2015EnergyBalanceCornEthanol.pdf" TargetMode="External"/><Relationship Id="rId15" Type="http://schemas.openxmlformats.org/officeDocument/2006/relationships/hyperlink" Target="https://www.nass.usda.gov/Surveys/Guide_to_NASS_Surveys/Chemical_Use/2016_Corn_Potatoes/ChemUseHighlights_Corn_2016.pdf" TargetMode="External"/><Relationship Id="rId23" Type="http://schemas.openxmlformats.org/officeDocument/2006/relationships/vmlDrawing" Target="../drawings/vmlDrawing4.vml"/><Relationship Id="rId10" Type="http://schemas.openxmlformats.org/officeDocument/2006/relationships/hyperlink" Target="https://www.nrel.gov/docs/gen/fy03/34471.pdf" TargetMode="External"/><Relationship Id="rId19" Type="http://schemas.openxmlformats.org/officeDocument/2006/relationships/hyperlink" Target="http://cropphysiology.cropsci.illinois.edu/documents/BenderHaegele2013NutrUptakeBetterCrops.pdf" TargetMode="External"/><Relationship Id="rId4" Type="http://schemas.openxmlformats.org/officeDocument/2006/relationships/hyperlink" Target="https://www.nass.usda.gov/Surveys/Guide_to_NASS_Surveys/Chemical_Use/2014_Corn_Highlights/ChemUseHighlights_Corn_2014.pdf" TargetMode="External"/><Relationship Id="rId9" Type="http://schemas.openxmlformats.org/officeDocument/2006/relationships/hyperlink" Target="https://www.frontiersin.org/articles/10.3389/fbioe.2019.00188/full" TargetMode="External"/><Relationship Id="rId14" Type="http://schemas.openxmlformats.org/officeDocument/2006/relationships/hyperlink" Target="https://www.nrel.gov/docs/fy02osti/32438.pdf" TargetMode="External"/><Relationship Id="rId22" Type="http://schemas.openxmlformats.org/officeDocument/2006/relationships/hyperlink" Target="https://reader.elsevier.com/reader/sd/pii/B9780444634535000057?token=8B24F3FD59FB31FBB2123AA04D67B2576C664C7E6B58E1A5860F5C194EC42067FAC50B3BA6AF20F777F8409919B2BF6F"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7" Type="http://schemas.openxmlformats.org/officeDocument/2006/relationships/comments" Target="../comments6.xml"/><Relationship Id="rId2" Type="http://schemas.openxmlformats.org/officeDocument/2006/relationships/hyperlink" Target="https://www.sciencedirect.com/science/article/pii/S0961953413001657" TargetMode="External"/><Relationship Id="rId1" Type="http://schemas.openxmlformats.org/officeDocument/2006/relationships/hyperlink" Target="https://www.irs.gov/pub/irs-pdf/p946.pdf" TargetMode="External"/><Relationship Id="rId6" Type="http://schemas.openxmlformats.org/officeDocument/2006/relationships/ctrlProp" Target="../ctrlProps/ctrlProp1.xml"/><Relationship Id="rId5" Type="http://schemas.openxmlformats.org/officeDocument/2006/relationships/vmlDrawing" Target="../drawings/vmlDrawing6.vml"/><Relationship Id="rId4"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FF00"/>
  </sheetPr>
  <dimension ref="C2:P25"/>
  <sheetViews>
    <sheetView topLeftCell="A3" zoomScale="110" zoomScaleNormal="110" workbookViewId="0">
      <selection activeCell="E19" sqref="E19:F19"/>
    </sheetView>
  </sheetViews>
  <sheetFormatPr defaultRowHeight="14.5" x14ac:dyDescent="0.35"/>
  <cols>
    <col min="6" max="6" width="10.26953125" customWidth="1"/>
    <col min="7" max="7" width="6.1796875" customWidth="1"/>
    <col min="8" max="8" width="21.7265625" customWidth="1"/>
    <col min="9" max="9" width="9.26953125" customWidth="1"/>
    <col min="10" max="10" width="9.453125" customWidth="1"/>
    <col min="12" max="12" width="12.81640625" customWidth="1"/>
  </cols>
  <sheetData>
    <row r="2" spans="3:16" ht="27.65" customHeight="1" x14ac:dyDescent="0.35">
      <c r="C2" s="43"/>
      <c r="D2" s="43"/>
      <c r="E2" s="43"/>
      <c r="F2" s="43"/>
      <c r="G2" s="43"/>
      <c r="H2" s="43"/>
      <c r="I2" s="43"/>
      <c r="J2" s="43"/>
      <c r="K2" s="43"/>
      <c r="L2" s="43"/>
      <c r="M2" s="43"/>
    </row>
    <row r="3" spans="3:16" x14ac:dyDescent="0.35">
      <c r="C3" s="43"/>
      <c r="D3" s="320" t="s">
        <v>335</v>
      </c>
      <c r="E3" s="320"/>
      <c r="F3" s="320"/>
      <c r="G3" s="320"/>
      <c r="H3" s="320"/>
      <c r="I3" s="320"/>
      <c r="J3" s="320"/>
      <c r="K3" s="320"/>
      <c r="L3" s="320"/>
      <c r="M3" s="43"/>
    </row>
    <row r="4" spans="3:16" x14ac:dyDescent="0.35">
      <c r="C4" s="43"/>
      <c r="D4" s="239"/>
      <c r="E4" s="239"/>
      <c r="F4" s="239"/>
      <c r="G4" s="239"/>
      <c r="H4" s="239"/>
      <c r="I4" s="239"/>
      <c r="J4" s="239"/>
      <c r="K4" s="239"/>
      <c r="L4" s="239"/>
      <c r="M4" s="43"/>
    </row>
    <row r="5" spans="3:16" x14ac:dyDescent="0.35">
      <c r="C5" s="43"/>
      <c r="D5" s="239"/>
      <c r="E5" s="318" t="s">
        <v>336</v>
      </c>
      <c r="F5" s="321"/>
      <c r="G5" s="319"/>
      <c r="H5" s="239"/>
      <c r="I5" s="322" t="s">
        <v>337</v>
      </c>
      <c r="J5" s="322"/>
      <c r="K5" s="322"/>
      <c r="L5" s="239"/>
      <c r="M5" s="43"/>
    </row>
    <row r="6" spans="3:16" x14ac:dyDescent="0.35">
      <c r="C6" s="43"/>
      <c r="D6" s="239"/>
      <c r="E6" s="240" t="s">
        <v>338</v>
      </c>
      <c r="F6" s="241">
        <v>1</v>
      </c>
      <c r="G6" s="239" t="s">
        <v>7</v>
      </c>
      <c r="H6" s="239"/>
      <c r="I6" s="239" t="s">
        <v>340</v>
      </c>
      <c r="J6" s="242">
        <f>'Process Model'!R4</f>
        <v>472.45852657821541</v>
      </c>
      <c r="K6" s="239" t="s">
        <v>987</v>
      </c>
      <c r="L6" s="239"/>
      <c r="M6" s="43"/>
    </row>
    <row r="7" spans="3:16" x14ac:dyDescent="0.35">
      <c r="C7" s="43"/>
      <c r="D7" s="239"/>
      <c r="E7" s="240" t="s">
        <v>898</v>
      </c>
      <c r="F7" s="239">
        <v>34</v>
      </c>
      <c r="G7" s="239" t="s">
        <v>570</v>
      </c>
      <c r="H7" s="239"/>
      <c r="I7" s="239" t="s">
        <v>93</v>
      </c>
      <c r="J7" s="290">
        <f>'Process Model'!M44</f>
        <v>0</v>
      </c>
      <c r="K7" s="239" t="s">
        <v>98</v>
      </c>
      <c r="L7" s="239"/>
      <c r="M7" s="43"/>
    </row>
    <row r="8" spans="3:16" x14ac:dyDescent="0.35">
      <c r="C8" s="43"/>
      <c r="D8" s="239"/>
      <c r="E8" s="240"/>
      <c r="F8" s="239"/>
      <c r="G8" s="239"/>
      <c r="H8" s="239"/>
      <c r="J8" s="241"/>
      <c r="K8" s="292"/>
      <c r="L8" s="239"/>
      <c r="M8" s="43"/>
    </row>
    <row r="9" spans="3:16" x14ac:dyDescent="0.35">
      <c r="C9" s="43"/>
      <c r="D9" s="239"/>
      <c r="E9" s="240" t="s">
        <v>974</v>
      </c>
      <c r="F9" s="239" t="s">
        <v>836</v>
      </c>
      <c r="G9" s="239"/>
      <c r="H9" s="239"/>
      <c r="I9" s="240" t="s">
        <v>901</v>
      </c>
      <c r="J9" s="291">
        <f>MESP</f>
        <v>2.4307930833445983</v>
      </c>
      <c r="K9" s="239" t="s">
        <v>911</v>
      </c>
      <c r="L9" s="239"/>
      <c r="M9" s="43"/>
    </row>
    <row r="10" spans="3:16" x14ac:dyDescent="0.35">
      <c r="C10" s="43"/>
      <c r="D10" s="239"/>
      <c r="E10" s="240" t="s">
        <v>975</v>
      </c>
      <c r="F10" s="239" t="s">
        <v>976</v>
      </c>
      <c r="G10" s="239"/>
      <c r="H10" s="239"/>
      <c r="I10" s="240" t="s">
        <v>899</v>
      </c>
      <c r="J10" s="243">
        <f>LCA!G78</f>
        <v>2.1459936216583624</v>
      </c>
      <c r="K10" s="239" t="s">
        <v>913</v>
      </c>
      <c r="L10" s="239"/>
      <c r="M10" s="43"/>
      <c r="O10">
        <f>J11/997</f>
        <v>9.9919129902906629</v>
      </c>
      <c r="P10" t="s">
        <v>342</v>
      </c>
    </row>
    <row r="11" spans="3:16" x14ac:dyDescent="0.35">
      <c r="C11" s="43"/>
      <c r="D11" s="239"/>
      <c r="E11" s="240"/>
      <c r="F11" s="239"/>
      <c r="G11" s="239"/>
      <c r="H11" s="239"/>
      <c r="I11" s="240" t="s">
        <v>900</v>
      </c>
      <c r="J11" s="243">
        <f>(Inputs!A16+DAH_Dilution_Water_I+EH_Dilution_Water_Input)/'Process Model'!R4</f>
        <v>9961.9372513197904</v>
      </c>
      <c r="K11" s="239" t="s">
        <v>914</v>
      </c>
      <c r="L11" s="239"/>
      <c r="M11" s="43"/>
      <c r="O11">
        <f>O10/'Conversions Page'!D15</f>
        <v>2639.5854056207022</v>
      </c>
      <c r="P11" t="s">
        <v>72</v>
      </c>
    </row>
    <row r="12" spans="3:16" x14ac:dyDescent="0.35">
      <c r="C12" s="43"/>
      <c r="D12" s="239"/>
      <c r="E12" s="240" t="s">
        <v>990</v>
      </c>
      <c r="F12" s="239" t="s">
        <v>988</v>
      </c>
      <c r="G12" s="239"/>
      <c r="H12" s="239"/>
      <c r="I12" s="241"/>
      <c r="J12" s="241"/>
      <c r="K12" s="241"/>
      <c r="L12" s="239"/>
      <c r="M12" s="43"/>
    </row>
    <row r="13" spans="3:16" x14ac:dyDescent="0.35">
      <c r="C13" s="43"/>
      <c r="D13" s="239"/>
      <c r="E13" s="240"/>
      <c r="F13" s="239" t="s">
        <v>989</v>
      </c>
      <c r="G13" s="239"/>
      <c r="H13" s="239"/>
      <c r="I13" s="323" t="s">
        <v>902</v>
      </c>
      <c r="J13" s="323"/>
      <c r="K13" s="323"/>
      <c r="L13" s="239"/>
      <c r="M13" s="43"/>
    </row>
    <row r="14" spans="3:16" ht="1.9" customHeight="1" x14ac:dyDescent="0.35">
      <c r="C14" s="43"/>
      <c r="D14" s="239"/>
      <c r="E14" s="240"/>
      <c r="F14" s="239"/>
      <c r="G14" s="239"/>
      <c r="H14" s="239"/>
      <c r="I14" s="241"/>
      <c r="J14" s="241"/>
      <c r="K14" s="241"/>
      <c r="L14" s="239"/>
      <c r="M14" s="43"/>
    </row>
    <row r="15" spans="3:16" x14ac:dyDescent="0.35">
      <c r="C15" s="43"/>
      <c r="D15" s="239"/>
      <c r="E15" s="240"/>
      <c r="F15" s="239"/>
      <c r="G15" s="239"/>
      <c r="H15" s="239"/>
      <c r="I15" s="240" t="s">
        <v>903</v>
      </c>
      <c r="J15" s="244">
        <f>LCA!D78</f>
        <v>1.4616274807396204E-2</v>
      </c>
      <c r="K15" s="245" t="s">
        <v>915</v>
      </c>
      <c r="L15" s="239"/>
      <c r="M15" s="43"/>
    </row>
    <row r="16" spans="3:16" x14ac:dyDescent="0.35">
      <c r="C16" s="43"/>
      <c r="D16" s="239"/>
      <c r="E16" s="240"/>
      <c r="F16" s="239"/>
      <c r="G16" s="239"/>
      <c r="H16" s="239"/>
      <c r="I16" s="240" t="s">
        <v>904</v>
      </c>
      <c r="J16" s="244">
        <f>LCA!E78</f>
        <v>5.8538054339090468</v>
      </c>
      <c r="K16" s="245" t="s">
        <v>916</v>
      </c>
      <c r="L16" s="239"/>
      <c r="M16" s="43"/>
    </row>
    <row r="17" spans="3:13" x14ac:dyDescent="0.35">
      <c r="C17" s="43"/>
      <c r="D17" s="239"/>
      <c r="E17" s="240"/>
      <c r="F17" s="239"/>
      <c r="G17" s="239"/>
      <c r="H17" s="239"/>
      <c r="I17" s="240" t="s">
        <v>905</v>
      </c>
      <c r="J17" s="244">
        <f>LCA!F78</f>
        <v>4.9181927055286321E-3</v>
      </c>
      <c r="K17" s="245" t="s">
        <v>917</v>
      </c>
      <c r="L17" s="239"/>
      <c r="M17" s="43"/>
    </row>
    <row r="18" spans="3:13" x14ac:dyDescent="0.35">
      <c r="C18" s="43"/>
      <c r="D18" s="239"/>
      <c r="E18" s="324" t="s">
        <v>978</v>
      </c>
      <c r="F18" s="325"/>
      <c r="G18" s="239"/>
      <c r="H18" s="239"/>
      <c r="I18" s="240" t="s">
        <v>906</v>
      </c>
      <c r="J18" s="244">
        <f>LCA!H78</f>
        <v>4.1956494264716438E-8</v>
      </c>
      <c r="K18" s="245" t="s">
        <v>918</v>
      </c>
      <c r="L18" s="239"/>
      <c r="M18" s="43"/>
    </row>
    <row r="19" spans="3:13" x14ac:dyDescent="0.35">
      <c r="C19" s="43"/>
      <c r="D19" s="239"/>
      <c r="E19" s="318" t="s">
        <v>979</v>
      </c>
      <c r="F19" s="319"/>
      <c r="G19" s="239"/>
      <c r="H19" s="239"/>
      <c r="I19" s="240" t="s">
        <v>907</v>
      </c>
      <c r="J19" s="244">
        <f>LCA!I78</f>
        <v>2.6393056028445741E-7</v>
      </c>
      <c r="K19" s="245" t="s">
        <v>918</v>
      </c>
      <c r="L19" s="239"/>
      <c r="M19" s="43"/>
    </row>
    <row r="20" spans="3:13" x14ac:dyDescent="0.35">
      <c r="C20" s="43"/>
      <c r="D20" s="239"/>
      <c r="E20" s="240"/>
      <c r="F20" s="239"/>
      <c r="G20" s="239"/>
      <c r="H20" s="239"/>
      <c r="I20" s="240" t="s">
        <v>908</v>
      </c>
      <c r="J20" s="244">
        <f>LCA!J78</f>
        <v>4.9366509253441599E-7</v>
      </c>
      <c r="K20" s="245" t="s">
        <v>919</v>
      </c>
      <c r="L20" s="239"/>
      <c r="M20" s="43"/>
    </row>
    <row r="21" spans="3:13" x14ac:dyDescent="0.35">
      <c r="C21" s="43"/>
      <c r="D21" s="239"/>
      <c r="E21" s="240"/>
      <c r="F21" s="239"/>
      <c r="G21" s="239"/>
      <c r="H21" s="239"/>
      <c r="I21" s="240" t="s">
        <v>909</v>
      </c>
      <c r="J21" s="244">
        <f>LCA!K78</f>
        <v>0.13759045322032798</v>
      </c>
      <c r="K21" s="245" t="s">
        <v>920</v>
      </c>
      <c r="L21" s="239"/>
      <c r="M21" s="43"/>
    </row>
    <row r="22" spans="3:13" x14ac:dyDescent="0.35">
      <c r="C22" s="43"/>
      <c r="D22" s="239"/>
      <c r="E22" s="240"/>
      <c r="F22" s="239"/>
      <c r="G22" s="239"/>
      <c r="H22" s="239"/>
      <c r="I22" s="240" t="s">
        <v>912</v>
      </c>
      <c r="J22" s="244">
        <f>LCA!L78</f>
        <v>3.4596188656522004</v>
      </c>
      <c r="K22" s="245" t="s">
        <v>921</v>
      </c>
      <c r="L22" s="239"/>
      <c r="M22" s="43"/>
    </row>
    <row r="23" spans="3:13" x14ac:dyDescent="0.35">
      <c r="C23" s="43"/>
      <c r="D23" s="239"/>
      <c r="E23" s="240"/>
      <c r="F23" s="239"/>
      <c r="G23" s="239"/>
      <c r="H23" s="239"/>
      <c r="I23" s="240" t="s">
        <v>910</v>
      </c>
      <c r="J23" s="244">
        <f>LCA!M78</f>
        <v>3.9814769202483816E-4</v>
      </c>
      <c r="K23" s="245" t="s">
        <v>922</v>
      </c>
      <c r="L23" s="239"/>
      <c r="M23" s="43"/>
    </row>
    <row r="24" spans="3:13" x14ac:dyDescent="0.35">
      <c r="C24" s="43"/>
      <c r="D24" s="239"/>
      <c r="E24" s="240"/>
      <c r="F24" s="239"/>
      <c r="G24" s="239"/>
      <c r="H24" s="239"/>
      <c r="I24" s="240"/>
      <c r="J24" s="239"/>
      <c r="K24" s="239"/>
      <c r="L24" s="239"/>
      <c r="M24" s="43"/>
    </row>
    <row r="25" spans="3:13" ht="27.65" customHeight="1" x14ac:dyDescent="0.35">
      <c r="C25" s="43"/>
      <c r="D25" s="43"/>
      <c r="E25" s="43"/>
      <c r="F25" s="43"/>
      <c r="G25" s="43"/>
      <c r="H25" s="43"/>
      <c r="I25" s="43"/>
      <c r="J25" s="43"/>
      <c r="K25" s="43"/>
      <c r="L25" s="43"/>
      <c r="M25" s="43"/>
    </row>
  </sheetData>
  <mergeCells count="6">
    <mergeCell ref="E19:F19"/>
    <mergeCell ref="D3:L3"/>
    <mergeCell ref="E5:G5"/>
    <mergeCell ref="I5:K5"/>
    <mergeCell ref="I13:K13"/>
    <mergeCell ref="E18:F18"/>
  </mergeCell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4" tint="0.59999389629810485"/>
  </sheetPr>
  <dimension ref="A1:W1256"/>
  <sheetViews>
    <sheetView topLeftCell="E1" zoomScaleNormal="100" workbookViewId="0">
      <selection activeCell="K19" sqref="K19"/>
    </sheetView>
  </sheetViews>
  <sheetFormatPr defaultRowHeight="14.5" x14ac:dyDescent="0.35"/>
  <cols>
    <col min="1" max="1" width="12.1796875" customWidth="1"/>
    <col min="2" max="2" width="28.81640625" customWidth="1"/>
    <col min="3" max="3" width="6.7265625" customWidth="1"/>
    <col min="4" max="4" width="13.453125" customWidth="1"/>
    <col min="5" max="5" width="2.26953125" style="18" customWidth="1"/>
    <col min="6" max="6" width="10.54296875" customWidth="1"/>
    <col min="7" max="7" width="30.81640625" customWidth="1"/>
    <col min="8" max="8" width="11.26953125" customWidth="1"/>
    <col min="9" max="9" width="13.54296875" customWidth="1"/>
    <col min="10" max="10" width="2.26953125" style="18" customWidth="1"/>
    <col min="11" max="11" width="12.26953125" customWidth="1"/>
    <col min="12" max="14" width="10" customWidth="1"/>
    <col min="15" max="15" width="11.453125" customWidth="1"/>
    <col min="16" max="16" width="5.26953125" customWidth="1"/>
    <col min="17" max="17" width="18.54296875" style="259" customWidth="1"/>
    <col min="18" max="18" width="22.1796875" style="259" customWidth="1"/>
    <col min="22" max="23" width="12.1796875" customWidth="1"/>
  </cols>
  <sheetData>
    <row r="1" spans="1:23" ht="14.5" customHeight="1" x14ac:dyDescent="0.35">
      <c r="A1" s="331" t="s">
        <v>843</v>
      </c>
      <c r="B1" s="331"/>
      <c r="C1" s="331"/>
      <c r="D1" s="331"/>
      <c r="F1" s="331" t="s">
        <v>844</v>
      </c>
      <c r="G1" s="331"/>
      <c r="H1" s="331"/>
      <c r="I1" s="331"/>
      <c r="K1" s="331" t="s">
        <v>557</v>
      </c>
      <c r="L1" s="331"/>
      <c r="M1" s="331"/>
      <c r="N1" s="331"/>
      <c r="O1" s="331"/>
      <c r="Q1" s="333" t="s">
        <v>869</v>
      </c>
      <c r="R1" s="333"/>
    </row>
    <row r="2" spans="1:23" x14ac:dyDescent="0.35">
      <c r="A2" s="331"/>
      <c r="B2" s="331"/>
      <c r="C2" s="331"/>
      <c r="D2" s="331"/>
      <c r="F2" s="331"/>
      <c r="G2" s="331"/>
      <c r="H2" s="331"/>
      <c r="I2" s="331"/>
      <c r="K2" s="331"/>
      <c r="L2" s="331"/>
      <c r="M2" s="331"/>
      <c r="N2" s="331"/>
      <c r="O2" s="331"/>
      <c r="Q2" s="225" t="s">
        <v>855</v>
      </c>
      <c r="R2" s="224" t="s">
        <v>549</v>
      </c>
    </row>
    <row r="3" spans="1:23" x14ac:dyDescent="0.35">
      <c r="A3" s="328" t="s">
        <v>584</v>
      </c>
      <c r="B3" s="328"/>
      <c r="C3" s="328"/>
      <c r="D3" s="328"/>
      <c r="E3" s="19"/>
      <c r="F3" s="328" t="s">
        <v>350</v>
      </c>
      <c r="G3" s="328"/>
      <c r="H3" s="328"/>
      <c r="I3" s="328"/>
      <c r="J3" s="19"/>
      <c r="K3" s="236">
        <v>17.694590000000002</v>
      </c>
      <c r="L3" s="332" t="s">
        <v>893</v>
      </c>
      <c r="M3" s="332"/>
      <c r="N3" s="332"/>
      <c r="O3" s="3" t="s">
        <v>8</v>
      </c>
      <c r="Q3" s="260" t="s">
        <v>346</v>
      </c>
      <c r="R3" s="259" t="s">
        <v>859</v>
      </c>
    </row>
    <row r="4" spans="1:23" x14ac:dyDescent="0.35">
      <c r="A4" s="44" t="s">
        <v>249</v>
      </c>
      <c r="B4" s="44" t="s">
        <v>250</v>
      </c>
      <c r="C4" s="44" t="s">
        <v>251</v>
      </c>
      <c r="D4" s="44" t="s">
        <v>252</v>
      </c>
      <c r="E4" s="19"/>
      <c r="F4" s="44" t="s">
        <v>249</v>
      </c>
      <c r="G4" s="44" t="s">
        <v>250</v>
      </c>
      <c r="H4" s="44" t="s">
        <v>251</v>
      </c>
      <c r="I4" s="44" t="s">
        <v>252</v>
      </c>
      <c r="J4" s="19"/>
      <c r="K4" s="226">
        <v>1</v>
      </c>
      <c r="L4" s="326" t="s">
        <v>846</v>
      </c>
      <c r="M4" s="326"/>
      <c r="N4" s="326"/>
      <c r="O4" t="s">
        <v>845</v>
      </c>
      <c r="Q4" s="259" t="s">
        <v>553</v>
      </c>
      <c r="R4" s="259" t="s">
        <v>863</v>
      </c>
    </row>
    <row r="5" spans="1:23" x14ac:dyDescent="0.35">
      <c r="A5" s="6">
        <f>K3</f>
        <v>17.694590000000002</v>
      </c>
      <c r="B5" t="s">
        <v>346</v>
      </c>
      <c r="C5" s="53" t="s">
        <v>8</v>
      </c>
      <c r="D5" s="52">
        <v>110</v>
      </c>
      <c r="F5">
        <f>'Process Model'!C85</f>
        <v>56.124000000000002</v>
      </c>
      <c r="G5" t="s">
        <v>232</v>
      </c>
      <c r="H5" s="53" t="s">
        <v>234</v>
      </c>
      <c r="I5" s="54">
        <v>170</v>
      </c>
      <c r="K5" s="226">
        <v>1</v>
      </c>
      <c r="L5" s="326" t="s">
        <v>847</v>
      </c>
      <c r="M5" s="326"/>
      <c r="N5" s="326"/>
      <c r="O5" t="s">
        <v>845</v>
      </c>
      <c r="Q5" s="259" t="s">
        <v>554</v>
      </c>
      <c r="R5" s="259" t="s">
        <v>575</v>
      </c>
    </row>
    <row r="6" spans="1:23" x14ac:dyDescent="0.35">
      <c r="A6" s="6">
        <f>K7</f>
        <v>161.37</v>
      </c>
      <c r="B6" t="s">
        <v>556</v>
      </c>
      <c r="C6" s="53" t="s">
        <v>8</v>
      </c>
      <c r="D6" s="52">
        <v>130</v>
      </c>
      <c r="F6" s="58">
        <f>Diesel_Use_Crop_Input*'Conversions Page'!D13*43.4</f>
        <v>9220.4320264559992</v>
      </c>
      <c r="G6" s="3" t="s">
        <v>354</v>
      </c>
      <c r="H6" s="52" t="s">
        <v>112</v>
      </c>
      <c r="I6" s="54">
        <v>170</v>
      </c>
      <c r="K6" s="226">
        <v>1</v>
      </c>
      <c r="L6" s="326" t="s">
        <v>848</v>
      </c>
      <c r="M6" s="326"/>
      <c r="N6" s="326"/>
      <c r="O6" t="s">
        <v>845</v>
      </c>
      <c r="Q6" s="259" t="s">
        <v>555</v>
      </c>
      <c r="R6" s="259" t="s">
        <v>870</v>
      </c>
    </row>
    <row r="7" spans="1:23" x14ac:dyDescent="0.35">
      <c r="A7" s="6">
        <f>K8</f>
        <v>15.65</v>
      </c>
      <c r="B7" t="s">
        <v>567</v>
      </c>
      <c r="C7" s="53" t="s">
        <v>8</v>
      </c>
      <c r="D7" s="52">
        <v>130</v>
      </c>
      <c r="F7">
        <f>'Process Model'!C84</f>
        <v>2.9649999999999999</v>
      </c>
      <c r="G7" t="s">
        <v>231</v>
      </c>
      <c r="H7" s="53" t="s">
        <v>233</v>
      </c>
      <c r="I7" s="54">
        <v>170</v>
      </c>
      <c r="K7" s="237">
        <v>161.37</v>
      </c>
      <c r="L7" s="326" t="s">
        <v>894</v>
      </c>
      <c r="M7" s="326"/>
      <c r="N7" s="326"/>
      <c r="O7" t="s">
        <v>8</v>
      </c>
      <c r="Q7" s="259" t="s">
        <v>550</v>
      </c>
      <c r="R7" s="259" t="s">
        <v>871</v>
      </c>
      <c r="U7" s="283"/>
      <c r="V7" s="283"/>
      <c r="W7" s="283"/>
    </row>
    <row r="8" spans="1:23" x14ac:dyDescent="0.35">
      <c r="A8" s="6">
        <f>K9</f>
        <v>76.09</v>
      </c>
      <c r="B8" t="s">
        <v>568</v>
      </c>
      <c r="C8" s="53" t="s">
        <v>8</v>
      </c>
      <c r="D8" s="52">
        <v>130</v>
      </c>
      <c r="F8" s="3"/>
      <c r="G8" s="3"/>
      <c r="H8" s="52"/>
      <c r="I8" s="54"/>
      <c r="K8" s="237">
        <v>15.65</v>
      </c>
      <c r="L8" s="326" t="s">
        <v>895</v>
      </c>
      <c r="M8" s="326"/>
      <c r="N8" s="326"/>
      <c r="O8" t="s">
        <v>8</v>
      </c>
      <c r="Q8" s="259" t="s">
        <v>552</v>
      </c>
      <c r="R8" s="259" t="s">
        <v>373</v>
      </c>
    </row>
    <row r="9" spans="1:23" x14ac:dyDescent="0.35">
      <c r="A9" s="22">
        <f>'Process Model'!C109-Inputs!K7</f>
        <v>125.51999999999998</v>
      </c>
      <c r="B9" t="s">
        <v>558</v>
      </c>
      <c r="C9" s="75" t="s">
        <v>8</v>
      </c>
      <c r="D9" s="76">
        <v>130</v>
      </c>
      <c r="F9" s="6"/>
      <c r="I9" s="54"/>
      <c r="K9" s="237">
        <v>76.09</v>
      </c>
      <c r="L9" s="326" t="s">
        <v>896</v>
      </c>
      <c r="M9" s="326"/>
      <c r="N9" s="326"/>
      <c r="O9" t="s">
        <v>8</v>
      </c>
      <c r="Q9" s="259" t="s">
        <v>551</v>
      </c>
      <c r="R9" s="259" t="s">
        <v>576</v>
      </c>
    </row>
    <row r="10" spans="1:23" x14ac:dyDescent="0.35">
      <c r="A10" s="22">
        <f>'Process Model'!C110-K8</f>
        <v>9.0604929577464777</v>
      </c>
      <c r="B10" t="s">
        <v>559</v>
      </c>
      <c r="C10" s="75" t="s">
        <v>8</v>
      </c>
      <c r="D10" s="76">
        <v>130</v>
      </c>
      <c r="I10" s="54"/>
      <c r="K10" s="226">
        <v>0.5</v>
      </c>
      <c r="L10" s="326" t="s">
        <v>577</v>
      </c>
      <c r="M10" s="326"/>
      <c r="N10" s="326"/>
      <c r="O10" s="10" t="s">
        <v>845</v>
      </c>
      <c r="Q10" s="259" t="s">
        <v>854</v>
      </c>
      <c r="R10" s="259" t="s">
        <v>872</v>
      </c>
    </row>
    <row r="11" spans="1:23" x14ac:dyDescent="0.35">
      <c r="A11" s="22">
        <f>'Process Model'!C111-K9</f>
        <v>91.35473121019109</v>
      </c>
      <c r="B11" t="s">
        <v>560</v>
      </c>
      <c r="C11" s="75" t="s">
        <v>8</v>
      </c>
      <c r="D11" s="76">
        <v>130</v>
      </c>
      <c r="G11" s="287"/>
      <c r="I11" s="66"/>
      <c r="K11" s="118">
        <v>34</v>
      </c>
      <c r="L11" s="326" t="s">
        <v>571</v>
      </c>
      <c r="M11" s="326"/>
      <c r="N11" s="326"/>
      <c r="O11" s="10" t="s">
        <v>570</v>
      </c>
      <c r="Q11" s="259" t="s">
        <v>856</v>
      </c>
    </row>
    <row r="12" spans="1:23" x14ac:dyDescent="0.35">
      <c r="A12" s="22">
        <f>'Process Model'!C107-0</f>
        <v>25.78</v>
      </c>
      <c r="B12" t="s">
        <v>561</v>
      </c>
      <c r="C12" s="75" t="s">
        <v>8</v>
      </c>
      <c r="D12" s="76">
        <v>130</v>
      </c>
      <c r="I12" s="66"/>
      <c r="Q12" s="259" t="s">
        <v>857</v>
      </c>
    </row>
    <row r="13" spans="1:23" x14ac:dyDescent="0.35">
      <c r="A13" s="28">
        <f>'Process Model'!C59</f>
        <v>452.3</v>
      </c>
      <c r="B13" t="s">
        <v>229</v>
      </c>
      <c r="C13" s="53" t="s">
        <v>8</v>
      </c>
      <c r="D13" s="52">
        <v>140</v>
      </c>
      <c r="F13" s="3"/>
      <c r="G13" s="3"/>
      <c r="H13" s="52"/>
      <c r="I13" s="54"/>
      <c r="K13" s="3"/>
      <c r="L13" s="277"/>
      <c r="M13" s="277"/>
      <c r="N13" s="277"/>
      <c r="O13" s="10"/>
      <c r="Q13" s="259" t="s">
        <v>858</v>
      </c>
    </row>
    <row r="14" spans="1:23" x14ac:dyDescent="0.35">
      <c r="A14" s="91">
        <v>1.2130000000000001</v>
      </c>
      <c r="B14" t="s">
        <v>230</v>
      </c>
      <c r="C14" s="53" t="s">
        <v>8</v>
      </c>
      <c r="D14" s="52">
        <v>160</v>
      </c>
      <c r="H14" s="53"/>
      <c r="I14" s="54"/>
      <c r="K14" s="93">
        <f>SUM(A9:A12)</f>
        <v>251.71522416793755</v>
      </c>
      <c r="L14" s="326" t="s">
        <v>853</v>
      </c>
      <c r="M14" s="326"/>
      <c r="N14" s="326"/>
      <c r="O14" t="s">
        <v>8</v>
      </c>
      <c r="Q14" s="259" t="s">
        <v>862</v>
      </c>
    </row>
    <row r="15" spans="1:23" x14ac:dyDescent="0.35">
      <c r="A15" s="28">
        <f>0.436*K18/(12.017/44.01)</f>
        <v>37799.767051007941</v>
      </c>
      <c r="B15" t="s">
        <v>501</v>
      </c>
      <c r="C15" s="75" t="s">
        <v>8</v>
      </c>
      <c r="D15" s="76">
        <v>180</v>
      </c>
      <c r="F15" s="16"/>
      <c r="G15" s="288"/>
      <c r="H15" s="16"/>
      <c r="I15" s="15"/>
      <c r="K15" s="95">
        <f>(((K11/12)*'Conversions Page'!D6)/'Conversions Page'!D14)*'Conversions Page'!D15*997</f>
        <v>8610055.7890146226</v>
      </c>
      <c r="L15" s="326" t="s">
        <v>864</v>
      </c>
      <c r="M15" s="326"/>
      <c r="N15" s="326"/>
      <c r="O15" s="10" t="s">
        <v>8</v>
      </c>
      <c r="Q15" s="263" t="s">
        <v>860</v>
      </c>
    </row>
    <row r="16" spans="1:23" x14ac:dyDescent="0.35">
      <c r="A16" s="28">
        <f>K15*K26</f>
        <v>4664015.4830839848</v>
      </c>
      <c r="B16" t="s">
        <v>574</v>
      </c>
      <c r="C16" s="75" t="s">
        <v>8</v>
      </c>
      <c r="D16" s="199">
        <v>120</v>
      </c>
      <c r="G16" s="287"/>
      <c r="H16" s="286"/>
      <c r="I16" s="16">
        <f>A16-K16</f>
        <v>12267.39999999851</v>
      </c>
      <c r="K16" s="95">
        <f>A16*K27</f>
        <v>4651748.0830839863</v>
      </c>
      <c r="L16" s="326" t="s">
        <v>1100</v>
      </c>
      <c r="M16" s="326"/>
      <c r="N16" s="326"/>
      <c r="O16" s="10" t="s">
        <v>8</v>
      </c>
      <c r="Q16" s="259" t="s">
        <v>861</v>
      </c>
    </row>
    <row r="17" spans="1:18" x14ac:dyDescent="0.35">
      <c r="I17" s="286">
        <f>((A16-K16)/10724.241313129)</f>
        <v>1.1438944389455616</v>
      </c>
      <c r="K17" s="95">
        <f>IF(K11&lt;20,7000,(10724.24131)+(((A16-K16)-10724.24131)*((A16-K16)^(-(ABS(I17-1)^4)))))</f>
        <v>12261.183914648325</v>
      </c>
      <c r="L17" s="326" t="s">
        <v>865</v>
      </c>
      <c r="M17" s="326"/>
      <c r="N17" s="326"/>
      <c r="O17" s="10" t="s">
        <v>8</v>
      </c>
      <c r="Q17" s="259" t="s">
        <v>867</v>
      </c>
    </row>
    <row r="18" spans="1:18" x14ac:dyDescent="0.35">
      <c r="A18" s="16">
        <f>SUM(A5:A16)</f>
        <v>4702791.2829491608</v>
      </c>
      <c r="B18" t="s">
        <v>355</v>
      </c>
      <c r="C18" s="53" t="s">
        <v>8</v>
      </c>
      <c r="D18" s="3"/>
      <c r="F18" s="11">
        <f>F6</f>
        <v>9220.4320264559992</v>
      </c>
      <c r="G18" t="s">
        <v>356</v>
      </c>
      <c r="H18" s="53" t="s">
        <v>112</v>
      </c>
      <c r="I18" s="54"/>
      <c r="K18" s="95">
        <f>K17/0.46*(15.9997/18.0152)</f>
        <v>23672.674509544453</v>
      </c>
      <c r="L18" s="326" t="s">
        <v>866</v>
      </c>
      <c r="M18" s="326"/>
      <c r="N18" s="326"/>
      <c r="O18" s="10" t="s">
        <v>8</v>
      </c>
      <c r="Q18" s="259" t="s">
        <v>868</v>
      </c>
    </row>
    <row r="19" spans="1:18" x14ac:dyDescent="0.35">
      <c r="A19" s="329" t="s">
        <v>585</v>
      </c>
      <c r="B19" s="329"/>
      <c r="C19" s="329"/>
      <c r="D19" s="329"/>
      <c r="F19" s="329" t="s">
        <v>349</v>
      </c>
      <c r="G19" s="329"/>
      <c r="H19" s="329"/>
      <c r="I19" s="329"/>
      <c r="K19" s="95">
        <f>0.53*K18</f>
        <v>12546.517490058561</v>
      </c>
      <c r="L19" s="326" t="s">
        <v>373</v>
      </c>
      <c r="M19" s="326"/>
      <c r="N19" s="326"/>
      <c r="O19" s="10" t="s">
        <v>8</v>
      </c>
    </row>
    <row r="20" spans="1:18" x14ac:dyDescent="0.35">
      <c r="A20" s="28">
        <f>Dilution_Water_Added</f>
        <v>21584.750400000001</v>
      </c>
      <c r="B20" t="s">
        <v>235</v>
      </c>
      <c r="C20" s="53" t="s">
        <v>8</v>
      </c>
      <c r="D20" s="52">
        <v>300</v>
      </c>
      <c r="F20" s="57">
        <f>Elec_Reqd_Comminution</f>
        <v>781.05643199999997</v>
      </c>
      <c r="G20" t="s">
        <v>1090</v>
      </c>
      <c r="H20" s="53" t="s">
        <v>112</v>
      </c>
      <c r="I20" s="53">
        <v>200</v>
      </c>
      <c r="K20" s="95">
        <f>0.47*K18</f>
        <v>11126.157019485892</v>
      </c>
      <c r="L20" s="326" t="s">
        <v>576</v>
      </c>
      <c r="M20" s="326"/>
      <c r="N20" s="326"/>
      <c r="O20" s="10" t="s">
        <v>8</v>
      </c>
    </row>
    <row r="21" spans="1:18" x14ac:dyDescent="0.35">
      <c r="A21" s="28">
        <f>Acid_Per_ha</f>
        <v>172.67800320000001</v>
      </c>
      <c r="B21" t="s">
        <v>236</v>
      </c>
      <c r="C21" s="53" t="s">
        <v>8</v>
      </c>
      <c r="D21" s="52">
        <v>300</v>
      </c>
      <c r="F21" s="11">
        <v>175.249302</v>
      </c>
      <c r="G21" t="s">
        <v>1078</v>
      </c>
      <c r="H21" s="53" t="s">
        <v>112</v>
      </c>
      <c r="I21" s="53">
        <v>200</v>
      </c>
      <c r="K21" s="95">
        <f>K20*Acre_Ft_Irr_Input</f>
        <v>5563.0785097429462</v>
      </c>
      <c r="L21" s="326" t="s">
        <v>578</v>
      </c>
      <c r="M21" s="326"/>
      <c r="N21" s="326"/>
      <c r="O21" s="10" t="s">
        <v>8</v>
      </c>
    </row>
    <row r="22" spans="1:18" x14ac:dyDescent="0.35">
      <c r="A22" s="28">
        <f>Base_Per_ha</f>
        <v>59.969597416352123</v>
      </c>
      <c r="B22" t="s">
        <v>237</v>
      </c>
      <c r="C22" s="53" t="s">
        <v>8</v>
      </c>
      <c r="D22" s="52">
        <v>300</v>
      </c>
      <c r="F22" s="11">
        <f>'Process Model'!H25</f>
        <v>14895.508901012641</v>
      </c>
      <c r="G22" t="s">
        <v>238</v>
      </c>
      <c r="H22" s="53" t="s">
        <v>112</v>
      </c>
      <c r="I22" s="53">
        <v>300</v>
      </c>
      <c r="K22" s="268">
        <v>286.89</v>
      </c>
      <c r="L22" s="326" t="s">
        <v>849</v>
      </c>
      <c r="M22" s="326"/>
      <c r="N22" s="326"/>
      <c r="O22" t="s">
        <v>8</v>
      </c>
    </row>
    <row r="23" spans="1:18" x14ac:dyDescent="0.35">
      <c r="A23" s="16">
        <f>'Process Model'!H72</f>
        <v>21001.962139200001</v>
      </c>
      <c r="B23" t="s">
        <v>347</v>
      </c>
      <c r="C23" s="53" t="s">
        <v>8</v>
      </c>
      <c r="D23" s="52">
        <v>400</v>
      </c>
      <c r="F23" s="11">
        <f>1226.745114</f>
        <v>1226.7451140000001</v>
      </c>
      <c r="G23" t="s">
        <v>1079</v>
      </c>
      <c r="H23" s="53" t="s">
        <v>112</v>
      </c>
      <c r="I23" s="53">
        <v>300</v>
      </c>
      <c r="K23" s="268">
        <v>113.19</v>
      </c>
      <c r="L23" s="326" t="s">
        <v>850</v>
      </c>
      <c r="M23" s="326"/>
      <c r="N23" s="326"/>
      <c r="O23" t="s">
        <v>8</v>
      </c>
    </row>
    <row r="24" spans="1:18" x14ac:dyDescent="0.35">
      <c r="A24" s="16">
        <v>140</v>
      </c>
      <c r="B24" t="s">
        <v>239</v>
      </c>
      <c r="C24" s="53" t="s">
        <v>8</v>
      </c>
      <c r="D24" s="52">
        <v>500</v>
      </c>
      <c r="F24" s="11">
        <f>'Process Model'!H74</f>
        <v>-686.81666685718801</v>
      </c>
      <c r="G24" t="s">
        <v>1085</v>
      </c>
      <c r="H24" s="53" t="s">
        <v>112</v>
      </c>
      <c r="I24" s="53">
        <v>400</v>
      </c>
      <c r="K24" s="269">
        <v>201.72</v>
      </c>
      <c r="L24" s="326" t="s">
        <v>851</v>
      </c>
      <c r="M24" s="326"/>
      <c r="N24" s="326"/>
      <c r="O24" t="s">
        <v>8</v>
      </c>
      <c r="R24" s="8"/>
    </row>
    <row r="25" spans="1:18" x14ac:dyDescent="0.35">
      <c r="A25" s="11">
        <v>5.2443270000000002</v>
      </c>
      <c r="B25" t="s">
        <v>241</v>
      </c>
      <c r="C25" s="53" t="s">
        <v>8</v>
      </c>
      <c r="D25" s="52">
        <v>500</v>
      </c>
      <c r="F25" s="11">
        <f>525.7479059</f>
        <v>525.74790589999998</v>
      </c>
      <c r="G25" t="s">
        <v>1080</v>
      </c>
      <c r="H25" s="53" t="s">
        <v>112</v>
      </c>
      <c r="I25" s="53">
        <v>400</v>
      </c>
      <c r="K25" s="268">
        <v>25.78</v>
      </c>
      <c r="L25" s="326" t="s">
        <v>852</v>
      </c>
      <c r="M25" s="326"/>
      <c r="N25" s="326"/>
      <c r="O25" t="s">
        <v>8</v>
      </c>
    </row>
    <row r="26" spans="1:18" x14ac:dyDescent="0.35">
      <c r="A26" s="11">
        <v>0.90327199999999996</v>
      </c>
      <c r="B26" t="s">
        <v>242</v>
      </c>
      <c r="C26" s="53" t="s">
        <v>8</v>
      </c>
      <c r="D26" s="52">
        <v>500</v>
      </c>
      <c r="F26" s="11">
        <v>1139.120463</v>
      </c>
      <c r="G26" t="s">
        <v>1084</v>
      </c>
      <c r="H26" s="53" t="s">
        <v>112</v>
      </c>
      <c r="I26" s="53">
        <v>500</v>
      </c>
      <c r="K26" s="280">
        <v>0.54169399100000004</v>
      </c>
      <c r="L26" s="330" t="s">
        <v>573</v>
      </c>
      <c r="M26" s="330"/>
      <c r="N26" s="330"/>
      <c r="O26" t="s">
        <v>845</v>
      </c>
    </row>
    <row r="27" spans="1:18" x14ac:dyDescent="0.35">
      <c r="A27" s="11">
        <v>80.676169999999999</v>
      </c>
      <c r="B27" t="s">
        <v>240</v>
      </c>
      <c r="C27" s="53" t="s">
        <v>8</v>
      </c>
      <c r="D27" s="52">
        <v>500</v>
      </c>
      <c r="F27">
        <v>1577.2437179999999</v>
      </c>
      <c r="G27" t="s">
        <v>1083</v>
      </c>
      <c r="H27" s="53" t="s">
        <v>112</v>
      </c>
      <c r="I27" s="289">
        <v>900</v>
      </c>
      <c r="K27" s="281">
        <v>0.997369777170661</v>
      </c>
      <c r="L27" s="330" t="s">
        <v>575</v>
      </c>
      <c r="M27" s="330"/>
      <c r="N27" s="330"/>
      <c r="O27" t="s">
        <v>845</v>
      </c>
    </row>
    <row r="28" spans="1:18" x14ac:dyDescent="0.35">
      <c r="A28" s="11">
        <v>0.74412</v>
      </c>
      <c r="B28" t="s">
        <v>243</v>
      </c>
      <c r="C28" s="53" t="s">
        <v>8</v>
      </c>
      <c r="D28" s="52">
        <v>500</v>
      </c>
      <c r="F28" s="11"/>
      <c r="H28" s="53"/>
      <c r="K28">
        <f>((K21*Outputs!K9))/((K21*Outputs!K9)+(K19*Outputs!K6))</f>
        <v>0.32244570128175087</v>
      </c>
      <c r="L28" s="326" t="s">
        <v>965</v>
      </c>
      <c r="M28" s="326"/>
      <c r="N28" s="326"/>
    </row>
    <row r="29" spans="1:18" x14ac:dyDescent="0.35">
      <c r="A29" s="11">
        <v>1.041768</v>
      </c>
      <c r="B29" t="s">
        <v>244</v>
      </c>
      <c r="C29" s="75" t="s">
        <v>8</v>
      </c>
      <c r="D29" s="76">
        <v>500</v>
      </c>
      <c r="H29" s="75"/>
      <c r="L29" s="326"/>
      <c r="M29" s="326"/>
      <c r="N29" s="326"/>
    </row>
    <row r="30" spans="1:18" x14ac:dyDescent="0.35">
      <c r="A30" s="11">
        <v>1.48824</v>
      </c>
      <c r="B30" t="s">
        <v>245</v>
      </c>
      <c r="C30" s="75" t="s">
        <v>8</v>
      </c>
      <c r="D30" s="76">
        <v>500</v>
      </c>
      <c r="G30" s="6"/>
      <c r="H30" s="75"/>
      <c r="K30" s="74"/>
    </row>
    <row r="31" spans="1:18" x14ac:dyDescent="0.35">
      <c r="A31" s="11">
        <v>0.22323599999999999</v>
      </c>
      <c r="B31" t="s">
        <v>248</v>
      </c>
      <c r="C31" s="75" t="s">
        <v>8</v>
      </c>
      <c r="D31" s="76">
        <v>500</v>
      </c>
      <c r="G31" s="6"/>
      <c r="H31" s="197"/>
      <c r="K31" s="74"/>
    </row>
    <row r="32" spans="1:18" x14ac:dyDescent="0.35">
      <c r="A32" s="11">
        <v>0.27648</v>
      </c>
      <c r="B32" t="s">
        <v>382</v>
      </c>
      <c r="C32" s="75" t="s">
        <v>8</v>
      </c>
      <c r="D32" s="76">
        <v>500</v>
      </c>
      <c r="G32" s="6"/>
      <c r="H32" s="197"/>
      <c r="K32" s="74"/>
    </row>
    <row r="33" spans="1:13" x14ac:dyDescent="0.35">
      <c r="A33" s="11">
        <v>8.7004090000000005</v>
      </c>
      <c r="B33" t="s">
        <v>637</v>
      </c>
      <c r="C33" s="75" t="s">
        <v>8</v>
      </c>
      <c r="D33" s="76">
        <v>600</v>
      </c>
      <c r="G33" s="6"/>
      <c r="H33" s="75"/>
      <c r="K33" s="74"/>
      <c r="L33" t="s">
        <v>1092</v>
      </c>
      <c r="M33">
        <v>0.49451000000000001</v>
      </c>
    </row>
    <row r="34" spans="1:13" x14ac:dyDescent="0.35">
      <c r="A34" s="16">
        <f>'Process Model'!H148</f>
        <v>6.5738898003226769</v>
      </c>
      <c r="B34" s="125" t="s">
        <v>640</v>
      </c>
      <c r="C34" s="75" t="s">
        <v>8</v>
      </c>
      <c r="D34" s="76">
        <v>600</v>
      </c>
      <c r="G34" s="6"/>
      <c r="H34" s="75"/>
      <c r="K34" s="74"/>
      <c r="L34" t="s">
        <v>1093</v>
      </c>
      <c r="M34">
        <v>0.77209000000000005</v>
      </c>
    </row>
    <row r="35" spans="1:13" x14ac:dyDescent="0.35">
      <c r="A35" s="16">
        <v>71.088710000000006</v>
      </c>
      <c r="B35" s="125" t="s">
        <v>875</v>
      </c>
      <c r="C35" s="197" t="s">
        <v>8</v>
      </c>
      <c r="D35" s="199">
        <v>600</v>
      </c>
      <c r="G35" s="6"/>
      <c r="H35" s="197"/>
      <c r="K35" s="74"/>
      <c r="L35" t="s">
        <v>1094</v>
      </c>
      <c r="M35">
        <v>0.75839000000000001</v>
      </c>
    </row>
    <row r="36" spans="1:13" x14ac:dyDescent="0.35">
      <c r="A36" s="16">
        <v>137.226</v>
      </c>
      <c r="B36" s="125" t="s">
        <v>876</v>
      </c>
      <c r="C36" s="197" t="s">
        <v>8</v>
      </c>
      <c r="D36" s="199">
        <v>600</v>
      </c>
      <c r="G36" s="6"/>
      <c r="H36" s="197"/>
      <c r="K36" s="74"/>
      <c r="L36" t="s">
        <v>1095</v>
      </c>
      <c r="M36">
        <v>0.68764000000000003</v>
      </c>
    </row>
    <row r="37" spans="1:13" x14ac:dyDescent="0.35">
      <c r="A37" s="16">
        <v>9.6934810000000002</v>
      </c>
      <c r="B37" s="125" t="s">
        <v>674</v>
      </c>
      <c r="C37" s="197" t="s">
        <v>8</v>
      </c>
      <c r="D37" s="76">
        <v>600</v>
      </c>
      <c r="G37" s="6"/>
      <c r="H37" s="75"/>
      <c r="K37" s="74"/>
      <c r="L37" t="s">
        <v>1096</v>
      </c>
      <c r="M37">
        <v>0.71616999999999997</v>
      </c>
    </row>
    <row r="38" spans="1:13" x14ac:dyDescent="0.35">
      <c r="A38" s="16"/>
      <c r="B38" s="125"/>
      <c r="C38" s="197"/>
      <c r="D38" s="199"/>
      <c r="G38" s="6"/>
      <c r="H38" s="197"/>
      <c r="K38" s="74"/>
      <c r="L38" t="s">
        <v>1097</v>
      </c>
      <c r="M38">
        <v>0.71301999999999999</v>
      </c>
    </row>
    <row r="39" spans="1:13" x14ac:dyDescent="0.35">
      <c r="A39" s="16">
        <f>SUM(A20:A37)</f>
        <v>43283.240242616688</v>
      </c>
      <c r="B39" t="s">
        <v>355</v>
      </c>
      <c r="C39" s="75" t="s">
        <v>8</v>
      </c>
      <c r="D39" s="76"/>
      <c r="F39" s="11">
        <f>SUM(F20:F37)</f>
        <v>19633.855169055456</v>
      </c>
      <c r="G39" t="s">
        <v>356</v>
      </c>
      <c r="H39" s="75" t="s">
        <v>112</v>
      </c>
      <c r="K39" s="74"/>
      <c r="L39" t="s">
        <v>1098</v>
      </c>
      <c r="M39">
        <v>0.62895000000000001</v>
      </c>
    </row>
    <row r="40" spans="1:13" x14ac:dyDescent="0.35">
      <c r="A40" s="327" t="s">
        <v>351</v>
      </c>
      <c r="B40" s="327"/>
      <c r="C40" s="327"/>
      <c r="D40" s="327"/>
      <c r="F40" s="327" t="s">
        <v>352</v>
      </c>
      <c r="G40" s="327"/>
      <c r="H40" s="327"/>
      <c r="I40" s="327"/>
    </row>
    <row r="41" spans="1:13" x14ac:dyDescent="0.35">
      <c r="D41" s="3"/>
      <c r="F41" s="6">
        <f>438.1232549</f>
        <v>438.12325490000001</v>
      </c>
      <c r="G41" t="s">
        <v>1081</v>
      </c>
      <c r="H41" s="75" t="s">
        <v>112</v>
      </c>
    </row>
    <row r="42" spans="1:13" x14ac:dyDescent="0.35">
      <c r="A42" s="16">
        <f>A39+A18</f>
        <v>4746074.5231917771</v>
      </c>
      <c r="B42" t="s">
        <v>376</v>
      </c>
      <c r="D42" s="3"/>
      <c r="F42" s="6">
        <f>Upgrd_Heat_Power_In</f>
        <v>13676.458567766878</v>
      </c>
      <c r="G42" t="s">
        <v>247</v>
      </c>
      <c r="H42" s="75" t="s">
        <v>112</v>
      </c>
    </row>
    <row r="43" spans="1:13" x14ac:dyDescent="0.35">
      <c r="F43" s="6">
        <f>963.8711609</f>
        <v>963.87116089999995</v>
      </c>
      <c r="G43" t="s">
        <v>1082</v>
      </c>
      <c r="H43" s="289" t="s">
        <v>112</v>
      </c>
    </row>
    <row r="44" spans="1:13" x14ac:dyDescent="0.35">
      <c r="H44" s="289"/>
    </row>
    <row r="45" spans="1:13" x14ac:dyDescent="0.35">
      <c r="H45" s="75"/>
    </row>
    <row r="46" spans="1:13" x14ac:dyDescent="0.35">
      <c r="F46" s="6">
        <f>SUM(F41:F45)</f>
        <v>15078.452983566878</v>
      </c>
      <c r="G46" t="s">
        <v>356</v>
      </c>
      <c r="H46" s="75" t="s">
        <v>112</v>
      </c>
    </row>
    <row r="47" spans="1:13" x14ac:dyDescent="0.35">
      <c r="H47" s="75"/>
    </row>
    <row r="48" spans="1:13" x14ac:dyDescent="0.35">
      <c r="F48" s="16">
        <f>F46+F39+F18</f>
        <v>43932.740179078333</v>
      </c>
      <c r="G48" t="s">
        <v>380</v>
      </c>
      <c r="H48" s="75"/>
    </row>
    <row r="49" spans="1:18" x14ac:dyDescent="0.35">
      <c r="F49" s="5"/>
      <c r="H49" s="75"/>
    </row>
    <row r="50" spans="1:18" x14ac:dyDescent="0.35">
      <c r="F50" s="5">
        <f>F48*0.11/3.6</f>
        <v>1342.3892832496158</v>
      </c>
      <c r="H50" s="75"/>
    </row>
    <row r="60" spans="1:18" x14ac:dyDescent="0.35">
      <c r="J60" s="3"/>
      <c r="Q60" s="261"/>
      <c r="R60" s="261"/>
    </row>
    <row r="61" spans="1:18" x14ac:dyDescent="0.35">
      <c r="J61" s="3"/>
      <c r="P61" s="3"/>
      <c r="Q61" s="261"/>
      <c r="R61" s="261"/>
    </row>
    <row r="62" spans="1:18" x14ac:dyDescent="0.35">
      <c r="J62" s="3"/>
      <c r="P62" s="3"/>
      <c r="Q62" s="261"/>
      <c r="R62" s="261"/>
    </row>
    <row r="63" spans="1:18" x14ac:dyDescent="0.35">
      <c r="A63" s="3"/>
      <c r="B63" s="3"/>
      <c r="C63" s="3"/>
      <c r="D63" s="3"/>
      <c r="E63" s="3"/>
      <c r="J63" s="3"/>
      <c r="K63" s="3"/>
      <c r="L63" s="3"/>
      <c r="M63" s="3"/>
      <c r="N63" s="3"/>
      <c r="O63" s="3"/>
      <c r="P63" s="3"/>
      <c r="Q63" s="261"/>
      <c r="R63" s="261"/>
    </row>
    <row r="64" spans="1:18" x14ac:dyDescent="0.35">
      <c r="A64" s="3"/>
      <c r="B64" s="3"/>
      <c r="C64" s="3"/>
      <c r="D64" s="3"/>
      <c r="E64" s="3"/>
      <c r="J64" s="3"/>
      <c r="K64" s="3"/>
      <c r="L64" s="3"/>
      <c r="M64" s="3"/>
      <c r="N64" s="3"/>
      <c r="O64" s="3"/>
      <c r="P64" s="3"/>
      <c r="Q64" s="261"/>
      <c r="R64" s="261"/>
    </row>
    <row r="65" spans="1:18" x14ac:dyDescent="0.35">
      <c r="A65" s="3"/>
      <c r="B65" s="3"/>
      <c r="C65" s="3"/>
      <c r="D65" s="3"/>
      <c r="E65" s="3"/>
      <c r="F65" s="3"/>
      <c r="G65" s="3"/>
      <c r="H65" s="3"/>
      <c r="I65" s="3"/>
      <c r="J65" s="3"/>
      <c r="K65" s="3"/>
      <c r="L65" s="3"/>
      <c r="M65" s="3"/>
      <c r="N65" s="3"/>
      <c r="O65" s="3"/>
      <c r="P65" s="3"/>
      <c r="Q65" s="261"/>
      <c r="R65" s="261"/>
    </row>
    <row r="66" spans="1:18" x14ac:dyDescent="0.35">
      <c r="A66" s="3"/>
      <c r="B66" s="3"/>
      <c r="C66" s="3"/>
      <c r="D66" s="3"/>
      <c r="E66" s="3"/>
      <c r="F66" s="3"/>
      <c r="G66" s="3"/>
      <c r="H66" s="3"/>
      <c r="I66" s="3"/>
      <c r="J66" s="3"/>
      <c r="K66" s="3"/>
      <c r="L66" s="3"/>
      <c r="M66" s="3"/>
      <c r="N66" s="3"/>
      <c r="O66" s="3"/>
      <c r="P66" s="3"/>
      <c r="Q66" s="261"/>
      <c r="R66" s="261"/>
    </row>
    <row r="67" spans="1:18" x14ac:dyDescent="0.35">
      <c r="A67" s="3"/>
      <c r="B67" s="3"/>
      <c r="C67" s="3"/>
      <c r="D67" s="3"/>
      <c r="E67" s="3"/>
      <c r="F67" s="3"/>
      <c r="G67" s="3"/>
      <c r="H67" s="3"/>
      <c r="I67" s="3"/>
      <c r="J67" s="3"/>
      <c r="K67" s="3"/>
      <c r="L67" s="3"/>
      <c r="M67" s="3"/>
      <c r="N67" s="3"/>
      <c r="O67" s="3"/>
      <c r="P67" s="3"/>
      <c r="Q67" s="261"/>
      <c r="R67" s="261"/>
    </row>
    <row r="68" spans="1:18" x14ac:dyDescent="0.35">
      <c r="A68" s="3"/>
      <c r="B68" s="3"/>
      <c r="C68" s="3"/>
      <c r="D68" s="3"/>
      <c r="E68" s="3"/>
      <c r="F68" s="3"/>
      <c r="G68" s="3"/>
      <c r="H68" s="3"/>
      <c r="I68" s="3"/>
      <c r="J68" s="3"/>
      <c r="K68" s="3"/>
      <c r="L68" s="3"/>
      <c r="M68" s="3"/>
      <c r="N68" s="3"/>
      <c r="O68" s="3"/>
      <c r="P68" s="3"/>
      <c r="Q68" s="261"/>
      <c r="R68" s="261"/>
    </row>
    <row r="69" spans="1:18" x14ac:dyDescent="0.35">
      <c r="A69" s="3"/>
      <c r="B69" s="3"/>
      <c r="C69" s="3"/>
      <c r="D69" s="3"/>
      <c r="E69" s="3"/>
      <c r="F69" s="3"/>
      <c r="G69" s="3"/>
      <c r="H69" s="3"/>
      <c r="I69" s="3"/>
      <c r="J69" s="3"/>
      <c r="K69" s="3"/>
      <c r="L69" s="3"/>
      <c r="M69" s="3"/>
      <c r="N69" s="3"/>
      <c r="O69" s="3"/>
      <c r="P69" s="3"/>
      <c r="Q69" s="261"/>
      <c r="R69" s="261"/>
    </row>
    <row r="70" spans="1:18" x14ac:dyDescent="0.35">
      <c r="A70" s="3"/>
      <c r="B70" s="3"/>
      <c r="C70" s="3"/>
      <c r="D70" s="3"/>
      <c r="E70" s="3"/>
      <c r="F70" s="3"/>
      <c r="G70" s="3"/>
      <c r="H70" s="3"/>
      <c r="I70" s="3"/>
      <c r="J70" s="3"/>
      <c r="K70" s="3"/>
      <c r="L70" s="3"/>
      <c r="M70" s="3"/>
      <c r="N70" s="3"/>
      <c r="O70" s="3"/>
      <c r="P70" s="3"/>
      <c r="Q70" s="261"/>
      <c r="R70" s="261"/>
    </row>
    <row r="71" spans="1:18" x14ac:dyDescent="0.35">
      <c r="A71" s="3"/>
      <c r="B71" s="3"/>
      <c r="C71" s="3"/>
      <c r="D71" s="3"/>
      <c r="E71" s="3"/>
      <c r="F71" s="3"/>
      <c r="G71" s="3"/>
      <c r="H71" s="3"/>
      <c r="I71" s="3"/>
      <c r="J71" s="3"/>
      <c r="K71" s="3"/>
      <c r="L71" s="3"/>
      <c r="M71" s="3"/>
      <c r="N71" s="3"/>
      <c r="O71" s="3"/>
      <c r="P71" s="3"/>
      <c r="Q71" s="261"/>
      <c r="R71" s="261"/>
    </row>
    <row r="72" spans="1:18" x14ac:dyDescent="0.35">
      <c r="A72" s="3"/>
      <c r="B72" s="3"/>
      <c r="C72" s="3"/>
      <c r="D72" s="3"/>
      <c r="E72" s="3"/>
      <c r="F72" s="3"/>
      <c r="G72" s="3"/>
      <c r="H72" s="3"/>
      <c r="I72" s="3"/>
      <c r="J72" s="3"/>
      <c r="K72" s="3"/>
      <c r="L72" s="3"/>
      <c r="M72" s="3"/>
      <c r="N72" s="3"/>
      <c r="O72" s="3"/>
      <c r="P72" s="3"/>
      <c r="Q72" s="261"/>
      <c r="R72" s="261"/>
    </row>
    <row r="73" spans="1:18" x14ac:dyDescent="0.35">
      <c r="A73" s="3"/>
      <c r="B73" s="3"/>
      <c r="C73" s="3"/>
      <c r="D73" s="3"/>
      <c r="E73" s="3"/>
      <c r="F73" s="3"/>
      <c r="G73" s="3"/>
      <c r="H73" s="3"/>
      <c r="I73" s="3"/>
      <c r="J73" s="3"/>
      <c r="K73" s="3"/>
      <c r="L73" s="3"/>
      <c r="M73" s="3"/>
      <c r="N73" s="3"/>
      <c r="O73" s="3"/>
      <c r="P73" s="3"/>
      <c r="Q73" s="261"/>
      <c r="R73" s="261"/>
    </row>
    <row r="74" spans="1:18" x14ac:dyDescent="0.35">
      <c r="A74" s="3"/>
      <c r="B74" s="3"/>
      <c r="C74" s="3"/>
      <c r="D74" s="3"/>
      <c r="E74" s="3"/>
      <c r="F74" s="3"/>
      <c r="G74" s="3"/>
      <c r="H74" s="3"/>
      <c r="I74" s="3"/>
      <c r="J74" s="3"/>
      <c r="K74" s="3"/>
      <c r="L74" s="3"/>
      <c r="M74" s="3"/>
      <c r="N74" s="3"/>
      <c r="O74" s="3"/>
      <c r="P74" s="3"/>
      <c r="Q74" s="261"/>
      <c r="R74" s="261"/>
    </row>
    <row r="75" spans="1:18" x14ac:dyDescent="0.35">
      <c r="A75" s="3"/>
      <c r="B75" s="3"/>
      <c r="C75" s="3"/>
      <c r="D75" s="3"/>
      <c r="E75" s="3"/>
      <c r="F75" s="3"/>
      <c r="G75" s="3"/>
      <c r="H75" s="3"/>
      <c r="I75" s="3"/>
      <c r="J75" s="3"/>
      <c r="K75" s="3"/>
      <c r="L75" s="3"/>
      <c r="M75" s="3"/>
      <c r="N75" s="3"/>
      <c r="O75" s="3"/>
      <c r="P75" s="3"/>
      <c r="Q75" s="261"/>
      <c r="R75" s="261"/>
    </row>
    <row r="76" spans="1:18" x14ac:dyDescent="0.35">
      <c r="A76" s="3"/>
      <c r="B76" s="3"/>
      <c r="C76" s="3"/>
      <c r="D76" s="3"/>
      <c r="E76" s="3"/>
      <c r="F76" s="3"/>
      <c r="G76" s="3"/>
      <c r="H76" s="3"/>
      <c r="I76" s="3"/>
      <c r="J76" s="3"/>
      <c r="K76" s="3"/>
      <c r="L76" s="3"/>
      <c r="M76" s="3"/>
      <c r="N76" s="3"/>
      <c r="O76" s="3"/>
      <c r="P76" s="3"/>
      <c r="Q76" s="261"/>
      <c r="R76" s="261"/>
    </row>
    <row r="77" spans="1:18" x14ac:dyDescent="0.35">
      <c r="A77" s="3"/>
      <c r="B77" s="3"/>
      <c r="C77" s="3"/>
      <c r="D77" s="3"/>
      <c r="E77" s="3"/>
      <c r="F77" s="3"/>
      <c r="G77" s="3"/>
      <c r="H77" s="3"/>
      <c r="I77" s="3"/>
      <c r="J77" s="3"/>
      <c r="K77" s="3"/>
      <c r="L77" s="3"/>
      <c r="M77" s="3"/>
      <c r="N77" s="3"/>
      <c r="O77" s="3"/>
      <c r="P77" s="3"/>
      <c r="Q77" s="261"/>
      <c r="R77" s="261"/>
    </row>
    <row r="78" spans="1:18" x14ac:dyDescent="0.35">
      <c r="A78" s="3"/>
      <c r="B78" s="3"/>
      <c r="C78" s="3"/>
      <c r="D78" s="3"/>
      <c r="E78" s="3"/>
      <c r="F78" s="3"/>
      <c r="G78" s="3"/>
      <c r="H78" s="3"/>
      <c r="I78" s="3"/>
      <c r="J78" s="3"/>
      <c r="K78" s="3"/>
      <c r="L78" s="3"/>
      <c r="M78" s="3"/>
      <c r="N78" s="3"/>
      <c r="O78" s="3"/>
      <c r="P78" s="3"/>
      <c r="Q78" s="261"/>
      <c r="R78" s="261"/>
    </row>
    <row r="79" spans="1:18" x14ac:dyDescent="0.35">
      <c r="A79" s="3"/>
      <c r="B79" s="3"/>
      <c r="C79" s="3"/>
      <c r="D79" s="3"/>
      <c r="E79" s="3"/>
      <c r="F79" s="3"/>
      <c r="G79" s="3"/>
      <c r="H79" s="3"/>
      <c r="I79" s="3"/>
      <c r="J79" s="3"/>
      <c r="K79" s="3"/>
      <c r="L79" s="3"/>
      <c r="M79" s="3"/>
      <c r="N79" s="3"/>
      <c r="O79" s="3"/>
      <c r="P79" s="3"/>
      <c r="Q79" s="261"/>
      <c r="R79" s="261"/>
    </row>
    <row r="80" spans="1:18" x14ac:dyDescent="0.35">
      <c r="A80" s="3"/>
      <c r="B80" s="3"/>
      <c r="C80" s="3"/>
      <c r="D80" s="3"/>
      <c r="E80" s="3"/>
      <c r="F80" s="3"/>
      <c r="G80" s="3"/>
      <c r="H80" s="3"/>
      <c r="I80" s="3"/>
      <c r="J80" s="3"/>
      <c r="K80" s="3"/>
      <c r="L80" s="3"/>
      <c r="M80" s="3"/>
      <c r="N80" s="3"/>
      <c r="O80" s="3"/>
      <c r="P80" s="3"/>
      <c r="Q80" s="261"/>
      <c r="R80" s="261"/>
    </row>
    <row r="81" spans="1:18" x14ac:dyDescent="0.35">
      <c r="A81" s="3"/>
      <c r="B81" s="3"/>
      <c r="C81" s="3"/>
      <c r="D81" s="3"/>
      <c r="E81" s="3"/>
      <c r="F81" s="3"/>
      <c r="G81" s="3"/>
      <c r="H81" s="3"/>
      <c r="I81" s="3"/>
      <c r="J81" s="3"/>
      <c r="K81" s="3"/>
      <c r="L81" s="3"/>
      <c r="M81" s="3"/>
      <c r="N81" s="3"/>
      <c r="O81" s="3"/>
      <c r="P81" s="3"/>
      <c r="Q81" s="261"/>
      <c r="R81" s="261"/>
    </row>
    <row r="82" spans="1:18" x14ac:dyDescent="0.35">
      <c r="A82" s="3"/>
      <c r="B82" s="3"/>
      <c r="C82" s="3"/>
      <c r="D82" s="3"/>
      <c r="E82" s="3"/>
      <c r="F82" s="3"/>
      <c r="G82" s="3"/>
      <c r="H82" s="3"/>
      <c r="I82" s="3"/>
      <c r="J82" s="3"/>
      <c r="K82" s="3"/>
      <c r="L82" s="3"/>
      <c r="M82" s="3"/>
      <c r="N82" s="3"/>
      <c r="O82" s="3"/>
      <c r="P82" s="3"/>
      <c r="Q82" s="261"/>
      <c r="R82" s="261"/>
    </row>
    <row r="83" spans="1:18" x14ac:dyDescent="0.35">
      <c r="A83" s="3"/>
      <c r="B83" s="3"/>
      <c r="C83" s="3"/>
      <c r="D83" s="3"/>
      <c r="E83" s="3"/>
      <c r="F83" s="3"/>
      <c r="G83" s="3"/>
      <c r="H83" s="3"/>
      <c r="I83" s="3"/>
      <c r="J83" s="3"/>
      <c r="K83" s="3"/>
      <c r="L83" s="3"/>
      <c r="M83" s="3"/>
      <c r="N83" s="3"/>
      <c r="O83" s="3"/>
      <c r="P83" s="3"/>
      <c r="Q83" s="261"/>
      <c r="R83" s="261"/>
    </row>
    <row r="84" spans="1:18" x14ac:dyDescent="0.35">
      <c r="A84" s="3"/>
      <c r="B84" s="3"/>
      <c r="C84" s="3"/>
      <c r="D84" s="3"/>
      <c r="E84" s="3"/>
      <c r="F84" s="3"/>
      <c r="G84" s="3"/>
      <c r="H84" s="3"/>
      <c r="I84" s="3"/>
      <c r="J84" s="3"/>
      <c r="K84" s="3"/>
      <c r="L84" s="3"/>
      <c r="M84" s="3"/>
      <c r="N84" s="3"/>
      <c r="O84" s="3"/>
      <c r="P84" s="3"/>
      <c r="Q84" s="261"/>
      <c r="R84" s="261"/>
    </row>
    <row r="85" spans="1:18" x14ac:dyDescent="0.35">
      <c r="A85" s="3"/>
      <c r="B85" s="3"/>
      <c r="C85" s="3"/>
      <c r="D85" s="3"/>
      <c r="E85" s="3"/>
      <c r="F85" s="3"/>
      <c r="G85" s="3"/>
      <c r="H85" s="3"/>
      <c r="I85" s="3"/>
      <c r="J85" s="3"/>
      <c r="K85" s="3"/>
      <c r="L85" s="3"/>
      <c r="M85" s="3"/>
      <c r="N85" s="3"/>
      <c r="O85" s="3"/>
      <c r="P85" s="3"/>
      <c r="Q85" s="261"/>
      <c r="R85" s="261"/>
    </row>
    <row r="86" spans="1:18" x14ac:dyDescent="0.35">
      <c r="A86" s="3"/>
      <c r="B86" s="3"/>
      <c r="C86" s="3"/>
      <c r="D86" s="3"/>
      <c r="E86" s="3"/>
      <c r="F86" s="3"/>
      <c r="G86" s="3"/>
      <c r="H86" s="3"/>
      <c r="I86" s="3"/>
      <c r="J86" s="3"/>
      <c r="K86" s="3"/>
      <c r="L86" s="3"/>
      <c r="M86" s="3"/>
      <c r="N86" s="3"/>
      <c r="O86" s="3"/>
      <c r="P86" s="3"/>
      <c r="Q86" s="261"/>
      <c r="R86" s="261"/>
    </row>
    <row r="87" spans="1:18" x14ac:dyDescent="0.35">
      <c r="A87" s="3"/>
      <c r="B87" s="3"/>
      <c r="C87" s="3"/>
      <c r="D87" s="3"/>
      <c r="E87" s="3"/>
      <c r="F87" s="3"/>
      <c r="G87" s="3"/>
      <c r="H87" s="3"/>
      <c r="I87" s="3"/>
      <c r="J87" s="3"/>
      <c r="K87" s="3"/>
      <c r="L87" s="3"/>
      <c r="M87" s="3"/>
      <c r="N87" s="3"/>
      <c r="O87" s="3"/>
      <c r="P87" s="3"/>
      <c r="Q87" s="261"/>
      <c r="R87" s="261"/>
    </row>
    <row r="88" spans="1:18" x14ac:dyDescent="0.35">
      <c r="A88" s="3"/>
      <c r="B88" s="3"/>
      <c r="C88" s="3"/>
      <c r="D88" s="3"/>
      <c r="E88" s="3"/>
      <c r="F88" s="3"/>
      <c r="G88" s="3"/>
      <c r="H88" s="3"/>
      <c r="I88" s="3"/>
      <c r="J88" s="3"/>
      <c r="K88" s="3"/>
      <c r="L88" s="3"/>
      <c r="M88" s="3"/>
      <c r="N88" s="3"/>
      <c r="O88" s="3"/>
      <c r="P88" s="3"/>
      <c r="Q88" s="261"/>
      <c r="R88" s="261"/>
    </row>
    <row r="89" spans="1:18" x14ac:dyDescent="0.35">
      <c r="A89" s="3"/>
      <c r="B89" s="3"/>
      <c r="C89" s="3"/>
      <c r="D89" s="3"/>
      <c r="E89" s="3"/>
      <c r="F89" s="3"/>
      <c r="G89" s="3"/>
      <c r="H89" s="3"/>
      <c r="I89" s="3"/>
      <c r="J89" s="3"/>
      <c r="K89" s="3"/>
      <c r="L89" s="3"/>
      <c r="M89" s="3"/>
      <c r="N89" s="3"/>
      <c r="O89" s="3"/>
      <c r="P89" s="3"/>
      <c r="Q89" s="261"/>
      <c r="R89" s="261"/>
    </row>
    <row r="90" spans="1:18" x14ac:dyDescent="0.35">
      <c r="A90" s="3"/>
      <c r="B90" s="3"/>
      <c r="C90" s="3"/>
      <c r="D90" s="3"/>
      <c r="E90" s="3"/>
      <c r="F90" s="3"/>
      <c r="G90" s="3"/>
      <c r="H90" s="3"/>
      <c r="I90" s="3"/>
      <c r="J90" s="3"/>
      <c r="K90" s="3"/>
      <c r="L90" s="3"/>
      <c r="M90" s="3"/>
      <c r="N90" s="3"/>
      <c r="O90" s="3"/>
      <c r="P90" s="3"/>
      <c r="Q90" s="261"/>
      <c r="R90" s="261"/>
    </row>
    <row r="91" spans="1:18" x14ac:dyDescent="0.35">
      <c r="A91" s="3"/>
      <c r="B91" s="3"/>
      <c r="C91" s="3"/>
      <c r="D91" s="3"/>
      <c r="E91" s="3"/>
      <c r="F91" s="3"/>
      <c r="G91" s="3"/>
      <c r="H91" s="3"/>
      <c r="I91" s="3"/>
      <c r="J91" s="3"/>
      <c r="K91" s="3"/>
      <c r="L91" s="3"/>
      <c r="M91" s="3"/>
      <c r="N91" s="3"/>
      <c r="O91" s="3"/>
      <c r="P91" s="3"/>
      <c r="Q91" s="261"/>
      <c r="R91" s="261"/>
    </row>
    <row r="92" spans="1:18" x14ac:dyDescent="0.35">
      <c r="A92" s="3"/>
      <c r="B92" s="3"/>
      <c r="C92" s="3"/>
      <c r="D92" s="3"/>
      <c r="E92" s="3"/>
      <c r="F92" s="3"/>
      <c r="G92" s="3"/>
      <c r="H92" s="3"/>
      <c r="I92" s="3"/>
      <c r="J92" s="3"/>
      <c r="K92" s="3"/>
      <c r="L92" s="3"/>
      <c r="M92" s="3"/>
      <c r="N92" s="3"/>
      <c r="O92" s="3"/>
      <c r="P92" s="3"/>
      <c r="Q92" s="261"/>
      <c r="R92" s="261"/>
    </row>
    <row r="93" spans="1:18" x14ac:dyDescent="0.35">
      <c r="A93" s="3"/>
      <c r="B93" s="3"/>
      <c r="C93" s="3"/>
      <c r="D93" s="3"/>
      <c r="E93" s="3"/>
      <c r="F93" s="3"/>
      <c r="G93" s="3"/>
      <c r="H93" s="3"/>
      <c r="I93" s="3"/>
      <c r="J93" s="3"/>
      <c r="K93" s="3"/>
      <c r="L93" s="3"/>
      <c r="M93" s="3"/>
      <c r="N93" s="3"/>
      <c r="O93" s="3"/>
      <c r="P93" s="3"/>
      <c r="Q93" s="261"/>
      <c r="R93" s="261"/>
    </row>
    <row r="94" spans="1:18" x14ac:dyDescent="0.35">
      <c r="A94" s="3"/>
      <c r="B94" s="3"/>
      <c r="C94" s="3"/>
      <c r="D94" s="3"/>
      <c r="E94" s="3"/>
      <c r="F94" s="3"/>
      <c r="G94" s="3"/>
      <c r="H94" s="3"/>
      <c r="I94" s="3"/>
      <c r="J94" s="3"/>
      <c r="K94" s="3"/>
      <c r="L94" s="3"/>
      <c r="M94" s="3"/>
      <c r="N94" s="3"/>
      <c r="O94" s="3"/>
      <c r="P94" s="3"/>
      <c r="Q94" s="261"/>
      <c r="R94" s="261"/>
    </row>
    <row r="95" spans="1:18" x14ac:dyDescent="0.35">
      <c r="A95" s="3"/>
      <c r="B95" s="3"/>
      <c r="C95" s="3"/>
      <c r="D95" s="3"/>
      <c r="E95" s="3"/>
      <c r="F95" s="3"/>
      <c r="G95" s="3"/>
      <c r="H95" s="3"/>
      <c r="I95" s="3"/>
      <c r="J95" s="3"/>
      <c r="K95" s="3"/>
      <c r="L95" s="3"/>
      <c r="M95" s="3"/>
      <c r="N95" s="3"/>
      <c r="O95" s="3"/>
      <c r="P95" s="3"/>
      <c r="Q95" s="261"/>
      <c r="R95" s="261"/>
    </row>
    <row r="96" spans="1:18" x14ac:dyDescent="0.35">
      <c r="A96" s="3"/>
      <c r="B96" s="3"/>
      <c r="C96" s="3"/>
      <c r="D96" s="3"/>
      <c r="E96" s="3"/>
      <c r="F96" s="3"/>
      <c r="G96" s="3"/>
      <c r="H96" s="3"/>
      <c r="I96" s="3"/>
      <c r="J96" s="3"/>
      <c r="K96" s="3"/>
      <c r="L96" s="3"/>
      <c r="M96" s="3"/>
      <c r="N96" s="3"/>
      <c r="O96" s="3"/>
      <c r="P96" s="3"/>
      <c r="Q96" s="261"/>
      <c r="R96" s="261"/>
    </row>
    <row r="97" spans="1:18" x14ac:dyDescent="0.35">
      <c r="A97" s="3"/>
      <c r="B97" s="3"/>
      <c r="C97" s="3"/>
      <c r="D97" s="3"/>
      <c r="E97" s="3"/>
      <c r="F97" s="3"/>
      <c r="G97" s="3"/>
      <c r="H97" s="3"/>
      <c r="I97" s="3"/>
      <c r="J97" s="3"/>
      <c r="K97" s="3"/>
      <c r="L97" s="3"/>
      <c r="M97" s="3"/>
      <c r="N97" s="3"/>
      <c r="O97" s="3"/>
      <c r="P97" s="3"/>
      <c r="Q97" s="261"/>
      <c r="R97" s="261"/>
    </row>
    <row r="98" spans="1:18" x14ac:dyDescent="0.35">
      <c r="A98" s="3"/>
      <c r="B98" s="3"/>
      <c r="C98" s="3"/>
      <c r="D98" s="3"/>
      <c r="E98" s="3"/>
      <c r="F98" s="3"/>
      <c r="G98" s="3"/>
      <c r="H98" s="3"/>
      <c r="I98" s="3"/>
      <c r="J98" s="3"/>
      <c r="K98" s="3"/>
      <c r="L98" s="3"/>
      <c r="M98" s="3"/>
      <c r="N98" s="3"/>
      <c r="O98" s="3"/>
      <c r="P98" s="3"/>
      <c r="Q98" s="261"/>
      <c r="R98" s="261"/>
    </row>
    <row r="99" spans="1:18" x14ac:dyDescent="0.35">
      <c r="A99" s="3"/>
      <c r="B99" s="3"/>
      <c r="C99" s="3"/>
      <c r="D99" s="3"/>
      <c r="E99" s="3"/>
      <c r="F99" s="3"/>
      <c r="G99" s="3"/>
      <c r="H99" s="3"/>
      <c r="I99" s="3"/>
      <c r="J99" s="3"/>
      <c r="K99" s="3"/>
      <c r="L99" s="3"/>
      <c r="M99" s="3"/>
      <c r="N99" s="3"/>
      <c r="O99" s="3"/>
      <c r="P99" s="3"/>
      <c r="Q99" s="261"/>
      <c r="R99" s="261"/>
    </row>
    <row r="100" spans="1:18" x14ac:dyDescent="0.35">
      <c r="A100" s="3"/>
      <c r="B100" s="3"/>
      <c r="C100" s="3"/>
      <c r="D100" s="3"/>
      <c r="E100" s="3"/>
      <c r="F100" s="3"/>
      <c r="G100" s="3"/>
      <c r="H100" s="3"/>
      <c r="I100" s="3"/>
      <c r="J100" s="3"/>
      <c r="K100" s="3"/>
      <c r="L100" s="3"/>
      <c r="M100" s="3"/>
      <c r="N100" s="3"/>
      <c r="O100" s="3"/>
      <c r="P100" s="3"/>
      <c r="Q100" s="261"/>
      <c r="R100" s="261"/>
    </row>
    <row r="101" spans="1:18" x14ac:dyDescent="0.35">
      <c r="A101" s="3"/>
      <c r="B101" s="3"/>
      <c r="C101" s="3"/>
      <c r="D101" s="3"/>
      <c r="E101" s="3"/>
      <c r="F101" s="3"/>
      <c r="G101" s="3"/>
      <c r="H101" s="3"/>
      <c r="I101" s="3"/>
      <c r="J101" s="3"/>
      <c r="K101" s="3"/>
      <c r="L101" s="3"/>
      <c r="M101" s="3"/>
      <c r="N101" s="3"/>
      <c r="O101" s="3"/>
      <c r="P101" s="3"/>
      <c r="Q101" s="261"/>
      <c r="R101" s="261"/>
    </row>
    <row r="102" spans="1:18" x14ac:dyDescent="0.35">
      <c r="A102" s="3"/>
      <c r="B102" s="3"/>
      <c r="C102" s="3"/>
      <c r="D102" s="3"/>
      <c r="E102" s="3"/>
      <c r="F102" s="3"/>
      <c r="G102" s="3"/>
      <c r="H102" s="3"/>
      <c r="I102" s="3"/>
      <c r="J102" s="3"/>
      <c r="K102" s="3"/>
      <c r="L102" s="3"/>
      <c r="M102" s="3"/>
      <c r="N102" s="3"/>
      <c r="O102" s="3"/>
      <c r="P102" s="3"/>
      <c r="Q102" s="261"/>
      <c r="R102" s="261"/>
    </row>
    <row r="103" spans="1:18" x14ac:dyDescent="0.35">
      <c r="A103" s="3"/>
      <c r="B103" s="3"/>
      <c r="C103" s="3"/>
      <c r="D103" s="3"/>
      <c r="E103" s="3"/>
      <c r="F103" s="3"/>
      <c r="G103" s="3"/>
      <c r="H103" s="3"/>
      <c r="I103" s="3"/>
      <c r="J103" s="3"/>
      <c r="K103" s="3"/>
      <c r="L103" s="3"/>
      <c r="M103" s="3"/>
      <c r="N103" s="3"/>
      <c r="O103" s="3"/>
      <c r="P103" s="3"/>
      <c r="Q103" s="261"/>
      <c r="R103" s="261"/>
    </row>
    <row r="104" spans="1:18" x14ac:dyDescent="0.35">
      <c r="A104" s="3"/>
      <c r="B104" s="3"/>
      <c r="C104" s="3"/>
      <c r="D104" s="3"/>
      <c r="E104" s="3"/>
      <c r="F104" s="3"/>
      <c r="G104" s="3"/>
      <c r="H104" s="3"/>
      <c r="I104" s="3"/>
      <c r="J104" s="3"/>
      <c r="K104" s="3"/>
      <c r="L104" s="3"/>
      <c r="M104" s="3"/>
      <c r="N104" s="3"/>
      <c r="O104" s="3"/>
      <c r="P104" s="3"/>
      <c r="Q104" s="261"/>
      <c r="R104" s="261"/>
    </row>
    <row r="105" spans="1:18" x14ac:dyDescent="0.35">
      <c r="A105" s="3"/>
      <c r="B105" s="3"/>
      <c r="C105" s="3"/>
      <c r="D105" s="3"/>
      <c r="E105" s="3"/>
      <c r="F105" s="3"/>
      <c r="G105" s="3"/>
      <c r="H105" s="3"/>
      <c r="I105" s="3"/>
      <c r="J105" s="3"/>
      <c r="K105" s="3"/>
      <c r="L105" s="3"/>
      <c r="M105" s="3"/>
      <c r="N105" s="3"/>
      <c r="O105" s="3"/>
      <c r="P105" s="3"/>
      <c r="Q105" s="261"/>
      <c r="R105" s="261"/>
    </row>
    <row r="106" spans="1:18" x14ac:dyDescent="0.35">
      <c r="A106" s="3"/>
      <c r="B106" s="3"/>
      <c r="C106" s="3"/>
      <c r="D106" s="3"/>
      <c r="E106" s="3"/>
      <c r="F106" s="3"/>
      <c r="G106" s="3"/>
      <c r="H106" s="3"/>
      <c r="I106" s="3"/>
      <c r="J106" s="3"/>
      <c r="K106" s="3"/>
      <c r="L106" s="3"/>
      <c r="M106" s="3"/>
      <c r="N106" s="3"/>
      <c r="O106" s="3"/>
      <c r="P106" s="3"/>
      <c r="Q106" s="261"/>
      <c r="R106" s="261"/>
    </row>
    <row r="107" spans="1:18" x14ac:dyDescent="0.35">
      <c r="A107" s="3"/>
      <c r="B107" s="3"/>
      <c r="C107" s="3"/>
      <c r="D107" s="3"/>
      <c r="E107" s="3"/>
      <c r="F107" s="3"/>
      <c r="G107" s="3"/>
      <c r="H107" s="3"/>
      <c r="I107" s="3"/>
      <c r="J107" s="3"/>
      <c r="K107" s="3"/>
      <c r="L107" s="3"/>
      <c r="M107" s="3"/>
      <c r="N107" s="3"/>
      <c r="O107" s="3"/>
      <c r="P107" s="3"/>
      <c r="Q107" s="261"/>
      <c r="R107" s="261"/>
    </row>
    <row r="108" spans="1:18" x14ac:dyDescent="0.35">
      <c r="A108" s="3"/>
      <c r="B108" s="3"/>
      <c r="C108" s="3"/>
      <c r="D108" s="3"/>
      <c r="E108" s="3"/>
      <c r="F108" s="3"/>
      <c r="G108" s="3"/>
      <c r="H108" s="3"/>
      <c r="I108" s="3"/>
      <c r="J108" s="3"/>
      <c r="K108" s="3"/>
      <c r="L108" s="3"/>
      <c r="M108" s="3"/>
      <c r="N108" s="3"/>
      <c r="O108" s="3"/>
      <c r="P108" s="3"/>
      <c r="Q108" s="261"/>
      <c r="R108" s="261"/>
    </row>
    <row r="109" spans="1:18" x14ac:dyDescent="0.35">
      <c r="A109" s="3"/>
      <c r="B109" s="3"/>
      <c r="C109" s="3"/>
      <c r="D109" s="3"/>
      <c r="E109" s="3"/>
      <c r="F109" s="3"/>
      <c r="G109" s="3"/>
      <c r="H109" s="3"/>
      <c r="I109" s="3"/>
      <c r="J109" s="3"/>
      <c r="K109" s="3"/>
      <c r="L109" s="3"/>
      <c r="M109" s="3"/>
      <c r="N109" s="3"/>
      <c r="O109" s="3"/>
      <c r="P109" s="3"/>
      <c r="Q109" s="261"/>
      <c r="R109" s="261"/>
    </row>
    <row r="110" spans="1:18" x14ac:dyDescent="0.35">
      <c r="A110" s="3"/>
      <c r="B110" s="3"/>
      <c r="C110" s="3"/>
      <c r="D110" s="3"/>
      <c r="E110" s="3"/>
      <c r="F110" s="3"/>
      <c r="G110" s="3"/>
      <c r="H110" s="3"/>
      <c r="I110" s="3"/>
      <c r="J110" s="3"/>
      <c r="K110" s="3"/>
      <c r="L110" s="3"/>
      <c r="M110" s="3"/>
      <c r="N110" s="3"/>
      <c r="O110" s="3"/>
      <c r="P110" s="3"/>
      <c r="Q110" s="261"/>
      <c r="R110" s="261"/>
    </row>
    <row r="111" spans="1:18" x14ac:dyDescent="0.35">
      <c r="A111" s="3"/>
      <c r="B111" s="3"/>
      <c r="C111" s="3"/>
      <c r="D111" s="3"/>
      <c r="E111" s="3"/>
      <c r="F111" s="3"/>
      <c r="G111" s="3"/>
      <c r="H111" s="3"/>
      <c r="I111" s="3"/>
      <c r="J111" s="3"/>
      <c r="K111" s="3"/>
      <c r="L111" s="3"/>
      <c r="M111" s="3"/>
      <c r="N111" s="3"/>
      <c r="O111" s="3"/>
      <c r="P111" s="3"/>
      <c r="Q111" s="261"/>
      <c r="R111" s="261"/>
    </row>
    <row r="112" spans="1:18" x14ac:dyDescent="0.35">
      <c r="A112" s="3"/>
      <c r="B112" s="3"/>
      <c r="C112" s="3"/>
      <c r="D112" s="3"/>
      <c r="E112" s="3"/>
      <c r="F112" s="3"/>
      <c r="G112" s="3"/>
      <c r="H112" s="3"/>
      <c r="I112" s="3"/>
      <c r="J112" s="3"/>
      <c r="K112" s="3"/>
      <c r="L112" s="3"/>
      <c r="M112" s="3"/>
      <c r="N112" s="3"/>
      <c r="O112" s="3"/>
      <c r="P112" s="3"/>
      <c r="Q112" s="261"/>
      <c r="R112" s="261"/>
    </row>
    <row r="113" spans="1:18" x14ac:dyDescent="0.35">
      <c r="A113" s="3"/>
      <c r="B113" s="3"/>
      <c r="C113" s="3"/>
      <c r="D113" s="3"/>
      <c r="E113" s="3"/>
      <c r="F113" s="3"/>
      <c r="G113" s="3"/>
      <c r="H113" s="3"/>
      <c r="I113" s="3"/>
      <c r="J113" s="3"/>
      <c r="K113" s="3"/>
      <c r="L113" s="3"/>
      <c r="M113" s="3"/>
      <c r="N113" s="3"/>
      <c r="O113" s="3"/>
      <c r="P113" s="3"/>
      <c r="Q113" s="261"/>
      <c r="R113" s="261"/>
    </row>
    <row r="114" spans="1:18" x14ac:dyDescent="0.35">
      <c r="A114" s="3"/>
      <c r="B114" s="3"/>
      <c r="C114" s="3"/>
      <c r="D114" s="3"/>
      <c r="E114" s="3"/>
      <c r="F114" s="3"/>
      <c r="G114" s="3"/>
      <c r="H114" s="3"/>
      <c r="I114" s="3"/>
      <c r="J114" s="3"/>
      <c r="K114" s="3"/>
      <c r="L114" s="3"/>
      <c r="M114" s="3"/>
      <c r="N114" s="3"/>
      <c r="O114" s="3"/>
      <c r="P114" s="3"/>
      <c r="Q114" s="261"/>
      <c r="R114" s="261"/>
    </row>
    <row r="115" spans="1:18" x14ac:dyDescent="0.35">
      <c r="A115" s="3"/>
      <c r="B115" s="3"/>
      <c r="C115" s="3"/>
      <c r="D115" s="3"/>
      <c r="E115" s="3"/>
      <c r="F115" s="3"/>
      <c r="G115" s="3"/>
      <c r="H115" s="3"/>
      <c r="I115" s="3"/>
      <c r="J115" s="3"/>
      <c r="K115" s="3"/>
      <c r="L115" s="3"/>
      <c r="M115" s="3"/>
      <c r="N115" s="3"/>
      <c r="O115" s="3"/>
      <c r="P115" s="3"/>
      <c r="Q115" s="261"/>
      <c r="R115" s="261"/>
    </row>
    <row r="116" spans="1:18" x14ac:dyDescent="0.35">
      <c r="A116" s="3"/>
      <c r="B116" s="3"/>
      <c r="C116" s="3"/>
      <c r="D116" s="3"/>
      <c r="E116" s="3"/>
      <c r="F116" s="3"/>
      <c r="G116" s="3"/>
      <c r="H116" s="3"/>
      <c r="I116" s="3"/>
      <c r="J116" s="3"/>
      <c r="K116" s="3"/>
      <c r="L116" s="3"/>
      <c r="M116" s="3"/>
      <c r="N116" s="3"/>
      <c r="O116" s="3"/>
      <c r="P116" s="3"/>
      <c r="Q116" s="261"/>
      <c r="R116" s="261"/>
    </row>
    <row r="117" spans="1:18" x14ac:dyDescent="0.35">
      <c r="A117" s="3"/>
      <c r="B117" s="3"/>
      <c r="C117" s="3"/>
      <c r="D117" s="3"/>
      <c r="E117" s="3"/>
      <c r="F117" s="3"/>
      <c r="G117" s="3"/>
      <c r="H117" s="3"/>
      <c r="I117" s="3"/>
      <c r="J117" s="3"/>
      <c r="K117" s="3"/>
      <c r="L117" s="3"/>
      <c r="M117" s="3"/>
      <c r="N117" s="3"/>
      <c r="O117" s="3"/>
      <c r="P117" s="3"/>
      <c r="Q117" s="261"/>
      <c r="R117" s="261"/>
    </row>
    <row r="118" spans="1:18" x14ac:dyDescent="0.35">
      <c r="A118" s="3"/>
      <c r="B118" s="3"/>
      <c r="C118" s="3"/>
      <c r="D118" s="3"/>
      <c r="E118" s="3"/>
      <c r="F118" s="3"/>
      <c r="G118" s="3"/>
      <c r="H118" s="3"/>
      <c r="I118" s="3"/>
      <c r="J118" s="3"/>
      <c r="K118" s="3"/>
      <c r="L118" s="3"/>
      <c r="M118" s="3"/>
      <c r="N118" s="3"/>
      <c r="O118" s="3"/>
      <c r="P118" s="3"/>
      <c r="Q118" s="261"/>
      <c r="R118" s="261"/>
    </row>
    <row r="119" spans="1:18" x14ac:dyDescent="0.35">
      <c r="A119" s="3"/>
      <c r="B119" s="3"/>
      <c r="C119" s="3"/>
      <c r="D119" s="3"/>
      <c r="E119" s="3"/>
      <c r="F119" s="3"/>
      <c r="G119" s="3"/>
      <c r="H119" s="3"/>
      <c r="I119" s="3"/>
      <c r="J119" s="3"/>
      <c r="K119" s="3"/>
      <c r="L119" s="3"/>
      <c r="M119" s="3"/>
      <c r="N119" s="3"/>
      <c r="O119" s="3"/>
      <c r="P119" s="3"/>
      <c r="Q119" s="261"/>
      <c r="R119" s="261"/>
    </row>
    <row r="120" spans="1:18" x14ac:dyDescent="0.35">
      <c r="A120" s="3"/>
      <c r="B120" s="3"/>
      <c r="C120" s="3"/>
      <c r="D120" s="3"/>
      <c r="E120" s="3"/>
      <c r="F120" s="3"/>
      <c r="G120" s="3"/>
      <c r="H120" s="3"/>
      <c r="I120" s="3"/>
      <c r="J120" s="3"/>
      <c r="K120" s="3"/>
      <c r="L120" s="3"/>
      <c r="M120" s="3"/>
      <c r="N120" s="3"/>
      <c r="O120" s="3"/>
      <c r="P120" s="3"/>
      <c r="Q120" s="261"/>
      <c r="R120" s="261"/>
    </row>
    <row r="121" spans="1:18" x14ac:dyDescent="0.35">
      <c r="A121" s="3"/>
      <c r="B121" s="3"/>
      <c r="C121" s="3"/>
      <c r="D121" s="3"/>
      <c r="E121" s="3"/>
      <c r="F121" s="3"/>
      <c r="G121" s="3"/>
      <c r="H121" s="3"/>
      <c r="I121" s="3"/>
      <c r="J121" s="3"/>
      <c r="K121" s="3"/>
      <c r="L121" s="3"/>
      <c r="M121" s="3"/>
      <c r="N121" s="3"/>
      <c r="O121" s="3"/>
      <c r="P121" s="3"/>
      <c r="Q121" s="261"/>
      <c r="R121" s="261"/>
    </row>
    <row r="122" spans="1:18" x14ac:dyDescent="0.35">
      <c r="A122" s="3"/>
      <c r="B122" s="3"/>
      <c r="C122" s="3"/>
      <c r="D122" s="3"/>
      <c r="E122" s="3"/>
      <c r="F122" s="3"/>
      <c r="G122" s="3"/>
      <c r="H122" s="3"/>
      <c r="I122" s="3"/>
      <c r="J122" s="3"/>
      <c r="K122" s="3"/>
      <c r="L122" s="3"/>
      <c r="M122" s="3"/>
      <c r="N122" s="3"/>
      <c r="O122" s="3"/>
      <c r="P122" s="3"/>
      <c r="Q122" s="261"/>
      <c r="R122" s="261"/>
    </row>
    <row r="123" spans="1:18" x14ac:dyDescent="0.35">
      <c r="A123" s="3"/>
      <c r="B123" s="3"/>
      <c r="C123" s="3"/>
      <c r="D123" s="3"/>
      <c r="E123" s="3"/>
      <c r="F123" s="3"/>
      <c r="G123" s="3"/>
      <c r="H123" s="3"/>
      <c r="I123" s="3"/>
      <c r="J123" s="3"/>
      <c r="K123" s="3"/>
      <c r="L123" s="3"/>
      <c r="M123" s="3"/>
      <c r="N123" s="3"/>
      <c r="O123" s="3"/>
      <c r="P123" s="3"/>
      <c r="Q123" s="261"/>
      <c r="R123" s="261"/>
    </row>
    <row r="124" spans="1:18" x14ac:dyDescent="0.35">
      <c r="A124" s="3"/>
      <c r="B124" s="3"/>
      <c r="C124" s="3"/>
      <c r="D124" s="3"/>
      <c r="E124" s="3"/>
      <c r="F124" s="3"/>
      <c r="G124" s="3"/>
      <c r="H124" s="3"/>
      <c r="I124" s="3"/>
      <c r="J124" s="3"/>
      <c r="K124" s="3"/>
      <c r="L124" s="3"/>
      <c r="M124" s="3"/>
      <c r="N124" s="3"/>
      <c r="O124" s="3"/>
      <c r="P124" s="3"/>
      <c r="Q124" s="261"/>
      <c r="R124" s="261"/>
    </row>
    <row r="125" spans="1:18" x14ac:dyDescent="0.35">
      <c r="A125" s="3"/>
      <c r="B125" s="3"/>
      <c r="C125" s="3"/>
      <c r="D125" s="3"/>
      <c r="E125" s="3"/>
      <c r="F125" s="3"/>
      <c r="G125" s="3"/>
      <c r="H125" s="3"/>
      <c r="I125" s="3"/>
      <c r="J125" s="3"/>
      <c r="K125" s="3"/>
      <c r="L125" s="3"/>
      <c r="M125" s="3"/>
      <c r="N125" s="3"/>
      <c r="O125" s="3"/>
      <c r="P125" s="3"/>
      <c r="Q125" s="261"/>
      <c r="R125" s="261"/>
    </row>
    <row r="126" spans="1:18" x14ac:dyDescent="0.35">
      <c r="A126" s="3"/>
      <c r="B126" s="3"/>
      <c r="C126" s="3"/>
      <c r="D126" s="3"/>
      <c r="E126" s="3"/>
      <c r="F126" s="3"/>
      <c r="G126" s="3"/>
      <c r="H126" s="3"/>
      <c r="I126" s="3"/>
      <c r="J126" s="3"/>
      <c r="K126" s="3"/>
      <c r="L126" s="3"/>
      <c r="M126" s="3"/>
      <c r="N126" s="3"/>
      <c r="O126" s="3"/>
      <c r="P126" s="3"/>
      <c r="Q126" s="261"/>
      <c r="R126" s="261"/>
    </row>
    <row r="127" spans="1:18" x14ac:dyDescent="0.35">
      <c r="A127" s="3"/>
      <c r="B127" s="3"/>
      <c r="C127" s="3"/>
      <c r="D127" s="3"/>
      <c r="E127" s="3"/>
      <c r="F127" s="3"/>
      <c r="G127" s="3"/>
      <c r="H127" s="3"/>
      <c r="I127" s="3"/>
      <c r="J127" s="3"/>
      <c r="K127" s="3"/>
      <c r="L127" s="3"/>
      <c r="M127" s="3"/>
      <c r="N127" s="3"/>
      <c r="O127" s="3"/>
      <c r="P127" s="3"/>
      <c r="Q127" s="261"/>
      <c r="R127" s="261"/>
    </row>
    <row r="128" spans="1:18" x14ac:dyDescent="0.35">
      <c r="A128" s="3"/>
      <c r="B128" s="3"/>
      <c r="C128" s="3"/>
      <c r="D128" s="3"/>
      <c r="E128" s="3"/>
      <c r="F128" s="3"/>
      <c r="G128" s="3"/>
      <c r="H128" s="3"/>
      <c r="I128" s="3"/>
      <c r="J128" s="3"/>
      <c r="K128" s="3"/>
      <c r="L128" s="3"/>
      <c r="M128" s="3"/>
      <c r="N128" s="3"/>
      <c r="O128" s="3"/>
      <c r="P128" s="3"/>
      <c r="Q128" s="261"/>
      <c r="R128" s="261"/>
    </row>
    <row r="129" spans="1:18" x14ac:dyDescent="0.35">
      <c r="A129" s="3"/>
      <c r="B129" s="3"/>
      <c r="C129" s="3"/>
      <c r="D129" s="3"/>
      <c r="E129" s="3"/>
      <c r="F129" s="3"/>
      <c r="G129" s="3"/>
      <c r="H129" s="3"/>
      <c r="I129" s="3"/>
      <c r="J129" s="3"/>
      <c r="K129" s="3"/>
      <c r="L129" s="3"/>
      <c r="M129" s="3"/>
      <c r="N129" s="3"/>
      <c r="O129" s="3"/>
      <c r="P129" s="3"/>
      <c r="Q129" s="261"/>
      <c r="R129" s="261"/>
    </row>
    <row r="130" spans="1:18" x14ac:dyDescent="0.35">
      <c r="A130" s="3"/>
      <c r="B130" s="3"/>
      <c r="C130" s="3"/>
      <c r="D130" s="3"/>
      <c r="E130" s="3"/>
      <c r="F130" s="3"/>
      <c r="G130" s="3"/>
      <c r="H130" s="3"/>
      <c r="I130" s="3"/>
      <c r="J130" s="3"/>
      <c r="K130" s="3"/>
      <c r="L130" s="3"/>
      <c r="M130" s="3"/>
      <c r="N130" s="3"/>
      <c r="O130" s="3"/>
      <c r="P130" s="3"/>
      <c r="Q130" s="261"/>
      <c r="R130" s="261"/>
    </row>
    <row r="131" spans="1:18" x14ac:dyDescent="0.35">
      <c r="A131" s="3"/>
      <c r="B131" s="3"/>
      <c r="C131" s="3"/>
      <c r="D131" s="3"/>
      <c r="E131" s="3"/>
      <c r="F131" s="3"/>
      <c r="G131" s="3"/>
      <c r="H131" s="3"/>
      <c r="I131" s="3"/>
      <c r="J131" s="3"/>
      <c r="K131" s="3"/>
      <c r="L131" s="3"/>
      <c r="M131" s="3"/>
      <c r="N131" s="3"/>
      <c r="O131" s="3"/>
      <c r="P131" s="3"/>
      <c r="Q131" s="261"/>
      <c r="R131" s="261"/>
    </row>
    <row r="132" spans="1:18" x14ac:dyDescent="0.35">
      <c r="A132" s="3"/>
      <c r="B132" s="3"/>
      <c r="C132" s="3"/>
      <c r="D132" s="3"/>
      <c r="E132" s="3"/>
      <c r="F132" s="3"/>
      <c r="G132" s="3"/>
      <c r="H132" s="3"/>
      <c r="I132" s="3"/>
      <c r="J132" s="3"/>
      <c r="K132" s="3"/>
      <c r="L132" s="3"/>
      <c r="M132" s="3"/>
      <c r="N132" s="3"/>
      <c r="O132" s="3"/>
      <c r="P132" s="3"/>
      <c r="Q132" s="261"/>
      <c r="R132" s="261"/>
    </row>
    <row r="133" spans="1:18" x14ac:dyDescent="0.35">
      <c r="A133" s="3"/>
      <c r="B133" s="3"/>
      <c r="C133" s="3"/>
      <c r="D133" s="3"/>
      <c r="E133" s="3"/>
      <c r="F133" s="3"/>
      <c r="G133" s="3"/>
      <c r="H133" s="3"/>
      <c r="I133" s="3"/>
      <c r="J133" s="3"/>
      <c r="K133" s="3"/>
      <c r="L133" s="3"/>
      <c r="M133" s="3"/>
      <c r="N133" s="3"/>
      <c r="O133" s="3"/>
      <c r="P133" s="3"/>
      <c r="Q133" s="261"/>
      <c r="R133" s="261"/>
    </row>
    <row r="134" spans="1:18" x14ac:dyDescent="0.35">
      <c r="A134" s="3"/>
      <c r="B134" s="3"/>
      <c r="C134" s="3"/>
      <c r="D134" s="3"/>
      <c r="E134" s="3"/>
      <c r="F134" s="3"/>
      <c r="G134" s="3"/>
      <c r="H134" s="3"/>
      <c r="I134" s="3"/>
      <c r="J134" s="3"/>
      <c r="K134" s="3"/>
      <c r="L134" s="3"/>
      <c r="M134" s="3"/>
      <c r="N134" s="3"/>
      <c r="O134" s="3"/>
      <c r="P134" s="3"/>
      <c r="Q134" s="261"/>
      <c r="R134" s="261"/>
    </row>
    <row r="135" spans="1:18" x14ac:dyDescent="0.35">
      <c r="A135" s="3"/>
      <c r="B135" s="3"/>
      <c r="C135" s="3"/>
      <c r="D135" s="3"/>
      <c r="E135" s="3"/>
      <c r="F135" s="3"/>
      <c r="G135" s="3"/>
      <c r="H135" s="3"/>
      <c r="I135" s="3"/>
      <c r="J135" s="3"/>
      <c r="K135" s="3"/>
      <c r="L135" s="3"/>
      <c r="M135" s="3"/>
      <c r="N135" s="3"/>
      <c r="O135" s="3"/>
      <c r="P135" s="3"/>
      <c r="Q135" s="261"/>
      <c r="R135" s="261"/>
    </row>
    <row r="136" spans="1:18" x14ac:dyDescent="0.35">
      <c r="A136" s="3"/>
      <c r="B136" s="3"/>
      <c r="C136" s="3"/>
      <c r="D136" s="3"/>
      <c r="E136" s="3"/>
      <c r="F136" s="3"/>
      <c r="G136" s="3"/>
      <c r="H136" s="3"/>
      <c r="I136" s="3"/>
      <c r="J136" s="3"/>
      <c r="K136" s="3"/>
      <c r="L136" s="3"/>
      <c r="M136" s="3"/>
      <c r="N136" s="3"/>
      <c r="O136" s="3"/>
      <c r="P136" s="3"/>
      <c r="Q136" s="261"/>
      <c r="R136" s="261"/>
    </row>
    <row r="137" spans="1:18" x14ac:dyDescent="0.35">
      <c r="A137" s="3"/>
      <c r="B137" s="3"/>
      <c r="C137" s="3"/>
      <c r="D137" s="3"/>
      <c r="E137" s="3"/>
      <c r="F137" s="3"/>
      <c r="G137" s="3"/>
      <c r="H137" s="3"/>
      <c r="I137" s="3"/>
      <c r="J137" s="3"/>
      <c r="K137" s="3"/>
      <c r="L137" s="3"/>
      <c r="M137" s="3"/>
      <c r="N137" s="3"/>
      <c r="O137" s="3"/>
      <c r="P137" s="3"/>
      <c r="Q137" s="261"/>
      <c r="R137" s="261"/>
    </row>
    <row r="138" spans="1:18" x14ac:dyDescent="0.35">
      <c r="A138" s="3"/>
      <c r="B138" s="3"/>
      <c r="C138" s="3"/>
      <c r="D138" s="3"/>
      <c r="E138" s="3"/>
      <c r="F138" s="3"/>
      <c r="G138" s="3"/>
      <c r="H138" s="3"/>
      <c r="I138" s="3"/>
      <c r="J138" s="3"/>
      <c r="K138" s="3"/>
      <c r="L138" s="3"/>
      <c r="M138" s="3"/>
      <c r="N138" s="3"/>
      <c r="O138" s="3"/>
      <c r="P138" s="3"/>
      <c r="Q138" s="261"/>
      <c r="R138" s="261"/>
    </row>
    <row r="139" spans="1:18" x14ac:dyDescent="0.35">
      <c r="A139" s="3"/>
      <c r="B139" s="3"/>
      <c r="C139" s="3"/>
      <c r="D139" s="3"/>
      <c r="E139" s="3"/>
      <c r="F139" s="3"/>
      <c r="G139" s="3"/>
      <c r="H139" s="3"/>
      <c r="I139" s="3"/>
      <c r="J139" s="3"/>
      <c r="K139" s="3"/>
      <c r="L139" s="3"/>
      <c r="M139" s="3"/>
      <c r="N139" s="3"/>
      <c r="O139" s="3"/>
      <c r="P139" s="3"/>
      <c r="Q139" s="261"/>
      <c r="R139" s="261"/>
    </row>
    <row r="140" spans="1:18" x14ac:dyDescent="0.35">
      <c r="A140" s="3"/>
      <c r="B140" s="3"/>
      <c r="C140" s="3"/>
      <c r="D140" s="3"/>
      <c r="E140" s="3"/>
      <c r="F140" s="3"/>
      <c r="G140" s="3"/>
      <c r="H140" s="3"/>
      <c r="I140" s="3"/>
      <c r="J140" s="3"/>
      <c r="K140" s="3"/>
      <c r="L140" s="3"/>
      <c r="M140" s="3"/>
      <c r="N140" s="3"/>
      <c r="O140" s="3"/>
      <c r="P140" s="3"/>
      <c r="Q140" s="261"/>
      <c r="R140" s="261"/>
    </row>
    <row r="141" spans="1:18" x14ac:dyDescent="0.35">
      <c r="A141" s="3"/>
      <c r="B141" s="3"/>
      <c r="C141" s="3"/>
      <c r="D141" s="3"/>
      <c r="E141" s="3"/>
      <c r="F141" s="3"/>
      <c r="G141" s="3"/>
      <c r="H141" s="3"/>
      <c r="I141" s="3"/>
      <c r="J141" s="3"/>
      <c r="K141" s="3"/>
      <c r="L141" s="3"/>
      <c r="M141" s="3"/>
      <c r="N141" s="3"/>
      <c r="O141" s="3"/>
      <c r="P141" s="3"/>
      <c r="Q141" s="261"/>
      <c r="R141" s="261"/>
    </row>
    <row r="142" spans="1:18" x14ac:dyDescent="0.35">
      <c r="A142" s="3"/>
      <c r="B142" s="3"/>
      <c r="C142" s="3"/>
      <c r="D142" s="3"/>
      <c r="E142" s="3"/>
      <c r="F142" s="3"/>
      <c r="G142" s="3"/>
      <c r="H142" s="3"/>
      <c r="I142" s="3"/>
      <c r="J142" s="3"/>
      <c r="K142" s="3"/>
      <c r="L142" s="3"/>
      <c r="M142" s="3"/>
      <c r="N142" s="3"/>
      <c r="O142" s="3"/>
      <c r="P142" s="3"/>
      <c r="Q142" s="261"/>
      <c r="R142" s="261"/>
    </row>
    <row r="143" spans="1:18" x14ac:dyDescent="0.35">
      <c r="A143" s="3"/>
      <c r="B143" s="3"/>
      <c r="C143" s="3"/>
      <c r="D143" s="3"/>
      <c r="E143" s="3"/>
      <c r="F143" s="3"/>
      <c r="G143" s="3"/>
      <c r="H143" s="3"/>
      <c r="I143" s="3"/>
      <c r="J143" s="3"/>
      <c r="K143" s="3"/>
      <c r="L143" s="3"/>
      <c r="M143" s="3"/>
      <c r="N143" s="3"/>
      <c r="O143" s="3"/>
      <c r="P143" s="3"/>
      <c r="Q143" s="261"/>
      <c r="R143" s="261"/>
    </row>
    <row r="144" spans="1:18" x14ac:dyDescent="0.35">
      <c r="A144" s="3"/>
      <c r="B144" s="3"/>
      <c r="C144" s="3"/>
      <c r="D144" s="3"/>
      <c r="E144" s="3"/>
      <c r="F144" s="3"/>
      <c r="G144" s="3"/>
      <c r="H144" s="3"/>
      <c r="I144" s="3"/>
      <c r="J144" s="3"/>
      <c r="K144" s="3"/>
      <c r="L144" s="3"/>
      <c r="M144" s="3"/>
      <c r="N144" s="3"/>
      <c r="O144" s="3"/>
      <c r="P144" s="3"/>
      <c r="Q144" s="261"/>
      <c r="R144" s="261"/>
    </row>
    <row r="145" spans="1:18" x14ac:dyDescent="0.35">
      <c r="A145" s="3"/>
      <c r="B145" s="3"/>
      <c r="C145" s="3"/>
      <c r="D145" s="3"/>
      <c r="E145" s="3"/>
      <c r="F145" s="3"/>
      <c r="G145" s="3"/>
      <c r="H145" s="3"/>
      <c r="I145" s="3"/>
      <c r="J145" s="3"/>
      <c r="K145" s="3"/>
      <c r="L145" s="3"/>
      <c r="M145" s="3"/>
      <c r="N145" s="3"/>
      <c r="O145" s="3"/>
      <c r="P145" s="3"/>
      <c r="Q145" s="261"/>
      <c r="R145" s="261"/>
    </row>
    <row r="146" spans="1:18" x14ac:dyDescent="0.35">
      <c r="A146" s="3"/>
      <c r="B146" s="3"/>
      <c r="C146" s="3"/>
      <c r="D146" s="3"/>
      <c r="E146" s="3"/>
      <c r="F146" s="3"/>
      <c r="G146" s="3"/>
      <c r="H146" s="3"/>
      <c r="I146" s="3"/>
      <c r="J146" s="3"/>
      <c r="K146" s="3"/>
      <c r="L146" s="3"/>
      <c r="M146" s="3"/>
      <c r="N146" s="3"/>
      <c r="O146" s="3"/>
      <c r="P146" s="3"/>
      <c r="Q146" s="261"/>
      <c r="R146" s="261"/>
    </row>
    <row r="147" spans="1:18" x14ac:dyDescent="0.35">
      <c r="A147" s="3"/>
      <c r="B147" s="3"/>
      <c r="C147" s="3"/>
      <c r="D147" s="3"/>
      <c r="E147" s="3"/>
      <c r="F147" s="3"/>
      <c r="G147" s="3"/>
      <c r="H147" s="3"/>
      <c r="I147" s="3"/>
      <c r="J147" s="3"/>
      <c r="K147" s="3"/>
      <c r="L147" s="3"/>
      <c r="M147" s="3"/>
      <c r="N147" s="3"/>
      <c r="O147" s="3"/>
      <c r="P147" s="3"/>
      <c r="Q147" s="261"/>
      <c r="R147" s="261"/>
    </row>
    <row r="148" spans="1:18" x14ac:dyDescent="0.35">
      <c r="A148" s="3"/>
      <c r="B148" s="3"/>
      <c r="C148" s="3"/>
      <c r="D148" s="3"/>
      <c r="E148" s="3"/>
      <c r="F148" s="3"/>
      <c r="G148" s="3"/>
      <c r="H148" s="3"/>
      <c r="I148" s="3"/>
      <c r="J148" s="3"/>
      <c r="K148" s="3"/>
      <c r="L148" s="3"/>
      <c r="M148" s="3"/>
      <c r="N148" s="3"/>
      <c r="O148" s="3"/>
      <c r="P148" s="3"/>
      <c r="Q148" s="261"/>
      <c r="R148" s="261"/>
    </row>
    <row r="149" spans="1:18" x14ac:dyDescent="0.35">
      <c r="A149" s="3"/>
      <c r="B149" s="3"/>
      <c r="C149" s="3"/>
      <c r="D149" s="3"/>
      <c r="E149" s="3"/>
      <c r="F149" s="3"/>
      <c r="G149" s="3"/>
      <c r="H149" s="3"/>
      <c r="I149" s="3"/>
      <c r="J149" s="3"/>
      <c r="K149" s="3"/>
      <c r="L149" s="3"/>
      <c r="M149" s="3"/>
      <c r="N149" s="3"/>
      <c r="O149" s="3"/>
      <c r="P149" s="3"/>
      <c r="Q149" s="261"/>
      <c r="R149" s="261"/>
    </row>
    <row r="150" spans="1:18" x14ac:dyDescent="0.35">
      <c r="A150" s="3"/>
      <c r="B150" s="3"/>
      <c r="C150" s="3"/>
      <c r="D150" s="3"/>
      <c r="E150" s="3"/>
      <c r="F150" s="3"/>
      <c r="G150" s="3"/>
      <c r="H150" s="3"/>
      <c r="I150" s="3"/>
      <c r="J150" s="3"/>
      <c r="K150" s="3"/>
      <c r="L150" s="3"/>
      <c r="M150" s="3"/>
      <c r="N150" s="3"/>
      <c r="O150" s="3"/>
      <c r="P150" s="3"/>
      <c r="Q150" s="261"/>
      <c r="R150" s="261"/>
    </row>
    <row r="151" spans="1:18" x14ac:dyDescent="0.35">
      <c r="A151" s="3"/>
      <c r="B151" s="3"/>
      <c r="C151" s="3"/>
      <c r="D151" s="3"/>
      <c r="E151" s="3"/>
      <c r="F151" s="3"/>
      <c r="G151" s="3"/>
      <c r="H151" s="3"/>
      <c r="I151" s="3"/>
      <c r="J151" s="3"/>
      <c r="K151" s="3"/>
      <c r="L151" s="3"/>
      <c r="M151" s="3"/>
      <c r="N151" s="3"/>
      <c r="O151" s="3"/>
      <c r="P151" s="3"/>
      <c r="Q151" s="261"/>
      <c r="R151" s="261"/>
    </row>
    <row r="152" spans="1:18" x14ac:dyDescent="0.35">
      <c r="A152" s="3"/>
      <c r="B152" s="3"/>
      <c r="C152" s="3"/>
      <c r="D152" s="3"/>
      <c r="E152" s="3"/>
      <c r="F152" s="3"/>
      <c r="G152" s="3"/>
      <c r="H152" s="3"/>
      <c r="I152" s="3"/>
      <c r="J152" s="3"/>
      <c r="K152" s="3"/>
      <c r="L152" s="3"/>
      <c r="M152" s="3"/>
      <c r="N152" s="3"/>
      <c r="O152" s="3"/>
      <c r="P152" s="3"/>
      <c r="Q152" s="261"/>
      <c r="R152" s="261"/>
    </row>
    <row r="153" spans="1:18" x14ac:dyDescent="0.35">
      <c r="A153" s="3"/>
      <c r="B153" s="3"/>
      <c r="C153" s="3"/>
      <c r="D153" s="3"/>
      <c r="E153" s="3"/>
      <c r="F153" s="3"/>
      <c r="G153" s="3"/>
      <c r="H153" s="3"/>
      <c r="I153" s="3"/>
      <c r="J153" s="3"/>
      <c r="K153" s="3"/>
      <c r="L153" s="3"/>
      <c r="M153" s="3"/>
      <c r="N153" s="3"/>
      <c r="O153" s="3"/>
      <c r="P153" s="3"/>
      <c r="Q153" s="261"/>
      <c r="R153" s="261"/>
    </row>
    <row r="154" spans="1:18" x14ac:dyDescent="0.35">
      <c r="A154" s="3"/>
      <c r="B154" s="3"/>
      <c r="C154" s="3"/>
      <c r="D154" s="3"/>
      <c r="E154" s="3"/>
      <c r="F154" s="3"/>
      <c r="G154" s="3"/>
      <c r="H154" s="3"/>
      <c r="I154" s="3"/>
      <c r="J154" s="3"/>
      <c r="K154" s="3"/>
      <c r="L154" s="3"/>
      <c r="M154" s="3"/>
      <c r="N154" s="3"/>
      <c r="O154" s="3"/>
      <c r="P154" s="3"/>
      <c r="Q154" s="261"/>
      <c r="R154" s="261"/>
    </row>
    <row r="155" spans="1:18" x14ac:dyDescent="0.35">
      <c r="A155" s="3"/>
      <c r="B155" s="3"/>
      <c r="C155" s="3"/>
      <c r="D155" s="3"/>
      <c r="E155" s="3"/>
      <c r="F155" s="3"/>
      <c r="G155" s="3"/>
      <c r="H155" s="3"/>
      <c r="I155" s="3"/>
      <c r="J155" s="3"/>
      <c r="K155" s="3"/>
      <c r="L155" s="3"/>
      <c r="M155" s="3"/>
      <c r="N155" s="3"/>
      <c r="O155" s="3"/>
      <c r="P155" s="3"/>
      <c r="Q155" s="261"/>
      <c r="R155" s="261"/>
    </row>
    <row r="156" spans="1:18" x14ac:dyDescent="0.35">
      <c r="A156" s="3"/>
      <c r="B156" s="3"/>
      <c r="C156" s="3"/>
      <c r="D156" s="3"/>
      <c r="E156" s="3"/>
      <c r="F156" s="3"/>
      <c r="G156" s="3"/>
      <c r="H156" s="3"/>
      <c r="I156" s="3"/>
      <c r="J156" s="3"/>
      <c r="K156" s="3"/>
      <c r="L156" s="3"/>
      <c r="M156" s="3"/>
      <c r="N156" s="3"/>
      <c r="O156" s="3"/>
      <c r="P156" s="3"/>
      <c r="Q156" s="261"/>
      <c r="R156" s="261"/>
    </row>
    <row r="157" spans="1:18" x14ac:dyDescent="0.35">
      <c r="A157" s="3"/>
      <c r="B157" s="3"/>
      <c r="C157" s="3"/>
      <c r="D157" s="3"/>
      <c r="E157" s="3"/>
      <c r="F157" s="3"/>
      <c r="G157" s="3"/>
      <c r="H157" s="3"/>
      <c r="I157" s="3"/>
      <c r="J157" s="3"/>
      <c r="K157" s="3"/>
      <c r="L157" s="3"/>
      <c r="M157" s="3"/>
      <c r="N157" s="3"/>
      <c r="O157" s="3"/>
      <c r="P157" s="3"/>
      <c r="Q157" s="261"/>
      <c r="R157" s="261"/>
    </row>
    <row r="158" spans="1:18" x14ac:dyDescent="0.35">
      <c r="A158" s="3"/>
      <c r="B158" s="3"/>
      <c r="C158" s="3"/>
      <c r="D158" s="3"/>
      <c r="E158" s="3"/>
      <c r="F158" s="3"/>
      <c r="G158" s="3"/>
      <c r="H158" s="3"/>
      <c r="I158" s="3"/>
      <c r="J158" s="3"/>
      <c r="K158" s="3"/>
      <c r="L158" s="3"/>
      <c r="M158" s="3"/>
      <c r="N158" s="3"/>
      <c r="O158" s="3"/>
      <c r="P158" s="3"/>
      <c r="Q158" s="261"/>
      <c r="R158" s="261"/>
    </row>
    <row r="159" spans="1:18" x14ac:dyDescent="0.35">
      <c r="A159" s="3"/>
      <c r="B159" s="3"/>
      <c r="C159" s="3"/>
      <c r="D159" s="3"/>
      <c r="E159" s="3"/>
      <c r="F159" s="3"/>
      <c r="G159" s="3"/>
      <c r="H159" s="3"/>
      <c r="I159" s="3"/>
      <c r="J159" s="3"/>
      <c r="K159" s="3"/>
      <c r="L159" s="3"/>
      <c r="M159" s="3"/>
      <c r="N159" s="3"/>
      <c r="O159" s="3"/>
      <c r="P159" s="3"/>
      <c r="Q159" s="261"/>
      <c r="R159" s="261"/>
    </row>
    <row r="160" spans="1:18" x14ac:dyDescent="0.35">
      <c r="A160" s="3"/>
      <c r="B160" s="3"/>
      <c r="C160" s="3"/>
      <c r="D160" s="3"/>
      <c r="E160" s="3"/>
      <c r="F160" s="3"/>
      <c r="G160" s="3"/>
      <c r="H160" s="3"/>
      <c r="I160" s="3"/>
      <c r="J160" s="3"/>
      <c r="K160" s="3"/>
      <c r="L160" s="3"/>
      <c r="M160" s="3"/>
      <c r="N160" s="3"/>
      <c r="O160" s="3"/>
      <c r="P160" s="3"/>
      <c r="Q160" s="261"/>
      <c r="R160" s="261"/>
    </row>
    <row r="161" spans="1:18" x14ac:dyDescent="0.35">
      <c r="A161" s="3"/>
      <c r="B161" s="3"/>
      <c r="C161" s="3"/>
      <c r="D161" s="3"/>
      <c r="E161" s="3"/>
      <c r="F161" s="3"/>
      <c r="G161" s="3"/>
      <c r="H161" s="3"/>
      <c r="I161" s="3"/>
      <c r="J161" s="3"/>
      <c r="K161" s="3"/>
      <c r="L161" s="3"/>
      <c r="M161" s="3"/>
      <c r="N161" s="3"/>
      <c r="O161" s="3"/>
      <c r="P161" s="3"/>
      <c r="Q161" s="261"/>
      <c r="R161" s="261"/>
    </row>
    <row r="162" spans="1:18" x14ac:dyDescent="0.35">
      <c r="A162" s="3"/>
      <c r="B162" s="3"/>
      <c r="C162" s="3"/>
      <c r="D162" s="3"/>
      <c r="E162" s="3"/>
      <c r="F162" s="3"/>
      <c r="G162" s="3"/>
      <c r="H162" s="3"/>
      <c r="I162" s="3"/>
      <c r="J162" s="3"/>
      <c r="K162" s="3"/>
      <c r="L162" s="3"/>
      <c r="M162" s="3"/>
      <c r="N162" s="3"/>
      <c r="O162" s="3"/>
      <c r="P162" s="3"/>
      <c r="Q162" s="261"/>
      <c r="R162" s="261"/>
    </row>
    <row r="163" spans="1:18" x14ac:dyDescent="0.35">
      <c r="A163" s="3"/>
      <c r="B163" s="3"/>
      <c r="C163" s="3"/>
      <c r="D163" s="3"/>
      <c r="E163" s="3"/>
      <c r="F163" s="3"/>
      <c r="G163" s="3"/>
      <c r="H163" s="3"/>
      <c r="I163" s="3"/>
      <c r="J163" s="3"/>
      <c r="K163" s="3"/>
      <c r="L163" s="3"/>
      <c r="M163" s="3"/>
      <c r="N163" s="3"/>
      <c r="O163" s="3"/>
      <c r="P163" s="3"/>
      <c r="Q163" s="261"/>
      <c r="R163" s="261"/>
    </row>
    <row r="164" spans="1:18" x14ac:dyDescent="0.35">
      <c r="A164" s="3"/>
      <c r="B164" s="3"/>
      <c r="C164" s="3"/>
      <c r="D164" s="3"/>
      <c r="E164" s="3"/>
      <c r="F164" s="3"/>
      <c r="G164" s="3"/>
      <c r="H164" s="3"/>
      <c r="I164" s="3"/>
      <c r="J164" s="3"/>
      <c r="K164" s="3"/>
      <c r="L164" s="3"/>
      <c r="M164" s="3"/>
      <c r="N164" s="3"/>
      <c r="O164" s="3"/>
      <c r="P164" s="3"/>
      <c r="Q164" s="261"/>
      <c r="R164" s="261"/>
    </row>
    <row r="165" spans="1:18" x14ac:dyDescent="0.35">
      <c r="A165" s="3"/>
      <c r="B165" s="3"/>
      <c r="C165" s="3"/>
      <c r="D165" s="3"/>
      <c r="E165" s="3"/>
      <c r="F165" s="3"/>
      <c r="G165" s="3"/>
      <c r="H165" s="3"/>
      <c r="I165" s="3"/>
      <c r="J165" s="3"/>
      <c r="K165" s="3"/>
      <c r="L165" s="3"/>
      <c r="M165" s="3"/>
      <c r="N165" s="3"/>
      <c r="O165" s="3"/>
      <c r="P165" s="3"/>
      <c r="Q165" s="261"/>
      <c r="R165" s="261"/>
    </row>
    <row r="166" spans="1:18" x14ac:dyDescent="0.35">
      <c r="A166" s="3"/>
      <c r="B166" s="3"/>
      <c r="C166" s="3"/>
      <c r="D166" s="3"/>
      <c r="E166" s="3"/>
      <c r="F166" s="3"/>
      <c r="G166" s="3"/>
      <c r="H166" s="3"/>
      <c r="I166" s="3"/>
      <c r="J166" s="3"/>
      <c r="K166" s="3"/>
      <c r="L166" s="3"/>
      <c r="M166" s="3"/>
      <c r="N166" s="3"/>
      <c r="O166" s="3"/>
      <c r="P166" s="3"/>
      <c r="Q166" s="261"/>
      <c r="R166" s="261"/>
    </row>
    <row r="167" spans="1:18" x14ac:dyDescent="0.35">
      <c r="A167" s="3"/>
      <c r="B167" s="3"/>
      <c r="C167" s="3"/>
      <c r="D167" s="3"/>
      <c r="E167" s="3"/>
      <c r="F167" s="3"/>
      <c r="G167" s="3"/>
      <c r="H167" s="3"/>
      <c r="I167" s="3"/>
      <c r="J167" s="3"/>
      <c r="K167" s="3"/>
      <c r="L167" s="3"/>
      <c r="M167" s="3"/>
      <c r="N167" s="3"/>
      <c r="O167" s="3"/>
      <c r="P167" s="3"/>
      <c r="Q167" s="261"/>
      <c r="R167" s="261"/>
    </row>
    <row r="168" spans="1:18" x14ac:dyDescent="0.35">
      <c r="A168" s="3"/>
      <c r="B168" s="3"/>
      <c r="C168" s="3"/>
      <c r="D168" s="3"/>
      <c r="E168" s="3"/>
      <c r="F168" s="3"/>
      <c r="G168" s="3"/>
      <c r="H168" s="3"/>
      <c r="I168" s="3"/>
      <c r="J168" s="3"/>
      <c r="K168" s="3"/>
      <c r="L168" s="3"/>
      <c r="M168" s="3"/>
      <c r="N168" s="3"/>
      <c r="O168" s="3"/>
      <c r="P168" s="3"/>
      <c r="Q168" s="261"/>
      <c r="R168" s="261"/>
    </row>
    <row r="169" spans="1:18" x14ac:dyDescent="0.35">
      <c r="A169" s="3"/>
      <c r="B169" s="3"/>
      <c r="C169" s="3"/>
      <c r="D169" s="3"/>
      <c r="E169" s="3"/>
      <c r="F169" s="3"/>
      <c r="G169" s="3"/>
      <c r="H169" s="3"/>
      <c r="I169" s="3"/>
      <c r="J169" s="3"/>
      <c r="K169" s="3"/>
      <c r="L169" s="3"/>
      <c r="M169" s="3"/>
      <c r="N169" s="3"/>
      <c r="O169" s="3"/>
      <c r="P169" s="3"/>
      <c r="Q169" s="261"/>
      <c r="R169" s="261"/>
    </row>
    <row r="170" spans="1:18" x14ac:dyDescent="0.35">
      <c r="A170" s="3"/>
      <c r="B170" s="3"/>
      <c r="C170" s="3"/>
      <c r="D170" s="3"/>
      <c r="E170" s="3"/>
      <c r="F170" s="3"/>
      <c r="G170" s="3"/>
      <c r="H170" s="3"/>
      <c r="I170" s="3"/>
      <c r="J170" s="3"/>
      <c r="K170" s="3"/>
      <c r="L170" s="3"/>
      <c r="M170" s="3"/>
      <c r="N170" s="3"/>
      <c r="O170" s="3"/>
      <c r="P170" s="3"/>
      <c r="Q170" s="261"/>
      <c r="R170" s="261"/>
    </row>
    <row r="171" spans="1:18" x14ac:dyDescent="0.35">
      <c r="A171" s="3"/>
      <c r="B171" s="3"/>
      <c r="C171" s="3"/>
      <c r="D171" s="3"/>
      <c r="E171" s="3"/>
      <c r="F171" s="3"/>
      <c r="G171" s="3"/>
      <c r="H171" s="3"/>
      <c r="I171" s="3"/>
      <c r="J171" s="3"/>
      <c r="K171" s="3"/>
      <c r="L171" s="3"/>
      <c r="M171" s="3"/>
      <c r="N171" s="3"/>
      <c r="O171" s="3"/>
      <c r="P171" s="3"/>
      <c r="Q171" s="261"/>
      <c r="R171" s="261"/>
    </row>
    <row r="172" spans="1:18" x14ac:dyDescent="0.35">
      <c r="A172" s="3"/>
      <c r="B172" s="3"/>
      <c r="C172" s="3"/>
      <c r="D172" s="3"/>
      <c r="E172" s="3"/>
      <c r="F172" s="3"/>
      <c r="G172" s="3"/>
      <c r="H172" s="3"/>
      <c r="I172" s="3"/>
      <c r="J172" s="3"/>
      <c r="K172" s="3"/>
      <c r="L172" s="3"/>
      <c r="M172" s="3"/>
      <c r="N172" s="3"/>
      <c r="O172" s="3"/>
      <c r="P172" s="3"/>
      <c r="Q172" s="261"/>
      <c r="R172" s="261"/>
    </row>
    <row r="173" spans="1:18" x14ac:dyDescent="0.35">
      <c r="A173" s="3"/>
      <c r="B173" s="3"/>
      <c r="C173" s="3"/>
      <c r="D173" s="3"/>
      <c r="E173" s="3"/>
      <c r="F173" s="3"/>
      <c r="G173" s="3"/>
      <c r="H173" s="3"/>
      <c r="I173" s="3"/>
      <c r="J173" s="3"/>
      <c r="K173" s="3"/>
      <c r="L173" s="3"/>
      <c r="M173" s="3"/>
      <c r="N173" s="3"/>
      <c r="O173" s="3"/>
      <c r="P173" s="3"/>
      <c r="Q173" s="261"/>
      <c r="R173" s="261"/>
    </row>
    <row r="174" spans="1:18" x14ac:dyDescent="0.35">
      <c r="A174" s="3"/>
      <c r="B174" s="3"/>
      <c r="C174" s="3"/>
      <c r="D174" s="3"/>
      <c r="E174" s="3"/>
      <c r="F174" s="3"/>
      <c r="G174" s="3"/>
      <c r="H174" s="3"/>
      <c r="I174" s="3"/>
      <c r="J174" s="3"/>
      <c r="K174" s="3"/>
      <c r="L174" s="3"/>
      <c r="M174" s="3"/>
      <c r="N174" s="3"/>
      <c r="O174" s="3"/>
      <c r="P174" s="3"/>
      <c r="Q174" s="261"/>
      <c r="R174" s="261"/>
    </row>
    <row r="175" spans="1:18" x14ac:dyDescent="0.35">
      <c r="A175" s="3"/>
      <c r="B175" s="3"/>
      <c r="C175" s="3"/>
      <c r="D175" s="3"/>
      <c r="E175" s="3"/>
      <c r="F175" s="3"/>
      <c r="G175" s="3"/>
      <c r="H175" s="3"/>
      <c r="I175" s="3"/>
      <c r="J175" s="3"/>
      <c r="K175" s="3"/>
      <c r="L175" s="3"/>
      <c r="M175" s="3"/>
      <c r="N175" s="3"/>
      <c r="O175" s="3"/>
      <c r="P175" s="3"/>
      <c r="Q175" s="261"/>
      <c r="R175" s="261"/>
    </row>
    <row r="176" spans="1:18" x14ac:dyDescent="0.35">
      <c r="A176" s="3"/>
      <c r="B176" s="3"/>
      <c r="C176" s="3"/>
      <c r="D176" s="3"/>
      <c r="E176" s="3"/>
      <c r="F176" s="3"/>
      <c r="G176" s="3"/>
      <c r="H176" s="3"/>
      <c r="I176" s="3"/>
      <c r="J176" s="3"/>
      <c r="K176" s="3"/>
      <c r="L176" s="3"/>
      <c r="M176" s="3"/>
      <c r="N176" s="3"/>
      <c r="O176" s="3"/>
      <c r="P176" s="3"/>
      <c r="Q176" s="261"/>
      <c r="R176" s="261"/>
    </row>
    <row r="177" spans="1:18" x14ac:dyDescent="0.35">
      <c r="A177" s="3"/>
      <c r="B177" s="3"/>
      <c r="C177" s="3"/>
      <c r="D177" s="3"/>
      <c r="E177" s="3"/>
      <c r="F177" s="3"/>
      <c r="G177" s="3"/>
      <c r="H177" s="3"/>
      <c r="I177" s="3"/>
      <c r="J177" s="3"/>
      <c r="K177" s="3"/>
      <c r="L177" s="3"/>
      <c r="M177" s="3"/>
      <c r="N177" s="3"/>
      <c r="O177" s="3"/>
      <c r="P177" s="3"/>
      <c r="Q177" s="261"/>
      <c r="R177" s="261"/>
    </row>
    <row r="178" spans="1:18" x14ac:dyDescent="0.35">
      <c r="A178" s="3"/>
      <c r="B178" s="3"/>
      <c r="C178" s="3"/>
      <c r="D178" s="3"/>
      <c r="E178" s="3"/>
      <c r="F178" s="3"/>
      <c r="G178" s="3"/>
      <c r="H178" s="3"/>
      <c r="I178" s="3"/>
      <c r="J178" s="3"/>
      <c r="K178" s="3"/>
      <c r="L178" s="3"/>
      <c r="M178" s="3"/>
      <c r="N178" s="3"/>
      <c r="O178" s="3"/>
      <c r="P178" s="3"/>
      <c r="Q178" s="261"/>
      <c r="R178" s="261"/>
    </row>
    <row r="179" spans="1:18" x14ac:dyDescent="0.35">
      <c r="A179" s="3"/>
      <c r="B179" s="3"/>
      <c r="C179" s="3"/>
      <c r="D179" s="3"/>
      <c r="E179" s="3"/>
      <c r="F179" s="3"/>
      <c r="G179" s="3"/>
      <c r="H179" s="3"/>
      <c r="I179" s="3"/>
      <c r="J179" s="3"/>
      <c r="K179" s="3"/>
      <c r="L179" s="3"/>
      <c r="M179" s="3"/>
      <c r="N179" s="3"/>
      <c r="O179" s="3"/>
      <c r="P179" s="3"/>
      <c r="Q179" s="261"/>
      <c r="R179" s="261"/>
    </row>
    <row r="180" spans="1:18" x14ac:dyDescent="0.35">
      <c r="A180" s="3"/>
      <c r="B180" s="3"/>
      <c r="C180" s="3"/>
      <c r="D180" s="3"/>
      <c r="E180" s="3"/>
      <c r="F180" s="3"/>
      <c r="G180" s="3"/>
      <c r="H180" s="3"/>
      <c r="I180" s="3"/>
      <c r="J180" s="3"/>
      <c r="K180" s="3"/>
      <c r="L180" s="3"/>
      <c r="M180" s="3"/>
      <c r="N180" s="3"/>
      <c r="O180" s="3"/>
      <c r="P180" s="3"/>
      <c r="Q180" s="261"/>
      <c r="R180" s="261"/>
    </row>
    <row r="181" spans="1:18" x14ac:dyDescent="0.35">
      <c r="A181" s="3"/>
      <c r="B181" s="3"/>
      <c r="C181" s="3"/>
      <c r="D181" s="3"/>
      <c r="E181" s="3"/>
      <c r="F181" s="3"/>
      <c r="G181" s="3"/>
      <c r="H181" s="3"/>
      <c r="I181" s="3"/>
      <c r="J181" s="3"/>
      <c r="K181" s="3"/>
      <c r="L181" s="3"/>
      <c r="M181" s="3"/>
      <c r="N181" s="3"/>
      <c r="O181" s="3"/>
      <c r="P181" s="3"/>
      <c r="Q181" s="261"/>
      <c r="R181" s="261"/>
    </row>
    <row r="182" spans="1:18" x14ac:dyDescent="0.35">
      <c r="A182" s="3"/>
      <c r="B182" s="3"/>
      <c r="C182" s="3"/>
      <c r="D182" s="3"/>
      <c r="E182" s="3"/>
      <c r="F182" s="3"/>
      <c r="G182" s="3"/>
      <c r="H182" s="3"/>
      <c r="I182" s="3"/>
      <c r="J182" s="3"/>
      <c r="K182" s="3"/>
      <c r="L182" s="3"/>
      <c r="M182" s="3"/>
      <c r="N182" s="3"/>
      <c r="O182" s="3"/>
      <c r="P182" s="3"/>
      <c r="Q182" s="261"/>
      <c r="R182" s="261"/>
    </row>
    <row r="183" spans="1:18" x14ac:dyDescent="0.35">
      <c r="A183" s="3"/>
      <c r="B183" s="3"/>
      <c r="C183" s="3"/>
      <c r="D183" s="3"/>
      <c r="E183" s="3"/>
      <c r="F183" s="3"/>
      <c r="G183" s="3"/>
      <c r="H183" s="3"/>
      <c r="I183" s="3"/>
      <c r="J183" s="3"/>
      <c r="K183" s="3"/>
      <c r="L183" s="3"/>
      <c r="M183" s="3"/>
      <c r="N183" s="3"/>
      <c r="O183" s="3"/>
      <c r="P183" s="3"/>
      <c r="Q183" s="261"/>
      <c r="R183" s="261"/>
    </row>
    <row r="184" spans="1:18" x14ac:dyDescent="0.35">
      <c r="A184" s="3"/>
      <c r="B184" s="3"/>
      <c r="C184" s="3"/>
      <c r="D184" s="3"/>
      <c r="E184" s="3"/>
      <c r="F184" s="3"/>
      <c r="G184" s="3"/>
      <c r="H184" s="3"/>
      <c r="I184" s="3"/>
      <c r="J184" s="3"/>
      <c r="K184" s="3"/>
      <c r="L184" s="3"/>
      <c r="M184" s="3"/>
      <c r="N184" s="3"/>
      <c r="O184" s="3"/>
      <c r="P184" s="3"/>
      <c r="Q184" s="261"/>
      <c r="R184" s="261"/>
    </row>
    <row r="185" spans="1:18" x14ac:dyDescent="0.35">
      <c r="A185" s="3"/>
      <c r="B185" s="3"/>
      <c r="C185" s="3"/>
      <c r="D185" s="3"/>
      <c r="E185" s="3"/>
      <c r="F185" s="3"/>
      <c r="G185" s="3"/>
      <c r="H185" s="3"/>
      <c r="I185" s="3"/>
      <c r="J185" s="3"/>
      <c r="K185" s="3"/>
      <c r="L185" s="3"/>
      <c r="M185" s="3"/>
      <c r="N185" s="3"/>
      <c r="O185" s="3"/>
      <c r="P185" s="3"/>
      <c r="Q185" s="261"/>
      <c r="R185" s="261"/>
    </row>
    <row r="186" spans="1:18" x14ac:dyDescent="0.35">
      <c r="A186" s="3"/>
      <c r="B186" s="3"/>
      <c r="C186" s="3"/>
      <c r="D186" s="3"/>
      <c r="E186" s="3"/>
      <c r="F186" s="3"/>
      <c r="G186" s="3"/>
      <c r="H186" s="3"/>
      <c r="I186" s="3"/>
      <c r="J186" s="3"/>
      <c r="K186" s="3"/>
      <c r="L186" s="3"/>
      <c r="M186" s="3"/>
      <c r="N186" s="3"/>
      <c r="O186" s="3"/>
      <c r="P186" s="3"/>
      <c r="Q186" s="261"/>
      <c r="R186" s="261"/>
    </row>
    <row r="187" spans="1:18" x14ac:dyDescent="0.35">
      <c r="A187" s="3"/>
      <c r="B187" s="3"/>
      <c r="C187" s="3"/>
      <c r="D187" s="3"/>
      <c r="E187" s="3"/>
      <c r="F187" s="3"/>
      <c r="G187" s="3"/>
      <c r="H187" s="3"/>
      <c r="I187" s="3"/>
      <c r="J187" s="3"/>
      <c r="K187" s="3"/>
      <c r="L187" s="3"/>
      <c r="M187" s="3"/>
      <c r="N187" s="3"/>
      <c r="O187" s="3"/>
      <c r="P187" s="3"/>
      <c r="Q187" s="261"/>
      <c r="R187" s="261"/>
    </row>
    <row r="188" spans="1:18" x14ac:dyDescent="0.35">
      <c r="A188" s="3"/>
      <c r="B188" s="3"/>
      <c r="C188" s="3"/>
      <c r="D188" s="3"/>
      <c r="E188" s="3"/>
      <c r="F188" s="3"/>
      <c r="G188" s="3"/>
      <c r="H188" s="3"/>
      <c r="I188" s="3"/>
      <c r="J188" s="3"/>
      <c r="K188" s="3"/>
      <c r="L188" s="3"/>
      <c r="M188" s="3"/>
      <c r="N188" s="3"/>
      <c r="O188" s="3"/>
      <c r="P188" s="3"/>
      <c r="Q188" s="261"/>
      <c r="R188" s="261"/>
    </row>
    <row r="189" spans="1:18" x14ac:dyDescent="0.35">
      <c r="A189" s="3"/>
      <c r="B189" s="3"/>
      <c r="C189" s="3"/>
      <c r="D189" s="3"/>
      <c r="E189" s="3"/>
      <c r="F189" s="3"/>
      <c r="G189" s="3"/>
      <c r="H189" s="3"/>
      <c r="I189" s="3"/>
      <c r="J189" s="3"/>
      <c r="K189" s="3"/>
      <c r="L189" s="3"/>
      <c r="M189" s="3"/>
      <c r="N189" s="3"/>
      <c r="O189" s="3"/>
      <c r="P189" s="3"/>
      <c r="Q189" s="261"/>
      <c r="R189" s="261"/>
    </row>
    <row r="190" spans="1:18" x14ac:dyDescent="0.35">
      <c r="A190" s="3"/>
      <c r="B190" s="3"/>
      <c r="C190" s="3"/>
      <c r="D190" s="3"/>
      <c r="E190" s="3"/>
      <c r="F190" s="3"/>
      <c r="G190" s="3"/>
      <c r="H190" s="3"/>
      <c r="I190" s="3"/>
      <c r="J190" s="3"/>
      <c r="K190" s="3"/>
      <c r="L190" s="3"/>
      <c r="M190" s="3"/>
      <c r="N190" s="3"/>
      <c r="O190" s="3"/>
      <c r="P190" s="3"/>
      <c r="Q190" s="261"/>
      <c r="R190" s="261"/>
    </row>
    <row r="191" spans="1:18" x14ac:dyDescent="0.35">
      <c r="A191" s="3"/>
      <c r="B191" s="3"/>
      <c r="C191" s="3"/>
      <c r="D191" s="3"/>
      <c r="E191" s="3"/>
      <c r="F191" s="3"/>
      <c r="G191" s="3"/>
      <c r="H191" s="3"/>
      <c r="I191" s="3"/>
      <c r="J191" s="3"/>
      <c r="K191" s="3"/>
      <c r="L191" s="3"/>
      <c r="M191" s="3"/>
      <c r="N191" s="3"/>
      <c r="O191" s="3"/>
      <c r="P191" s="3"/>
      <c r="Q191" s="261"/>
      <c r="R191" s="261"/>
    </row>
    <row r="192" spans="1:18" x14ac:dyDescent="0.35">
      <c r="A192" s="3"/>
      <c r="B192" s="3"/>
      <c r="C192" s="3"/>
      <c r="D192" s="3"/>
      <c r="E192" s="3"/>
      <c r="F192" s="3"/>
      <c r="G192" s="3"/>
      <c r="H192" s="3"/>
      <c r="I192" s="3"/>
      <c r="J192" s="3"/>
      <c r="K192" s="3"/>
      <c r="L192" s="3"/>
      <c r="M192" s="3"/>
      <c r="N192" s="3"/>
      <c r="O192" s="3"/>
      <c r="P192" s="3"/>
      <c r="Q192" s="261"/>
      <c r="R192" s="261"/>
    </row>
    <row r="193" spans="1:18" x14ac:dyDescent="0.35">
      <c r="A193" s="3"/>
      <c r="B193" s="3"/>
      <c r="C193" s="3"/>
      <c r="D193" s="3"/>
      <c r="E193" s="3"/>
      <c r="F193" s="3"/>
      <c r="G193" s="3"/>
      <c r="H193" s="3"/>
      <c r="I193" s="3"/>
      <c r="J193" s="3"/>
      <c r="K193" s="3"/>
      <c r="L193" s="3"/>
      <c r="M193" s="3"/>
      <c r="N193" s="3"/>
      <c r="O193" s="3"/>
      <c r="P193" s="3"/>
      <c r="Q193" s="261"/>
      <c r="R193" s="261"/>
    </row>
    <row r="194" spans="1:18" x14ac:dyDescent="0.35">
      <c r="A194" s="3"/>
      <c r="B194" s="3"/>
      <c r="C194" s="3"/>
      <c r="D194" s="3"/>
      <c r="E194" s="3"/>
      <c r="F194" s="3"/>
      <c r="G194" s="3"/>
      <c r="H194" s="3"/>
      <c r="I194" s="3"/>
      <c r="J194" s="3"/>
      <c r="K194" s="3"/>
      <c r="L194" s="3"/>
      <c r="M194" s="3"/>
      <c r="N194" s="3"/>
      <c r="O194" s="3"/>
      <c r="P194" s="3"/>
      <c r="Q194" s="261"/>
      <c r="R194" s="261"/>
    </row>
    <row r="195" spans="1:18" x14ac:dyDescent="0.35">
      <c r="A195" s="3"/>
      <c r="B195" s="3"/>
      <c r="C195" s="3"/>
      <c r="D195" s="3"/>
      <c r="E195" s="3"/>
      <c r="F195" s="3"/>
      <c r="G195" s="3"/>
      <c r="H195" s="3"/>
      <c r="I195" s="3"/>
      <c r="J195" s="3"/>
      <c r="K195" s="3"/>
      <c r="L195" s="3"/>
      <c r="M195" s="3"/>
      <c r="N195" s="3"/>
      <c r="O195" s="3"/>
      <c r="P195" s="3"/>
      <c r="Q195" s="261"/>
      <c r="R195" s="261"/>
    </row>
    <row r="196" spans="1:18" x14ac:dyDescent="0.35">
      <c r="A196" s="3"/>
      <c r="B196" s="3"/>
      <c r="C196" s="3"/>
      <c r="D196" s="3"/>
      <c r="E196" s="3"/>
      <c r="F196" s="3"/>
      <c r="G196" s="3"/>
      <c r="H196" s="3"/>
      <c r="I196" s="3"/>
      <c r="J196" s="3"/>
      <c r="K196" s="3"/>
      <c r="L196" s="3"/>
      <c r="M196" s="3"/>
      <c r="N196" s="3"/>
      <c r="O196" s="3"/>
      <c r="P196" s="3"/>
      <c r="Q196" s="261"/>
      <c r="R196" s="261"/>
    </row>
    <row r="197" spans="1:18" x14ac:dyDescent="0.35">
      <c r="A197" s="3"/>
      <c r="B197" s="3"/>
      <c r="C197" s="3"/>
      <c r="D197" s="3"/>
      <c r="E197" s="3"/>
      <c r="F197" s="3"/>
      <c r="G197" s="3"/>
      <c r="H197" s="3"/>
      <c r="I197" s="3"/>
      <c r="J197" s="3"/>
      <c r="K197" s="3"/>
      <c r="L197" s="3"/>
      <c r="M197" s="3"/>
      <c r="N197" s="3"/>
      <c r="O197" s="3"/>
      <c r="P197" s="3"/>
      <c r="Q197" s="261"/>
      <c r="R197" s="261"/>
    </row>
    <row r="198" spans="1:18" x14ac:dyDescent="0.35">
      <c r="A198" s="3"/>
      <c r="B198" s="3"/>
      <c r="C198" s="3"/>
      <c r="D198" s="3"/>
      <c r="E198" s="3"/>
      <c r="F198" s="3"/>
      <c r="G198" s="3"/>
      <c r="H198" s="3"/>
      <c r="I198" s="3"/>
      <c r="J198" s="3"/>
      <c r="K198" s="3"/>
      <c r="L198" s="3"/>
      <c r="M198" s="3"/>
      <c r="N198" s="3"/>
      <c r="O198" s="3"/>
      <c r="P198" s="3"/>
      <c r="Q198" s="261"/>
      <c r="R198" s="261"/>
    </row>
    <row r="199" spans="1:18" x14ac:dyDescent="0.35">
      <c r="A199" s="3"/>
      <c r="B199" s="3"/>
      <c r="C199" s="3"/>
      <c r="D199" s="3"/>
      <c r="E199" s="3"/>
      <c r="F199" s="3"/>
      <c r="G199" s="3"/>
      <c r="H199" s="3"/>
      <c r="I199" s="3"/>
      <c r="J199" s="3"/>
      <c r="K199" s="3"/>
      <c r="L199" s="3"/>
      <c r="M199" s="3"/>
      <c r="N199" s="3"/>
      <c r="O199" s="3"/>
      <c r="P199" s="3"/>
      <c r="Q199" s="261"/>
      <c r="R199" s="261"/>
    </row>
    <row r="200" spans="1:18" x14ac:dyDescent="0.35">
      <c r="A200" s="3"/>
      <c r="B200" s="3"/>
      <c r="C200" s="3"/>
      <c r="D200" s="3"/>
      <c r="E200" s="3"/>
      <c r="F200" s="3"/>
      <c r="G200" s="3"/>
      <c r="H200" s="3"/>
      <c r="I200" s="3"/>
      <c r="J200" s="3"/>
      <c r="K200" s="3"/>
      <c r="L200" s="3"/>
      <c r="M200" s="3"/>
      <c r="N200" s="3"/>
      <c r="O200" s="3"/>
      <c r="P200" s="3"/>
      <c r="Q200" s="261"/>
      <c r="R200" s="261"/>
    </row>
    <row r="201" spans="1:18" x14ac:dyDescent="0.35">
      <c r="A201" s="3"/>
      <c r="B201" s="3"/>
      <c r="C201" s="3"/>
      <c r="D201" s="3"/>
      <c r="E201" s="3"/>
      <c r="F201" s="3"/>
      <c r="G201" s="3"/>
      <c r="H201" s="3"/>
      <c r="I201" s="3"/>
      <c r="J201" s="3"/>
      <c r="K201" s="3"/>
      <c r="L201" s="3"/>
      <c r="M201" s="3"/>
      <c r="N201" s="3"/>
      <c r="O201" s="3"/>
      <c r="P201" s="3"/>
      <c r="Q201" s="261"/>
      <c r="R201" s="261"/>
    </row>
    <row r="202" spans="1:18" x14ac:dyDescent="0.35">
      <c r="A202" s="3"/>
      <c r="B202" s="3"/>
      <c r="C202" s="3"/>
      <c r="D202" s="3"/>
      <c r="E202" s="3"/>
      <c r="F202" s="3"/>
      <c r="G202" s="3"/>
      <c r="H202" s="3"/>
      <c r="I202" s="3"/>
      <c r="J202" s="3"/>
      <c r="K202" s="3"/>
      <c r="L202" s="3"/>
      <c r="M202" s="3"/>
      <c r="N202" s="3"/>
      <c r="O202" s="3"/>
      <c r="P202" s="3"/>
      <c r="Q202" s="261"/>
      <c r="R202" s="261"/>
    </row>
    <row r="203" spans="1:18" x14ac:dyDescent="0.35">
      <c r="A203" s="3"/>
      <c r="B203" s="3"/>
      <c r="C203" s="3"/>
      <c r="D203" s="3"/>
      <c r="E203" s="3"/>
      <c r="F203" s="3"/>
      <c r="G203" s="3"/>
      <c r="H203" s="3"/>
      <c r="I203" s="3"/>
      <c r="J203" s="3"/>
      <c r="K203" s="3"/>
      <c r="L203" s="3"/>
      <c r="M203" s="3"/>
      <c r="N203" s="3"/>
      <c r="O203" s="3"/>
      <c r="P203" s="3"/>
      <c r="Q203" s="261"/>
      <c r="R203" s="261"/>
    </row>
    <row r="204" spans="1:18" x14ac:dyDescent="0.35">
      <c r="A204" s="3"/>
      <c r="B204" s="3"/>
      <c r="C204" s="3"/>
      <c r="D204" s="3"/>
      <c r="E204" s="3"/>
      <c r="F204" s="3"/>
      <c r="G204" s="3"/>
      <c r="H204" s="3"/>
      <c r="I204" s="3"/>
      <c r="J204" s="3"/>
      <c r="K204" s="3"/>
      <c r="L204" s="3"/>
      <c r="M204" s="3"/>
      <c r="N204" s="3"/>
      <c r="O204" s="3"/>
      <c r="P204" s="3"/>
      <c r="Q204" s="261"/>
      <c r="R204" s="261"/>
    </row>
    <row r="205" spans="1:18" x14ac:dyDescent="0.35">
      <c r="A205" s="3"/>
      <c r="B205" s="3"/>
      <c r="C205" s="3"/>
      <c r="D205" s="3"/>
      <c r="E205" s="3"/>
      <c r="F205" s="3"/>
      <c r="G205" s="3"/>
      <c r="H205" s="3"/>
      <c r="I205" s="3"/>
      <c r="J205" s="3"/>
      <c r="K205" s="3"/>
      <c r="L205" s="3"/>
      <c r="M205" s="3"/>
      <c r="N205" s="3"/>
      <c r="O205" s="3"/>
      <c r="P205" s="3"/>
      <c r="Q205" s="261"/>
      <c r="R205" s="261"/>
    </row>
    <row r="206" spans="1:18" x14ac:dyDescent="0.35">
      <c r="A206" s="3"/>
      <c r="B206" s="3"/>
      <c r="C206" s="3"/>
      <c r="D206" s="3"/>
      <c r="E206" s="3"/>
      <c r="F206" s="3"/>
      <c r="G206" s="3"/>
      <c r="H206" s="3"/>
      <c r="I206" s="3"/>
      <c r="J206" s="3"/>
      <c r="K206" s="3"/>
      <c r="L206" s="3"/>
      <c r="M206" s="3"/>
      <c r="N206" s="3"/>
      <c r="O206" s="3"/>
      <c r="P206" s="3"/>
      <c r="Q206" s="261"/>
      <c r="R206" s="261"/>
    </row>
    <row r="207" spans="1:18" x14ac:dyDescent="0.35">
      <c r="A207" s="3"/>
      <c r="B207" s="3"/>
      <c r="C207" s="3"/>
      <c r="D207" s="3"/>
      <c r="E207" s="3"/>
      <c r="F207" s="3"/>
      <c r="G207" s="3"/>
      <c r="H207" s="3"/>
      <c r="I207" s="3"/>
      <c r="J207" s="3"/>
      <c r="K207" s="3"/>
      <c r="L207" s="3"/>
      <c r="M207" s="3"/>
      <c r="N207" s="3"/>
      <c r="O207" s="3"/>
      <c r="P207" s="3"/>
      <c r="Q207" s="261"/>
      <c r="R207" s="261"/>
    </row>
    <row r="208" spans="1:18" x14ac:dyDescent="0.35">
      <c r="A208" s="3"/>
      <c r="B208" s="3"/>
      <c r="C208" s="3"/>
      <c r="D208" s="3"/>
      <c r="E208" s="3"/>
      <c r="F208" s="3"/>
      <c r="G208" s="3"/>
      <c r="H208" s="3"/>
      <c r="I208" s="3"/>
      <c r="J208" s="3"/>
      <c r="K208" s="3"/>
      <c r="L208" s="3"/>
      <c r="M208" s="3"/>
      <c r="N208" s="3"/>
      <c r="O208" s="3"/>
      <c r="P208" s="3"/>
      <c r="Q208" s="261"/>
      <c r="R208" s="261"/>
    </row>
    <row r="209" spans="1:18" x14ac:dyDescent="0.35">
      <c r="A209" s="3"/>
      <c r="B209" s="3"/>
      <c r="C209" s="3"/>
      <c r="D209" s="3"/>
      <c r="E209" s="3"/>
      <c r="F209" s="3"/>
      <c r="G209" s="3"/>
      <c r="H209" s="3"/>
      <c r="I209" s="3"/>
      <c r="J209" s="3"/>
      <c r="K209" s="3"/>
      <c r="L209" s="3"/>
      <c r="M209" s="3"/>
      <c r="N209" s="3"/>
      <c r="O209" s="3"/>
      <c r="P209" s="3"/>
      <c r="Q209" s="261"/>
      <c r="R209" s="261"/>
    </row>
    <row r="210" spans="1:18" x14ac:dyDescent="0.35">
      <c r="A210" s="3"/>
      <c r="B210" s="3"/>
      <c r="C210" s="3"/>
      <c r="D210" s="3"/>
      <c r="E210" s="3"/>
      <c r="F210" s="3"/>
      <c r="G210" s="3"/>
      <c r="H210" s="3"/>
      <c r="I210" s="3"/>
      <c r="J210" s="3"/>
      <c r="K210" s="3"/>
      <c r="L210" s="3"/>
      <c r="M210" s="3"/>
      <c r="N210" s="3"/>
      <c r="O210" s="3"/>
      <c r="P210" s="3"/>
      <c r="Q210" s="261"/>
      <c r="R210" s="261"/>
    </row>
    <row r="211" spans="1:18" x14ac:dyDescent="0.35">
      <c r="A211" s="3"/>
      <c r="B211" s="3"/>
      <c r="C211" s="3"/>
      <c r="D211" s="3"/>
      <c r="E211" s="3"/>
      <c r="F211" s="3"/>
      <c r="G211" s="3"/>
      <c r="H211" s="3"/>
      <c r="I211" s="3"/>
      <c r="J211" s="3"/>
      <c r="K211" s="3"/>
      <c r="L211" s="3"/>
      <c r="M211" s="3"/>
      <c r="N211" s="3"/>
      <c r="O211" s="3"/>
      <c r="P211" s="3"/>
      <c r="Q211" s="261"/>
      <c r="R211" s="261"/>
    </row>
    <row r="212" spans="1:18" x14ac:dyDescent="0.35">
      <c r="A212" s="3"/>
      <c r="B212" s="3"/>
      <c r="C212" s="3"/>
      <c r="D212" s="3"/>
      <c r="E212" s="3"/>
      <c r="F212" s="3"/>
      <c r="G212" s="3"/>
      <c r="H212" s="3"/>
      <c r="I212" s="3"/>
      <c r="J212" s="3"/>
      <c r="K212" s="3"/>
      <c r="L212" s="3"/>
      <c r="M212" s="3"/>
      <c r="N212" s="3"/>
      <c r="O212" s="3"/>
      <c r="P212" s="3"/>
      <c r="Q212" s="261"/>
      <c r="R212" s="261"/>
    </row>
    <row r="213" spans="1:18" x14ac:dyDescent="0.35">
      <c r="A213" s="3"/>
      <c r="B213" s="3"/>
      <c r="C213" s="3"/>
      <c r="D213" s="3"/>
      <c r="E213" s="3"/>
      <c r="F213" s="3"/>
      <c r="G213" s="3"/>
      <c r="H213" s="3"/>
      <c r="I213" s="3"/>
      <c r="J213" s="3"/>
      <c r="K213" s="3"/>
      <c r="L213" s="3"/>
      <c r="M213" s="3"/>
      <c r="N213" s="3"/>
      <c r="O213" s="3"/>
      <c r="P213" s="3"/>
      <c r="Q213" s="261"/>
      <c r="R213" s="261"/>
    </row>
    <row r="214" spans="1:18" x14ac:dyDescent="0.35">
      <c r="A214" s="3"/>
      <c r="B214" s="3"/>
      <c r="C214" s="3"/>
      <c r="D214" s="3"/>
      <c r="E214" s="3"/>
      <c r="F214" s="3"/>
      <c r="G214" s="3"/>
      <c r="H214" s="3"/>
      <c r="I214" s="3"/>
      <c r="J214" s="3"/>
      <c r="K214" s="3"/>
      <c r="L214" s="3"/>
      <c r="M214" s="3"/>
      <c r="N214" s="3"/>
      <c r="O214" s="3"/>
      <c r="P214" s="3"/>
      <c r="Q214" s="261"/>
      <c r="R214" s="261"/>
    </row>
    <row r="215" spans="1:18" x14ac:dyDescent="0.35">
      <c r="A215" s="3"/>
      <c r="B215" s="3"/>
      <c r="C215" s="3"/>
      <c r="D215" s="3"/>
      <c r="E215" s="3"/>
      <c r="F215" s="3"/>
      <c r="G215" s="3"/>
      <c r="H215" s="3"/>
      <c r="I215" s="3"/>
      <c r="J215" s="3"/>
      <c r="K215" s="3"/>
      <c r="L215" s="3"/>
      <c r="M215" s="3"/>
      <c r="N215" s="3"/>
      <c r="O215" s="3"/>
      <c r="P215" s="3"/>
      <c r="Q215" s="261"/>
      <c r="R215" s="261"/>
    </row>
    <row r="216" spans="1:18" x14ac:dyDescent="0.35">
      <c r="A216" s="3"/>
      <c r="B216" s="3"/>
      <c r="C216" s="3"/>
      <c r="D216" s="3"/>
      <c r="E216" s="3"/>
      <c r="F216" s="3"/>
      <c r="G216" s="3"/>
      <c r="H216" s="3"/>
      <c r="I216" s="3"/>
      <c r="J216" s="3"/>
      <c r="K216" s="3"/>
      <c r="L216" s="3"/>
      <c r="M216" s="3"/>
      <c r="N216" s="3"/>
      <c r="O216" s="3"/>
      <c r="P216" s="3"/>
      <c r="Q216" s="261"/>
      <c r="R216" s="261"/>
    </row>
    <row r="217" spans="1:18" x14ac:dyDescent="0.35">
      <c r="A217" s="3"/>
      <c r="B217" s="3"/>
      <c r="C217" s="3"/>
      <c r="D217" s="3"/>
      <c r="E217" s="3"/>
      <c r="F217" s="3"/>
      <c r="G217" s="3"/>
      <c r="H217" s="3"/>
      <c r="I217" s="3"/>
      <c r="J217" s="3"/>
      <c r="K217" s="3"/>
      <c r="L217" s="3"/>
      <c r="M217" s="3"/>
      <c r="N217" s="3"/>
      <c r="O217" s="3"/>
      <c r="P217" s="3"/>
      <c r="Q217" s="261"/>
      <c r="R217" s="261"/>
    </row>
    <row r="218" spans="1:18" x14ac:dyDescent="0.35">
      <c r="A218" s="3"/>
      <c r="B218" s="3"/>
      <c r="C218" s="3"/>
      <c r="D218" s="3"/>
      <c r="E218" s="3"/>
      <c r="F218" s="3"/>
      <c r="G218" s="3"/>
      <c r="H218" s="3"/>
      <c r="I218" s="3"/>
      <c r="J218" s="3"/>
      <c r="K218" s="3"/>
      <c r="L218" s="3"/>
      <c r="M218" s="3"/>
      <c r="N218" s="3"/>
      <c r="O218" s="3"/>
      <c r="P218" s="3"/>
      <c r="Q218" s="261"/>
      <c r="R218" s="261"/>
    </row>
    <row r="219" spans="1:18" x14ac:dyDescent="0.35">
      <c r="A219" s="3"/>
      <c r="B219" s="3"/>
      <c r="C219" s="3"/>
      <c r="D219" s="3"/>
      <c r="E219" s="3"/>
      <c r="F219" s="3"/>
      <c r="G219" s="3"/>
      <c r="H219" s="3"/>
      <c r="I219" s="3"/>
      <c r="J219" s="3"/>
      <c r="K219" s="3"/>
      <c r="L219" s="3"/>
      <c r="M219" s="3"/>
      <c r="N219" s="3"/>
      <c r="O219" s="3"/>
      <c r="P219" s="3"/>
      <c r="Q219" s="261"/>
      <c r="R219" s="261"/>
    </row>
    <row r="220" spans="1:18" x14ac:dyDescent="0.35">
      <c r="A220" s="3"/>
      <c r="B220" s="3"/>
      <c r="C220" s="3"/>
      <c r="D220" s="3"/>
      <c r="E220" s="3"/>
      <c r="F220" s="3"/>
      <c r="G220" s="3"/>
      <c r="H220" s="3"/>
      <c r="I220" s="3"/>
      <c r="J220" s="3"/>
      <c r="K220" s="3"/>
      <c r="L220" s="3"/>
      <c r="M220" s="3"/>
      <c r="N220" s="3"/>
      <c r="O220" s="3"/>
      <c r="P220" s="3"/>
      <c r="Q220" s="261"/>
      <c r="R220" s="261"/>
    </row>
    <row r="221" spans="1:18" x14ac:dyDescent="0.35">
      <c r="A221" s="3"/>
      <c r="B221" s="3"/>
      <c r="C221" s="3"/>
      <c r="D221" s="3"/>
      <c r="E221" s="3"/>
      <c r="F221" s="3"/>
      <c r="G221" s="3"/>
      <c r="H221" s="3"/>
      <c r="I221" s="3"/>
      <c r="J221" s="3"/>
      <c r="K221" s="3"/>
      <c r="L221" s="3"/>
      <c r="M221" s="3"/>
      <c r="N221" s="3"/>
      <c r="O221" s="3"/>
      <c r="P221" s="3"/>
      <c r="Q221" s="261"/>
      <c r="R221" s="261"/>
    </row>
    <row r="222" spans="1:18" x14ac:dyDescent="0.35">
      <c r="A222" s="3"/>
      <c r="B222" s="3"/>
      <c r="C222" s="3"/>
      <c r="D222" s="3"/>
      <c r="E222" s="3"/>
      <c r="F222" s="3"/>
      <c r="G222" s="3"/>
      <c r="H222" s="3"/>
      <c r="I222" s="3"/>
      <c r="J222" s="3"/>
      <c r="K222" s="3"/>
      <c r="L222" s="3"/>
      <c r="M222" s="3"/>
      <c r="N222" s="3"/>
      <c r="O222" s="3"/>
      <c r="P222" s="3"/>
      <c r="Q222" s="261"/>
      <c r="R222" s="261"/>
    </row>
    <row r="223" spans="1:18" x14ac:dyDescent="0.35">
      <c r="A223" s="3"/>
      <c r="B223" s="3"/>
      <c r="C223" s="3"/>
      <c r="D223" s="3"/>
      <c r="E223" s="3"/>
      <c r="F223" s="3"/>
      <c r="G223" s="3"/>
      <c r="H223" s="3"/>
      <c r="I223" s="3"/>
      <c r="J223" s="3"/>
      <c r="K223" s="3"/>
      <c r="L223" s="3"/>
      <c r="M223" s="3"/>
      <c r="N223" s="3"/>
      <c r="O223" s="3"/>
      <c r="P223" s="3"/>
      <c r="Q223" s="261"/>
      <c r="R223" s="261"/>
    </row>
    <row r="224" spans="1:18" x14ac:dyDescent="0.35">
      <c r="A224" s="3"/>
      <c r="B224" s="3"/>
      <c r="C224" s="3"/>
      <c r="D224" s="3"/>
      <c r="E224" s="3"/>
      <c r="F224" s="3"/>
      <c r="G224" s="3"/>
      <c r="H224" s="3"/>
      <c r="I224" s="3"/>
      <c r="J224" s="3"/>
      <c r="K224" s="3"/>
      <c r="L224" s="3"/>
      <c r="M224" s="3"/>
      <c r="N224" s="3"/>
      <c r="O224" s="3"/>
      <c r="P224" s="3"/>
      <c r="Q224" s="261"/>
      <c r="R224" s="261"/>
    </row>
    <row r="225" spans="1:18" x14ac:dyDescent="0.35">
      <c r="A225" s="3"/>
      <c r="B225" s="3"/>
      <c r="C225" s="3"/>
      <c r="D225" s="3"/>
      <c r="E225" s="3"/>
      <c r="F225" s="3"/>
      <c r="G225" s="3"/>
      <c r="H225" s="3"/>
      <c r="I225" s="3"/>
      <c r="J225" s="3"/>
      <c r="K225" s="3"/>
      <c r="L225" s="3"/>
      <c r="M225" s="3"/>
      <c r="N225" s="3"/>
      <c r="O225" s="3"/>
      <c r="P225" s="3"/>
      <c r="Q225" s="261"/>
      <c r="R225" s="261"/>
    </row>
    <row r="226" spans="1:18" x14ac:dyDescent="0.35">
      <c r="A226" s="3"/>
      <c r="B226" s="3"/>
      <c r="C226" s="3"/>
      <c r="D226" s="3"/>
      <c r="E226" s="3"/>
      <c r="F226" s="3"/>
      <c r="G226" s="3"/>
      <c r="H226" s="3"/>
      <c r="I226" s="3"/>
      <c r="J226" s="3"/>
      <c r="K226" s="3"/>
      <c r="L226" s="3"/>
      <c r="M226" s="3"/>
      <c r="N226" s="3"/>
      <c r="O226" s="3"/>
      <c r="P226" s="3"/>
      <c r="Q226" s="261"/>
      <c r="R226" s="261"/>
    </row>
    <row r="227" spans="1:18" x14ac:dyDescent="0.35">
      <c r="A227" s="3"/>
      <c r="B227" s="3"/>
      <c r="C227" s="3"/>
      <c r="D227" s="3"/>
      <c r="E227" s="3"/>
      <c r="F227" s="3"/>
      <c r="G227" s="3"/>
      <c r="H227" s="3"/>
      <c r="I227" s="3"/>
      <c r="J227" s="3"/>
      <c r="K227" s="3"/>
      <c r="L227" s="3"/>
      <c r="M227" s="3"/>
      <c r="N227" s="3"/>
      <c r="O227" s="3"/>
      <c r="P227" s="3"/>
      <c r="Q227" s="261"/>
      <c r="R227" s="261"/>
    </row>
    <row r="228" spans="1:18" x14ac:dyDescent="0.35">
      <c r="A228" s="3"/>
      <c r="B228" s="3"/>
      <c r="C228" s="3"/>
      <c r="D228" s="3"/>
      <c r="E228" s="3"/>
      <c r="F228" s="3"/>
      <c r="G228" s="3"/>
      <c r="H228" s="3"/>
      <c r="I228" s="3"/>
      <c r="J228" s="3"/>
      <c r="K228" s="3"/>
      <c r="L228" s="3"/>
      <c r="M228" s="3"/>
      <c r="N228" s="3"/>
      <c r="O228" s="3"/>
      <c r="P228" s="3"/>
      <c r="Q228" s="261"/>
      <c r="R228" s="261"/>
    </row>
    <row r="229" spans="1:18" x14ac:dyDescent="0.35">
      <c r="A229" s="3"/>
      <c r="B229" s="3"/>
      <c r="C229" s="3"/>
      <c r="D229" s="3"/>
      <c r="E229" s="3"/>
      <c r="F229" s="3"/>
      <c r="G229" s="3"/>
      <c r="H229" s="3"/>
      <c r="I229" s="3"/>
      <c r="J229" s="3"/>
      <c r="K229" s="3"/>
      <c r="L229" s="3"/>
      <c r="M229" s="3"/>
      <c r="N229" s="3"/>
      <c r="O229" s="3"/>
      <c r="P229" s="3"/>
      <c r="Q229" s="261"/>
      <c r="R229" s="261"/>
    </row>
    <row r="230" spans="1:18" x14ac:dyDescent="0.35">
      <c r="A230" s="3"/>
      <c r="B230" s="3"/>
      <c r="C230" s="3"/>
      <c r="D230" s="3"/>
      <c r="E230" s="3"/>
      <c r="F230" s="3"/>
      <c r="G230" s="3"/>
      <c r="H230" s="3"/>
      <c r="I230" s="3"/>
      <c r="J230" s="3"/>
      <c r="K230" s="3"/>
      <c r="L230" s="3"/>
      <c r="M230" s="3"/>
      <c r="N230" s="3"/>
      <c r="O230" s="3"/>
      <c r="P230" s="3"/>
      <c r="Q230" s="261"/>
      <c r="R230" s="261"/>
    </row>
    <row r="231" spans="1:18" x14ac:dyDescent="0.35">
      <c r="A231" s="3"/>
      <c r="B231" s="3"/>
      <c r="C231" s="3"/>
      <c r="D231" s="3"/>
      <c r="E231" s="3"/>
      <c r="F231" s="3"/>
      <c r="G231" s="3"/>
      <c r="H231" s="3"/>
      <c r="I231" s="3"/>
      <c r="J231" s="3"/>
      <c r="K231" s="3"/>
      <c r="L231" s="3"/>
      <c r="M231" s="3"/>
      <c r="N231" s="3"/>
      <c r="O231" s="3"/>
      <c r="P231" s="3"/>
      <c r="Q231" s="261"/>
      <c r="R231" s="261"/>
    </row>
    <row r="232" spans="1:18" x14ac:dyDescent="0.35">
      <c r="A232" s="3"/>
      <c r="B232" s="3"/>
      <c r="C232" s="3"/>
      <c r="D232" s="3"/>
      <c r="E232" s="3"/>
      <c r="F232" s="3"/>
      <c r="G232" s="3"/>
      <c r="H232" s="3"/>
      <c r="I232" s="3"/>
      <c r="J232" s="3"/>
      <c r="K232" s="3"/>
      <c r="L232" s="3"/>
      <c r="M232" s="3"/>
      <c r="N232" s="3"/>
      <c r="O232" s="3"/>
      <c r="P232" s="3"/>
      <c r="Q232" s="261"/>
      <c r="R232" s="261"/>
    </row>
    <row r="233" spans="1:18" x14ac:dyDescent="0.35">
      <c r="A233" s="3"/>
      <c r="B233" s="3"/>
      <c r="C233" s="3"/>
      <c r="D233" s="3"/>
      <c r="E233" s="3"/>
      <c r="F233" s="3"/>
      <c r="G233" s="3"/>
      <c r="H233" s="3"/>
      <c r="I233" s="3"/>
      <c r="J233" s="3"/>
      <c r="K233" s="3"/>
      <c r="L233" s="3"/>
      <c r="M233" s="3"/>
      <c r="N233" s="3"/>
      <c r="O233" s="3"/>
      <c r="P233" s="3"/>
      <c r="Q233" s="261"/>
      <c r="R233" s="261"/>
    </row>
    <row r="234" spans="1:18" x14ac:dyDescent="0.35">
      <c r="A234" s="3"/>
      <c r="B234" s="3"/>
      <c r="C234" s="3"/>
      <c r="D234" s="3"/>
      <c r="E234" s="3"/>
      <c r="F234" s="3"/>
      <c r="G234" s="3"/>
      <c r="H234" s="3"/>
      <c r="I234" s="3"/>
      <c r="J234" s="3"/>
      <c r="K234" s="3"/>
      <c r="L234" s="3"/>
      <c r="M234" s="3"/>
      <c r="N234" s="3"/>
      <c r="O234" s="3"/>
      <c r="P234" s="3"/>
      <c r="Q234" s="261"/>
      <c r="R234" s="261"/>
    </row>
    <row r="235" spans="1:18" x14ac:dyDescent="0.35">
      <c r="A235" s="3"/>
      <c r="B235" s="3"/>
      <c r="C235" s="3"/>
      <c r="D235" s="3"/>
      <c r="E235" s="3"/>
      <c r="F235" s="3"/>
      <c r="G235" s="3"/>
      <c r="H235" s="3"/>
      <c r="I235" s="3"/>
      <c r="J235" s="3"/>
      <c r="K235" s="3"/>
      <c r="L235" s="3"/>
      <c r="M235" s="3"/>
      <c r="N235" s="3"/>
      <c r="O235" s="3"/>
      <c r="P235" s="3"/>
      <c r="Q235" s="261"/>
      <c r="R235" s="261"/>
    </row>
    <row r="236" spans="1:18" x14ac:dyDescent="0.35">
      <c r="A236" s="3"/>
      <c r="B236" s="3"/>
      <c r="C236" s="3"/>
      <c r="D236" s="3"/>
      <c r="E236" s="3"/>
      <c r="F236" s="3"/>
      <c r="G236" s="3"/>
      <c r="H236" s="3"/>
      <c r="I236" s="3"/>
      <c r="J236" s="3"/>
      <c r="K236" s="3"/>
      <c r="L236" s="3"/>
      <c r="M236" s="3"/>
      <c r="N236" s="3"/>
      <c r="O236" s="3"/>
      <c r="P236" s="3"/>
      <c r="Q236" s="261"/>
      <c r="R236" s="261"/>
    </row>
    <row r="237" spans="1:18" x14ac:dyDescent="0.35">
      <c r="A237" s="3"/>
      <c r="B237" s="3"/>
      <c r="C237" s="3"/>
      <c r="D237" s="3"/>
      <c r="E237" s="3"/>
      <c r="F237" s="3"/>
      <c r="G237" s="3"/>
      <c r="H237" s="3"/>
      <c r="I237" s="3"/>
      <c r="J237" s="3"/>
      <c r="K237" s="3"/>
      <c r="L237" s="3"/>
      <c r="M237" s="3"/>
      <c r="N237" s="3"/>
      <c r="O237" s="3"/>
      <c r="P237" s="3"/>
      <c r="Q237" s="261"/>
      <c r="R237" s="261"/>
    </row>
    <row r="238" spans="1:18" x14ac:dyDescent="0.35">
      <c r="A238" s="3"/>
      <c r="B238" s="3"/>
      <c r="C238" s="3"/>
      <c r="D238" s="3"/>
      <c r="E238" s="3"/>
      <c r="F238" s="3"/>
      <c r="G238" s="3"/>
      <c r="H238" s="3"/>
      <c r="I238" s="3"/>
      <c r="J238" s="3"/>
      <c r="K238" s="3"/>
      <c r="L238" s="3"/>
      <c r="M238" s="3"/>
      <c r="N238" s="3"/>
      <c r="O238" s="3"/>
      <c r="P238" s="3"/>
      <c r="Q238" s="261"/>
      <c r="R238" s="261"/>
    </row>
    <row r="239" spans="1:18" x14ac:dyDescent="0.35">
      <c r="A239" s="3"/>
      <c r="B239" s="3"/>
      <c r="C239" s="3"/>
      <c r="D239" s="3"/>
      <c r="E239" s="3"/>
      <c r="F239" s="3"/>
      <c r="G239" s="3"/>
      <c r="H239" s="3"/>
      <c r="I239" s="3"/>
      <c r="J239" s="3"/>
      <c r="K239" s="3"/>
      <c r="L239" s="3"/>
      <c r="M239" s="3"/>
      <c r="N239" s="3"/>
      <c r="O239" s="3"/>
      <c r="P239" s="3"/>
      <c r="Q239" s="261"/>
      <c r="R239" s="261"/>
    </row>
    <row r="240" spans="1:18" x14ac:dyDescent="0.35">
      <c r="A240" s="3"/>
      <c r="B240" s="3"/>
      <c r="C240" s="3"/>
      <c r="D240" s="3"/>
      <c r="E240" s="3"/>
      <c r="F240" s="3"/>
      <c r="G240" s="3"/>
      <c r="H240" s="3"/>
      <c r="I240" s="3"/>
      <c r="J240" s="3"/>
      <c r="K240" s="3"/>
      <c r="L240" s="3"/>
      <c r="M240" s="3"/>
      <c r="N240" s="3"/>
      <c r="O240" s="3"/>
      <c r="P240" s="3"/>
      <c r="Q240" s="261"/>
      <c r="R240" s="261"/>
    </row>
    <row r="241" spans="1:18" x14ac:dyDescent="0.35">
      <c r="A241" s="3"/>
      <c r="B241" s="3"/>
      <c r="C241" s="3"/>
      <c r="D241" s="3"/>
      <c r="E241" s="3"/>
      <c r="F241" s="3"/>
      <c r="G241" s="3"/>
      <c r="H241" s="3"/>
      <c r="I241" s="3"/>
      <c r="J241" s="3"/>
      <c r="K241" s="3"/>
      <c r="L241" s="3"/>
      <c r="M241" s="3"/>
      <c r="N241" s="3"/>
      <c r="O241" s="3"/>
      <c r="P241" s="3"/>
      <c r="Q241" s="261"/>
      <c r="R241" s="261"/>
    </row>
    <row r="242" spans="1:18" x14ac:dyDescent="0.35">
      <c r="A242" s="3"/>
      <c r="B242" s="3"/>
      <c r="C242" s="3"/>
      <c r="D242" s="3"/>
      <c r="E242" s="3"/>
      <c r="F242" s="3"/>
      <c r="G242" s="3"/>
      <c r="H242" s="3"/>
      <c r="I242" s="3"/>
      <c r="J242" s="3"/>
      <c r="K242" s="3"/>
      <c r="L242" s="3"/>
      <c r="M242" s="3"/>
      <c r="N242" s="3"/>
      <c r="O242" s="3"/>
      <c r="P242" s="3"/>
      <c r="Q242" s="261"/>
      <c r="R242" s="261"/>
    </row>
    <row r="243" spans="1:18" x14ac:dyDescent="0.35">
      <c r="A243" s="3"/>
      <c r="B243" s="3"/>
      <c r="C243" s="3"/>
      <c r="D243" s="3"/>
      <c r="E243" s="3"/>
      <c r="F243" s="3"/>
      <c r="G243" s="3"/>
      <c r="H243" s="3"/>
      <c r="I243" s="3"/>
      <c r="J243" s="3"/>
      <c r="K243" s="3"/>
      <c r="L243" s="3"/>
      <c r="M243" s="3"/>
      <c r="N243" s="3"/>
      <c r="O243" s="3"/>
      <c r="P243" s="3"/>
      <c r="Q243" s="261"/>
      <c r="R243" s="261"/>
    </row>
    <row r="244" spans="1:18" x14ac:dyDescent="0.35">
      <c r="A244" s="3"/>
      <c r="B244" s="3"/>
      <c r="C244" s="3"/>
      <c r="D244" s="3"/>
      <c r="E244" s="3"/>
      <c r="F244" s="3"/>
      <c r="G244" s="3"/>
      <c r="H244" s="3"/>
      <c r="I244" s="3"/>
      <c r="J244" s="3"/>
      <c r="K244" s="3"/>
      <c r="L244" s="3"/>
      <c r="M244" s="3"/>
      <c r="N244" s="3"/>
      <c r="O244" s="3"/>
      <c r="P244" s="3"/>
      <c r="Q244" s="261"/>
      <c r="R244" s="261"/>
    </row>
    <row r="245" spans="1:18" x14ac:dyDescent="0.35">
      <c r="A245" s="3"/>
      <c r="B245" s="3"/>
      <c r="C245" s="3"/>
      <c r="D245" s="3"/>
      <c r="E245" s="3"/>
      <c r="F245" s="3"/>
      <c r="G245" s="3"/>
      <c r="H245" s="3"/>
      <c r="I245" s="3"/>
      <c r="J245" s="3"/>
      <c r="K245" s="3"/>
      <c r="L245" s="3"/>
      <c r="M245" s="3"/>
      <c r="N245" s="3"/>
      <c r="O245" s="3"/>
      <c r="P245" s="3"/>
      <c r="Q245" s="261"/>
      <c r="R245" s="261"/>
    </row>
    <row r="246" spans="1:18" x14ac:dyDescent="0.35">
      <c r="A246" s="3"/>
      <c r="B246" s="3"/>
      <c r="C246" s="3"/>
      <c r="D246" s="3"/>
      <c r="E246" s="3"/>
      <c r="F246" s="3"/>
      <c r="G246" s="3"/>
      <c r="H246" s="3"/>
      <c r="I246" s="3"/>
      <c r="J246" s="3"/>
      <c r="K246" s="3"/>
      <c r="L246" s="3"/>
      <c r="M246" s="3"/>
      <c r="N246" s="3"/>
      <c r="O246" s="3"/>
      <c r="P246" s="3"/>
      <c r="Q246" s="261"/>
      <c r="R246" s="261"/>
    </row>
    <row r="247" spans="1:18" x14ac:dyDescent="0.35">
      <c r="A247" s="3"/>
      <c r="B247" s="3"/>
      <c r="C247" s="3"/>
      <c r="D247" s="3"/>
      <c r="E247" s="3"/>
      <c r="F247" s="3"/>
      <c r="G247" s="3"/>
      <c r="H247" s="3"/>
      <c r="I247" s="3"/>
      <c r="J247" s="3"/>
      <c r="K247" s="3"/>
      <c r="L247" s="3"/>
      <c r="M247" s="3"/>
      <c r="N247" s="3"/>
      <c r="O247" s="3"/>
      <c r="P247" s="3"/>
      <c r="Q247" s="261"/>
      <c r="R247" s="261"/>
    </row>
    <row r="248" spans="1:18" x14ac:dyDescent="0.35">
      <c r="A248" s="3"/>
      <c r="B248" s="3"/>
      <c r="C248" s="3"/>
      <c r="D248" s="3"/>
      <c r="E248" s="3"/>
      <c r="F248" s="3"/>
      <c r="G248" s="3"/>
      <c r="H248" s="3"/>
      <c r="I248" s="3"/>
      <c r="J248" s="3"/>
      <c r="K248" s="3"/>
      <c r="L248" s="3"/>
      <c r="M248" s="3"/>
      <c r="N248" s="3"/>
      <c r="O248" s="3"/>
      <c r="P248" s="3"/>
      <c r="Q248" s="261"/>
      <c r="R248" s="261"/>
    </row>
    <row r="249" spans="1:18" x14ac:dyDescent="0.35">
      <c r="A249" s="3"/>
      <c r="B249" s="3"/>
      <c r="C249" s="3"/>
      <c r="D249" s="3"/>
      <c r="E249" s="3"/>
      <c r="F249" s="3"/>
      <c r="G249" s="3"/>
      <c r="H249" s="3"/>
      <c r="I249" s="3"/>
      <c r="J249" s="3"/>
      <c r="K249" s="3"/>
      <c r="L249" s="3"/>
      <c r="M249" s="3"/>
      <c r="N249" s="3"/>
      <c r="O249" s="3"/>
      <c r="P249" s="3"/>
      <c r="Q249" s="261"/>
      <c r="R249" s="261"/>
    </row>
    <row r="250" spans="1:18" x14ac:dyDescent="0.35">
      <c r="A250" s="3"/>
      <c r="B250" s="3"/>
      <c r="C250" s="3"/>
      <c r="D250" s="3"/>
      <c r="E250" s="3"/>
      <c r="F250" s="3"/>
      <c r="G250" s="3"/>
      <c r="H250" s="3"/>
      <c r="I250" s="3"/>
      <c r="J250" s="3"/>
      <c r="K250" s="3"/>
      <c r="L250" s="3"/>
      <c r="M250" s="3"/>
      <c r="N250" s="3"/>
      <c r="O250" s="3"/>
      <c r="P250" s="3"/>
      <c r="Q250" s="261"/>
      <c r="R250" s="261"/>
    </row>
    <row r="251" spans="1:18" x14ac:dyDescent="0.35">
      <c r="A251" s="3"/>
      <c r="B251" s="3"/>
      <c r="C251" s="3"/>
      <c r="D251" s="3"/>
      <c r="E251" s="3"/>
      <c r="F251" s="3"/>
      <c r="G251" s="3"/>
      <c r="H251" s="3"/>
      <c r="I251" s="3"/>
      <c r="J251" s="3"/>
      <c r="K251" s="3"/>
      <c r="L251" s="3"/>
      <c r="M251" s="3"/>
      <c r="N251" s="3"/>
      <c r="O251" s="3"/>
      <c r="P251" s="3"/>
      <c r="Q251" s="261"/>
      <c r="R251" s="261"/>
    </row>
    <row r="252" spans="1:18" x14ac:dyDescent="0.35">
      <c r="A252" s="3"/>
      <c r="B252" s="3"/>
      <c r="C252" s="3"/>
      <c r="D252" s="3"/>
      <c r="E252" s="3"/>
      <c r="F252" s="3"/>
      <c r="G252" s="3"/>
      <c r="H252" s="3"/>
      <c r="I252" s="3"/>
      <c r="J252" s="3"/>
      <c r="K252" s="3"/>
      <c r="L252" s="3"/>
      <c r="M252" s="3"/>
      <c r="N252" s="3"/>
      <c r="O252" s="3"/>
      <c r="P252" s="3"/>
      <c r="Q252" s="261"/>
      <c r="R252" s="261"/>
    </row>
    <row r="253" spans="1:18" x14ac:dyDescent="0.35">
      <c r="A253" s="3"/>
      <c r="B253" s="3"/>
      <c r="C253" s="3"/>
      <c r="D253" s="3"/>
      <c r="E253" s="3"/>
      <c r="F253" s="3"/>
      <c r="G253" s="3"/>
      <c r="H253" s="3"/>
      <c r="I253" s="3"/>
      <c r="J253" s="3"/>
      <c r="K253" s="3"/>
      <c r="L253" s="3"/>
      <c r="M253" s="3"/>
      <c r="N253" s="3"/>
      <c r="O253" s="3"/>
      <c r="P253" s="3"/>
      <c r="Q253" s="261"/>
      <c r="R253" s="261"/>
    </row>
    <row r="254" spans="1:18" x14ac:dyDescent="0.35">
      <c r="A254" s="3"/>
      <c r="B254" s="3"/>
      <c r="C254" s="3"/>
      <c r="D254" s="3"/>
      <c r="E254" s="3"/>
      <c r="F254" s="3"/>
      <c r="G254" s="3"/>
      <c r="H254" s="3"/>
      <c r="I254" s="3"/>
      <c r="J254" s="3"/>
      <c r="K254" s="3"/>
      <c r="L254" s="3"/>
      <c r="M254" s="3"/>
      <c r="N254" s="3"/>
      <c r="O254" s="3"/>
      <c r="P254" s="3"/>
      <c r="Q254" s="261"/>
      <c r="R254" s="261"/>
    </row>
    <row r="255" spans="1:18" x14ac:dyDescent="0.35">
      <c r="A255" s="3"/>
      <c r="B255" s="3"/>
      <c r="C255" s="3"/>
      <c r="D255" s="3"/>
      <c r="E255" s="3"/>
      <c r="F255" s="3"/>
      <c r="G255" s="3"/>
      <c r="H255" s="3"/>
      <c r="I255" s="3"/>
      <c r="J255" s="3"/>
      <c r="K255" s="3"/>
      <c r="L255" s="3"/>
      <c r="M255" s="3"/>
      <c r="N255" s="3"/>
      <c r="O255" s="3"/>
      <c r="P255" s="3"/>
      <c r="Q255" s="261"/>
      <c r="R255" s="261"/>
    </row>
    <row r="256" spans="1:18" x14ac:dyDescent="0.35">
      <c r="A256" s="3"/>
      <c r="B256" s="3"/>
      <c r="C256" s="3"/>
      <c r="D256" s="3"/>
      <c r="E256" s="3"/>
      <c r="F256" s="3"/>
      <c r="G256" s="3"/>
      <c r="H256" s="3"/>
      <c r="I256" s="3"/>
      <c r="J256" s="3"/>
      <c r="K256" s="3"/>
      <c r="L256" s="3"/>
      <c r="M256" s="3"/>
      <c r="N256" s="3"/>
      <c r="O256" s="3"/>
      <c r="P256" s="3"/>
      <c r="Q256" s="261"/>
      <c r="R256" s="261"/>
    </row>
    <row r="257" spans="1:18" x14ac:dyDescent="0.35">
      <c r="A257" s="3"/>
      <c r="B257" s="3"/>
      <c r="C257" s="3"/>
      <c r="D257" s="3"/>
      <c r="E257" s="3"/>
      <c r="F257" s="3"/>
      <c r="G257" s="3"/>
      <c r="H257" s="3"/>
      <c r="I257" s="3"/>
      <c r="J257" s="3"/>
      <c r="K257" s="3"/>
      <c r="L257" s="3"/>
      <c r="M257" s="3"/>
      <c r="N257" s="3"/>
      <c r="O257" s="3"/>
      <c r="P257" s="3"/>
      <c r="Q257" s="261"/>
      <c r="R257" s="261"/>
    </row>
    <row r="258" spans="1:18" x14ac:dyDescent="0.35">
      <c r="A258" s="3"/>
      <c r="B258" s="3"/>
      <c r="C258" s="3"/>
      <c r="D258" s="3"/>
      <c r="E258" s="3"/>
      <c r="F258" s="3"/>
      <c r="G258" s="3"/>
      <c r="H258" s="3"/>
      <c r="I258" s="3"/>
      <c r="J258" s="3"/>
      <c r="K258" s="3"/>
      <c r="L258" s="3"/>
      <c r="M258" s="3"/>
      <c r="N258" s="3"/>
      <c r="O258" s="3"/>
      <c r="P258" s="3"/>
      <c r="Q258" s="261"/>
      <c r="R258" s="261"/>
    </row>
    <row r="259" spans="1:18" x14ac:dyDescent="0.35">
      <c r="A259" s="3"/>
      <c r="B259" s="3"/>
      <c r="C259" s="3"/>
      <c r="D259" s="3"/>
      <c r="E259" s="3"/>
      <c r="F259" s="3"/>
      <c r="G259" s="3"/>
      <c r="H259" s="3"/>
      <c r="I259" s="3"/>
      <c r="J259" s="3"/>
      <c r="K259" s="3"/>
      <c r="L259" s="3"/>
      <c r="M259" s="3"/>
      <c r="N259" s="3"/>
      <c r="O259" s="3"/>
      <c r="P259" s="3"/>
      <c r="Q259" s="261"/>
      <c r="R259" s="261"/>
    </row>
    <row r="260" spans="1:18" x14ac:dyDescent="0.35">
      <c r="A260" s="3"/>
      <c r="B260" s="3"/>
      <c r="C260" s="3"/>
      <c r="D260" s="3"/>
      <c r="E260" s="3"/>
      <c r="F260" s="3"/>
      <c r="G260" s="3"/>
      <c r="H260" s="3"/>
      <c r="I260" s="3"/>
      <c r="J260" s="3"/>
      <c r="K260" s="3"/>
      <c r="L260" s="3"/>
      <c r="M260" s="3"/>
      <c r="N260" s="3"/>
      <c r="O260" s="3"/>
      <c r="P260" s="3"/>
      <c r="Q260" s="261"/>
      <c r="R260" s="261"/>
    </row>
    <row r="261" spans="1:18" x14ac:dyDescent="0.35">
      <c r="A261" s="3"/>
      <c r="B261" s="3"/>
      <c r="C261" s="3"/>
      <c r="D261" s="3"/>
      <c r="E261" s="3"/>
      <c r="F261" s="3"/>
      <c r="G261" s="3"/>
      <c r="H261" s="3"/>
      <c r="I261" s="3"/>
      <c r="J261" s="3"/>
      <c r="K261" s="3"/>
      <c r="L261" s="3"/>
      <c r="M261" s="3"/>
      <c r="N261" s="3"/>
      <c r="O261" s="3"/>
      <c r="P261" s="3"/>
      <c r="Q261" s="261"/>
      <c r="R261" s="261"/>
    </row>
    <row r="262" spans="1:18" x14ac:dyDescent="0.35">
      <c r="A262" s="3"/>
      <c r="B262" s="3"/>
      <c r="C262" s="3"/>
      <c r="D262" s="3"/>
      <c r="E262" s="3"/>
      <c r="F262" s="3"/>
      <c r="G262" s="3"/>
      <c r="H262" s="3"/>
      <c r="I262" s="3"/>
      <c r="J262" s="3"/>
      <c r="K262" s="3"/>
      <c r="L262" s="3"/>
      <c r="M262" s="3"/>
      <c r="N262" s="3"/>
      <c r="O262" s="3"/>
      <c r="P262" s="3"/>
      <c r="Q262" s="261"/>
      <c r="R262" s="261"/>
    </row>
    <row r="263" spans="1:18" x14ac:dyDescent="0.35">
      <c r="A263" s="3"/>
      <c r="B263" s="3"/>
      <c r="C263" s="3"/>
      <c r="D263" s="3"/>
      <c r="E263" s="3"/>
      <c r="F263" s="3"/>
      <c r="G263" s="3"/>
      <c r="H263" s="3"/>
      <c r="I263" s="3"/>
      <c r="J263" s="3"/>
      <c r="K263" s="3"/>
      <c r="L263" s="3"/>
      <c r="M263" s="3"/>
      <c r="N263" s="3"/>
      <c r="O263" s="3"/>
      <c r="P263" s="3"/>
      <c r="Q263" s="261"/>
      <c r="R263" s="261"/>
    </row>
    <row r="264" spans="1:18" x14ac:dyDescent="0.35">
      <c r="A264" s="3"/>
      <c r="B264" s="3"/>
      <c r="C264" s="3"/>
      <c r="D264" s="3"/>
      <c r="E264" s="3"/>
      <c r="F264" s="3"/>
      <c r="G264" s="3"/>
      <c r="H264" s="3"/>
      <c r="I264" s="3"/>
      <c r="J264" s="3"/>
      <c r="K264" s="3"/>
      <c r="L264" s="3"/>
      <c r="M264" s="3"/>
      <c r="N264" s="3"/>
      <c r="O264" s="3"/>
      <c r="P264" s="3"/>
      <c r="Q264" s="261"/>
      <c r="R264" s="261"/>
    </row>
    <row r="265" spans="1:18" x14ac:dyDescent="0.35">
      <c r="A265" s="3"/>
      <c r="B265" s="3"/>
      <c r="C265" s="3"/>
      <c r="D265" s="3"/>
      <c r="E265" s="3"/>
      <c r="F265" s="3"/>
      <c r="G265" s="3"/>
      <c r="H265" s="3"/>
      <c r="I265" s="3"/>
      <c r="J265" s="3"/>
      <c r="K265" s="3"/>
      <c r="L265" s="3"/>
      <c r="M265" s="3"/>
      <c r="N265" s="3"/>
      <c r="O265" s="3"/>
      <c r="P265" s="3"/>
      <c r="Q265" s="261"/>
      <c r="R265" s="261"/>
    </row>
    <row r="266" spans="1:18" x14ac:dyDescent="0.35">
      <c r="A266" s="3"/>
      <c r="B266" s="3"/>
      <c r="C266" s="3"/>
      <c r="D266" s="3"/>
      <c r="E266" s="3"/>
      <c r="F266" s="3"/>
      <c r="G266" s="3"/>
      <c r="H266" s="3"/>
      <c r="I266" s="3"/>
      <c r="J266" s="3"/>
      <c r="K266" s="3"/>
      <c r="L266" s="3"/>
      <c r="M266" s="3"/>
      <c r="N266" s="3"/>
      <c r="O266" s="3"/>
      <c r="P266" s="3"/>
      <c r="Q266" s="261"/>
      <c r="R266" s="261"/>
    </row>
    <row r="267" spans="1:18" x14ac:dyDescent="0.35">
      <c r="A267" s="3"/>
      <c r="B267" s="3"/>
      <c r="C267" s="3"/>
      <c r="D267" s="3"/>
      <c r="E267" s="3"/>
      <c r="F267" s="3"/>
      <c r="G267" s="3"/>
      <c r="H267" s="3"/>
      <c r="I267" s="3"/>
      <c r="J267" s="3"/>
      <c r="K267" s="3"/>
      <c r="L267" s="3"/>
      <c r="M267" s="3"/>
      <c r="N267" s="3"/>
      <c r="O267" s="3"/>
      <c r="P267" s="3"/>
      <c r="Q267" s="261"/>
      <c r="R267" s="261"/>
    </row>
    <row r="268" spans="1:18" x14ac:dyDescent="0.35">
      <c r="A268" s="3"/>
      <c r="B268" s="3"/>
      <c r="C268" s="3"/>
      <c r="D268" s="3"/>
      <c r="E268" s="3"/>
      <c r="F268" s="3"/>
      <c r="G268" s="3"/>
      <c r="H268" s="3"/>
      <c r="I268" s="3"/>
      <c r="J268" s="3"/>
      <c r="K268" s="3"/>
      <c r="L268" s="3"/>
      <c r="M268" s="3"/>
      <c r="N268" s="3"/>
      <c r="O268" s="3"/>
      <c r="P268" s="3"/>
      <c r="Q268" s="261"/>
      <c r="R268" s="261"/>
    </row>
    <row r="269" spans="1:18" x14ac:dyDescent="0.35">
      <c r="A269" s="3"/>
      <c r="B269" s="3"/>
      <c r="C269" s="3"/>
      <c r="D269" s="3"/>
      <c r="E269" s="3"/>
      <c r="F269" s="3"/>
      <c r="G269" s="3"/>
      <c r="H269" s="3"/>
      <c r="I269" s="3"/>
      <c r="J269" s="3"/>
      <c r="K269" s="3"/>
      <c r="L269" s="3"/>
      <c r="M269" s="3"/>
      <c r="N269" s="3"/>
      <c r="O269" s="3"/>
      <c r="P269" s="3"/>
      <c r="Q269" s="261"/>
      <c r="R269" s="261"/>
    </row>
    <row r="270" spans="1:18" x14ac:dyDescent="0.35">
      <c r="A270" s="3"/>
      <c r="B270" s="3"/>
      <c r="C270" s="3"/>
      <c r="D270" s="3"/>
      <c r="E270" s="3"/>
      <c r="F270" s="3"/>
      <c r="G270" s="3"/>
      <c r="H270" s="3"/>
      <c r="I270" s="3"/>
      <c r="J270" s="3"/>
      <c r="K270" s="3"/>
      <c r="L270" s="3"/>
      <c r="M270" s="3"/>
      <c r="N270" s="3"/>
      <c r="O270" s="3"/>
      <c r="P270" s="3"/>
      <c r="Q270" s="261"/>
      <c r="R270" s="261"/>
    </row>
    <row r="271" spans="1:18" x14ac:dyDescent="0.35">
      <c r="A271" s="3"/>
      <c r="B271" s="3"/>
      <c r="C271" s="3"/>
      <c r="D271" s="3"/>
      <c r="E271" s="3"/>
      <c r="F271" s="3"/>
      <c r="G271" s="3"/>
      <c r="H271" s="3"/>
      <c r="I271" s="3"/>
      <c r="J271" s="3"/>
      <c r="K271" s="3"/>
      <c r="L271" s="3"/>
      <c r="M271" s="3"/>
      <c r="N271" s="3"/>
      <c r="O271" s="3"/>
      <c r="P271" s="3"/>
      <c r="Q271" s="261"/>
      <c r="R271" s="261"/>
    </row>
    <row r="272" spans="1:18" x14ac:dyDescent="0.35">
      <c r="A272" s="3"/>
      <c r="B272" s="3"/>
      <c r="C272" s="3"/>
      <c r="D272" s="3"/>
      <c r="E272" s="3"/>
      <c r="F272" s="3"/>
      <c r="G272" s="3"/>
      <c r="H272" s="3"/>
      <c r="I272" s="3"/>
      <c r="J272" s="3"/>
      <c r="K272" s="3"/>
      <c r="L272" s="3"/>
      <c r="M272" s="3"/>
      <c r="N272" s="3"/>
      <c r="O272" s="3"/>
      <c r="P272" s="3"/>
      <c r="Q272" s="261"/>
      <c r="R272" s="261"/>
    </row>
    <row r="273" spans="1:18" x14ac:dyDescent="0.35">
      <c r="A273" s="3"/>
      <c r="B273" s="3"/>
      <c r="C273" s="3"/>
      <c r="D273" s="3"/>
      <c r="E273" s="3"/>
      <c r="F273" s="3"/>
      <c r="G273" s="3"/>
      <c r="H273" s="3"/>
      <c r="I273" s="3"/>
      <c r="J273" s="3"/>
      <c r="K273" s="3"/>
      <c r="L273" s="3"/>
      <c r="M273" s="3"/>
      <c r="N273" s="3"/>
      <c r="O273" s="3"/>
      <c r="P273" s="3"/>
      <c r="Q273" s="261"/>
      <c r="R273" s="261"/>
    </row>
    <row r="274" spans="1:18" x14ac:dyDescent="0.35">
      <c r="A274" s="3"/>
      <c r="B274" s="3"/>
      <c r="C274" s="3"/>
      <c r="D274" s="3"/>
      <c r="E274" s="3"/>
      <c r="F274" s="3"/>
      <c r="G274" s="3"/>
      <c r="H274" s="3"/>
      <c r="I274" s="3"/>
      <c r="J274" s="3"/>
      <c r="K274" s="3"/>
      <c r="L274" s="3"/>
      <c r="M274" s="3"/>
      <c r="N274" s="3"/>
      <c r="O274" s="3"/>
      <c r="P274" s="3"/>
      <c r="Q274" s="261"/>
      <c r="R274" s="261"/>
    </row>
    <row r="275" spans="1:18" x14ac:dyDescent="0.35">
      <c r="A275" s="3"/>
      <c r="B275" s="3"/>
      <c r="C275" s="3"/>
      <c r="D275" s="3"/>
      <c r="E275" s="3"/>
      <c r="F275" s="3"/>
      <c r="G275" s="3"/>
      <c r="H275" s="3"/>
      <c r="I275" s="3"/>
      <c r="J275" s="3"/>
      <c r="K275" s="3"/>
      <c r="L275" s="3"/>
      <c r="M275" s="3"/>
      <c r="N275" s="3"/>
      <c r="O275" s="3"/>
      <c r="P275" s="3"/>
      <c r="Q275" s="261"/>
      <c r="R275" s="261"/>
    </row>
    <row r="276" spans="1:18" x14ac:dyDescent="0.35">
      <c r="A276" s="3"/>
      <c r="B276" s="3"/>
      <c r="C276" s="3"/>
      <c r="D276" s="3"/>
      <c r="E276" s="3"/>
      <c r="F276" s="3"/>
      <c r="G276" s="3"/>
      <c r="H276" s="3"/>
      <c r="I276" s="3"/>
      <c r="J276" s="3"/>
      <c r="K276" s="3"/>
      <c r="L276" s="3"/>
      <c r="M276" s="3"/>
      <c r="N276" s="3"/>
      <c r="O276" s="3"/>
      <c r="P276" s="3"/>
      <c r="Q276" s="261"/>
      <c r="R276" s="261"/>
    </row>
    <row r="277" spans="1:18" x14ac:dyDescent="0.35">
      <c r="A277" s="3"/>
      <c r="B277" s="3"/>
      <c r="C277" s="3"/>
      <c r="D277" s="3"/>
      <c r="E277" s="3"/>
      <c r="F277" s="3"/>
      <c r="G277" s="3"/>
      <c r="H277" s="3"/>
      <c r="I277" s="3"/>
      <c r="J277" s="3"/>
      <c r="K277" s="3"/>
      <c r="L277" s="3"/>
      <c r="M277" s="3"/>
      <c r="N277" s="3"/>
      <c r="O277" s="3"/>
      <c r="P277" s="3"/>
      <c r="Q277" s="261"/>
      <c r="R277" s="261"/>
    </row>
    <row r="278" spans="1:18" x14ac:dyDescent="0.35">
      <c r="A278" s="3"/>
      <c r="B278" s="3"/>
      <c r="C278" s="3"/>
      <c r="D278" s="3"/>
      <c r="E278" s="3"/>
      <c r="F278" s="3"/>
      <c r="G278" s="3"/>
      <c r="H278" s="3"/>
      <c r="I278" s="3"/>
      <c r="J278" s="3"/>
      <c r="K278" s="3"/>
      <c r="L278" s="3"/>
      <c r="M278" s="3"/>
      <c r="N278" s="3"/>
      <c r="O278" s="3"/>
      <c r="P278" s="3"/>
      <c r="Q278" s="261"/>
      <c r="R278" s="261"/>
    </row>
    <row r="279" spans="1:18" x14ac:dyDescent="0.35">
      <c r="A279" s="3"/>
      <c r="B279" s="3"/>
      <c r="C279" s="3"/>
      <c r="D279" s="3"/>
      <c r="E279" s="3"/>
      <c r="F279" s="3"/>
      <c r="G279" s="3"/>
      <c r="H279" s="3"/>
      <c r="I279" s="3"/>
      <c r="J279" s="3"/>
      <c r="K279" s="3"/>
      <c r="L279" s="3"/>
      <c r="M279" s="3"/>
      <c r="N279" s="3"/>
      <c r="O279" s="3"/>
      <c r="P279" s="3"/>
      <c r="Q279" s="261"/>
      <c r="R279" s="261"/>
    </row>
    <row r="280" spans="1:18" x14ac:dyDescent="0.35">
      <c r="A280" s="3"/>
      <c r="B280" s="3"/>
      <c r="C280" s="3"/>
      <c r="D280" s="3"/>
      <c r="E280" s="3"/>
      <c r="F280" s="3"/>
      <c r="G280" s="3"/>
      <c r="H280" s="3"/>
      <c r="I280" s="3"/>
      <c r="J280" s="3"/>
      <c r="K280" s="3"/>
      <c r="L280" s="3"/>
      <c r="M280" s="3"/>
      <c r="N280" s="3"/>
      <c r="O280" s="3"/>
      <c r="P280" s="3"/>
      <c r="Q280" s="261"/>
      <c r="R280" s="261"/>
    </row>
    <row r="281" spans="1:18" x14ac:dyDescent="0.35">
      <c r="A281" s="3"/>
      <c r="B281" s="3"/>
      <c r="C281" s="3"/>
      <c r="D281" s="3"/>
      <c r="E281" s="3"/>
      <c r="F281" s="3"/>
      <c r="G281" s="3"/>
      <c r="H281" s="3"/>
      <c r="I281" s="3"/>
      <c r="J281" s="3"/>
      <c r="K281" s="3"/>
      <c r="L281" s="3"/>
      <c r="M281" s="3"/>
      <c r="N281" s="3"/>
      <c r="O281" s="3"/>
      <c r="P281" s="3"/>
      <c r="Q281" s="261"/>
      <c r="R281" s="261"/>
    </row>
    <row r="282" spans="1:18" x14ac:dyDescent="0.35">
      <c r="A282" s="3"/>
      <c r="B282" s="3"/>
      <c r="C282" s="3"/>
      <c r="D282" s="3"/>
      <c r="E282" s="3"/>
      <c r="F282" s="3"/>
      <c r="G282" s="3"/>
      <c r="H282" s="3"/>
      <c r="I282" s="3"/>
      <c r="J282" s="3"/>
      <c r="K282" s="3"/>
      <c r="L282" s="3"/>
      <c r="M282" s="3"/>
      <c r="N282" s="3"/>
      <c r="O282" s="3"/>
      <c r="P282" s="3"/>
      <c r="Q282" s="261"/>
      <c r="R282" s="261"/>
    </row>
    <row r="283" spans="1:18" x14ac:dyDescent="0.35">
      <c r="A283" s="3"/>
      <c r="B283" s="3"/>
      <c r="C283" s="3"/>
      <c r="D283" s="3"/>
      <c r="E283" s="3"/>
      <c r="F283" s="3"/>
      <c r="G283" s="3"/>
      <c r="H283" s="3"/>
      <c r="I283" s="3"/>
      <c r="J283" s="3"/>
      <c r="K283" s="3"/>
      <c r="L283" s="3"/>
      <c r="M283" s="3"/>
      <c r="N283" s="3"/>
      <c r="O283" s="3"/>
      <c r="P283" s="3"/>
      <c r="Q283" s="261"/>
      <c r="R283" s="261"/>
    </row>
    <row r="284" spans="1:18" x14ac:dyDescent="0.35">
      <c r="A284" s="3"/>
      <c r="B284" s="3"/>
      <c r="C284" s="3"/>
      <c r="D284" s="3"/>
      <c r="E284" s="3"/>
      <c r="F284" s="3"/>
      <c r="G284" s="3"/>
      <c r="H284" s="3"/>
      <c r="I284" s="3"/>
      <c r="J284" s="3"/>
      <c r="K284" s="3"/>
      <c r="L284" s="3"/>
      <c r="M284" s="3"/>
      <c r="N284" s="3"/>
      <c r="O284" s="3"/>
      <c r="P284" s="3"/>
      <c r="Q284" s="261"/>
      <c r="R284" s="261"/>
    </row>
    <row r="285" spans="1:18" x14ac:dyDescent="0.35">
      <c r="A285" s="3"/>
      <c r="B285" s="3"/>
      <c r="C285" s="3"/>
      <c r="D285" s="3"/>
      <c r="E285" s="3"/>
      <c r="F285" s="3"/>
      <c r="G285" s="3"/>
      <c r="H285" s="3"/>
      <c r="I285" s="3"/>
      <c r="J285" s="3"/>
      <c r="K285" s="3"/>
      <c r="L285" s="3"/>
      <c r="M285" s="3"/>
      <c r="N285" s="3"/>
      <c r="O285" s="3"/>
      <c r="P285" s="3"/>
      <c r="Q285" s="261"/>
      <c r="R285" s="261"/>
    </row>
    <row r="286" spans="1:18" x14ac:dyDescent="0.35">
      <c r="A286" s="3"/>
      <c r="B286" s="3"/>
      <c r="C286" s="3"/>
      <c r="D286" s="3"/>
      <c r="E286" s="3"/>
      <c r="F286" s="3"/>
      <c r="G286" s="3"/>
      <c r="H286" s="3"/>
      <c r="I286" s="3"/>
      <c r="J286" s="3"/>
      <c r="K286" s="3"/>
      <c r="L286" s="3"/>
      <c r="M286" s="3"/>
      <c r="N286" s="3"/>
      <c r="O286" s="3"/>
      <c r="P286" s="3"/>
      <c r="Q286" s="261"/>
      <c r="R286" s="261"/>
    </row>
    <row r="287" spans="1:18" x14ac:dyDescent="0.35">
      <c r="A287" s="3"/>
      <c r="B287" s="3"/>
      <c r="C287" s="3"/>
      <c r="D287" s="3"/>
      <c r="E287" s="3"/>
      <c r="F287" s="3"/>
      <c r="G287" s="3"/>
      <c r="H287" s="3"/>
      <c r="I287" s="3"/>
      <c r="J287" s="3"/>
      <c r="K287" s="3"/>
      <c r="L287" s="3"/>
      <c r="M287" s="3"/>
      <c r="N287" s="3"/>
      <c r="O287" s="3"/>
      <c r="P287" s="3"/>
      <c r="Q287" s="261"/>
      <c r="R287" s="261"/>
    </row>
    <row r="288" spans="1:18" x14ac:dyDescent="0.35">
      <c r="A288" s="3"/>
      <c r="B288" s="3"/>
      <c r="C288" s="3"/>
      <c r="D288" s="3"/>
      <c r="E288" s="3"/>
      <c r="F288" s="3"/>
      <c r="G288" s="3"/>
      <c r="H288" s="3"/>
      <c r="I288" s="3"/>
      <c r="J288" s="3"/>
      <c r="K288" s="3"/>
      <c r="L288" s="3"/>
      <c r="M288" s="3"/>
      <c r="N288" s="3"/>
      <c r="O288" s="3"/>
      <c r="P288" s="3"/>
      <c r="Q288" s="261"/>
      <c r="R288" s="261"/>
    </row>
    <row r="289" spans="1:18" x14ac:dyDescent="0.35">
      <c r="A289" s="3"/>
      <c r="B289" s="3"/>
      <c r="C289" s="3"/>
      <c r="D289" s="3"/>
      <c r="E289" s="3"/>
      <c r="F289" s="3"/>
      <c r="G289" s="3"/>
      <c r="H289" s="3"/>
      <c r="I289" s="3"/>
      <c r="J289" s="3"/>
      <c r="K289" s="3"/>
      <c r="L289" s="3"/>
      <c r="M289" s="3"/>
      <c r="N289" s="3"/>
      <c r="O289" s="3"/>
      <c r="P289" s="3"/>
      <c r="Q289" s="261"/>
      <c r="R289" s="261"/>
    </row>
    <row r="290" spans="1:18" x14ac:dyDescent="0.35">
      <c r="A290" s="3"/>
      <c r="B290" s="3"/>
      <c r="C290" s="3"/>
      <c r="D290" s="3"/>
      <c r="E290" s="3"/>
      <c r="F290" s="3"/>
      <c r="G290" s="3"/>
      <c r="H290" s="3"/>
      <c r="I290" s="3"/>
      <c r="J290" s="3"/>
      <c r="K290" s="3"/>
      <c r="L290" s="3"/>
      <c r="M290" s="3"/>
      <c r="N290" s="3"/>
      <c r="O290" s="3"/>
      <c r="P290" s="3"/>
      <c r="Q290" s="261"/>
      <c r="R290" s="261"/>
    </row>
    <row r="291" spans="1:18" x14ac:dyDescent="0.35">
      <c r="A291" s="3"/>
      <c r="B291" s="3"/>
      <c r="C291" s="3"/>
      <c r="D291" s="3"/>
      <c r="E291" s="3"/>
      <c r="F291" s="3"/>
      <c r="G291" s="3"/>
      <c r="H291" s="3"/>
      <c r="I291" s="3"/>
      <c r="J291" s="3"/>
      <c r="K291" s="3"/>
      <c r="L291" s="3"/>
      <c r="M291" s="3"/>
      <c r="N291" s="3"/>
      <c r="O291" s="3"/>
      <c r="P291" s="3"/>
      <c r="Q291" s="261"/>
      <c r="R291" s="261"/>
    </row>
    <row r="292" spans="1:18" x14ac:dyDescent="0.35">
      <c r="A292" s="3"/>
      <c r="B292" s="3"/>
      <c r="C292" s="3"/>
      <c r="D292" s="3"/>
      <c r="E292" s="3"/>
      <c r="F292" s="3"/>
      <c r="G292" s="3"/>
      <c r="H292" s="3"/>
      <c r="I292" s="3"/>
      <c r="J292" s="3"/>
      <c r="K292" s="3"/>
      <c r="L292" s="3"/>
      <c r="M292" s="3"/>
      <c r="N292" s="3"/>
      <c r="O292" s="3"/>
      <c r="P292" s="3"/>
      <c r="Q292" s="261"/>
      <c r="R292" s="261"/>
    </row>
    <row r="293" spans="1:18" x14ac:dyDescent="0.35">
      <c r="A293" s="3"/>
      <c r="B293" s="3"/>
      <c r="C293" s="3"/>
      <c r="D293" s="3"/>
      <c r="E293" s="3"/>
      <c r="F293" s="3"/>
      <c r="G293" s="3"/>
      <c r="H293" s="3"/>
      <c r="I293" s="3"/>
      <c r="J293" s="3"/>
      <c r="K293" s="3"/>
      <c r="L293" s="3"/>
      <c r="M293" s="3"/>
      <c r="N293" s="3"/>
      <c r="O293" s="3"/>
      <c r="P293" s="3"/>
      <c r="Q293" s="261"/>
      <c r="R293" s="261"/>
    </row>
    <row r="294" spans="1:18" x14ac:dyDescent="0.35">
      <c r="A294" s="3"/>
      <c r="B294" s="3"/>
      <c r="C294" s="3"/>
      <c r="D294" s="3"/>
      <c r="E294" s="3"/>
      <c r="F294" s="3"/>
      <c r="G294" s="3"/>
      <c r="H294" s="3"/>
      <c r="I294" s="3"/>
      <c r="J294" s="3"/>
      <c r="K294" s="3"/>
      <c r="L294" s="3"/>
      <c r="M294" s="3"/>
      <c r="N294" s="3"/>
      <c r="O294" s="3"/>
      <c r="P294" s="3"/>
      <c r="Q294" s="261"/>
      <c r="R294" s="261"/>
    </row>
    <row r="295" spans="1:18" x14ac:dyDescent="0.35">
      <c r="A295" s="3"/>
      <c r="B295" s="3"/>
      <c r="C295" s="3"/>
      <c r="D295" s="3"/>
      <c r="E295" s="3"/>
      <c r="F295" s="3"/>
      <c r="G295" s="3"/>
      <c r="H295" s="3"/>
      <c r="I295" s="3"/>
      <c r="J295" s="3"/>
      <c r="K295" s="3"/>
      <c r="L295" s="3"/>
      <c r="M295" s="3"/>
      <c r="N295" s="3"/>
      <c r="O295" s="3"/>
      <c r="P295" s="3"/>
      <c r="Q295" s="261"/>
      <c r="R295" s="261"/>
    </row>
    <row r="296" spans="1:18" x14ac:dyDescent="0.35">
      <c r="A296" s="3"/>
      <c r="B296" s="3"/>
      <c r="C296" s="3"/>
      <c r="D296" s="3"/>
      <c r="E296" s="3"/>
      <c r="F296" s="3"/>
      <c r="G296" s="3"/>
      <c r="H296" s="3"/>
      <c r="I296" s="3"/>
      <c r="J296" s="3"/>
      <c r="K296" s="3"/>
      <c r="L296" s="3"/>
      <c r="M296" s="3"/>
      <c r="N296" s="3"/>
      <c r="O296" s="3"/>
      <c r="P296" s="3"/>
      <c r="Q296" s="261"/>
      <c r="R296" s="261"/>
    </row>
    <row r="297" spans="1:18" x14ac:dyDescent="0.35">
      <c r="A297" s="3"/>
      <c r="B297" s="3"/>
      <c r="C297" s="3"/>
      <c r="D297" s="3"/>
      <c r="E297" s="3"/>
      <c r="F297" s="3"/>
      <c r="G297" s="3"/>
      <c r="H297" s="3"/>
      <c r="I297" s="3"/>
      <c r="J297" s="3"/>
      <c r="K297" s="3"/>
      <c r="L297" s="3"/>
      <c r="M297" s="3"/>
      <c r="N297" s="3"/>
      <c r="O297" s="3"/>
      <c r="P297" s="3"/>
      <c r="Q297" s="261"/>
      <c r="R297" s="261"/>
    </row>
    <row r="298" spans="1:18" x14ac:dyDescent="0.35">
      <c r="A298" s="3"/>
      <c r="B298" s="3"/>
      <c r="C298" s="3"/>
      <c r="D298" s="3"/>
      <c r="E298" s="3"/>
      <c r="F298" s="3"/>
      <c r="G298" s="3"/>
      <c r="H298" s="3"/>
      <c r="I298" s="3"/>
      <c r="J298" s="3"/>
      <c r="K298" s="3"/>
      <c r="L298" s="3"/>
      <c r="M298" s="3"/>
      <c r="N298" s="3"/>
      <c r="O298" s="3"/>
      <c r="P298" s="3"/>
      <c r="Q298" s="261"/>
      <c r="R298" s="261"/>
    </row>
    <row r="299" spans="1:18" x14ac:dyDescent="0.35">
      <c r="A299" s="3"/>
      <c r="B299" s="3"/>
      <c r="C299" s="3"/>
      <c r="D299" s="3"/>
      <c r="E299" s="3"/>
      <c r="F299" s="3"/>
      <c r="G299" s="3"/>
      <c r="H299" s="3"/>
      <c r="I299" s="3"/>
      <c r="J299" s="3"/>
      <c r="K299" s="3"/>
      <c r="L299" s="3"/>
      <c r="M299" s="3"/>
      <c r="N299" s="3"/>
      <c r="O299" s="3"/>
      <c r="P299" s="3"/>
      <c r="Q299" s="261"/>
      <c r="R299" s="261"/>
    </row>
    <row r="300" spans="1:18" x14ac:dyDescent="0.35">
      <c r="A300" s="3"/>
      <c r="B300" s="3"/>
      <c r="C300" s="3"/>
      <c r="D300" s="3"/>
      <c r="E300" s="3"/>
      <c r="F300" s="3"/>
      <c r="G300" s="3"/>
      <c r="H300" s="3"/>
      <c r="I300" s="3"/>
      <c r="J300" s="3"/>
      <c r="K300" s="3"/>
      <c r="L300" s="3"/>
      <c r="M300" s="3"/>
      <c r="N300" s="3"/>
      <c r="O300" s="3"/>
      <c r="P300" s="3"/>
      <c r="Q300" s="261"/>
      <c r="R300" s="261"/>
    </row>
    <row r="301" spans="1:18" x14ac:dyDescent="0.35">
      <c r="A301" s="3"/>
      <c r="B301" s="3"/>
      <c r="C301" s="3"/>
      <c r="D301" s="3"/>
      <c r="E301" s="3"/>
      <c r="F301" s="3"/>
      <c r="G301" s="3"/>
      <c r="H301" s="3"/>
      <c r="I301" s="3"/>
      <c r="J301" s="3"/>
      <c r="K301" s="3"/>
      <c r="L301" s="3"/>
      <c r="M301" s="3"/>
      <c r="N301" s="3"/>
      <c r="O301" s="3"/>
      <c r="P301" s="3"/>
      <c r="Q301" s="261"/>
      <c r="R301" s="261"/>
    </row>
    <row r="302" spans="1:18" x14ac:dyDescent="0.35">
      <c r="A302" s="3"/>
      <c r="B302" s="3"/>
      <c r="C302" s="3"/>
      <c r="D302" s="3"/>
      <c r="E302" s="3"/>
      <c r="F302" s="3"/>
      <c r="G302" s="3"/>
      <c r="H302" s="3"/>
      <c r="I302" s="3"/>
      <c r="J302" s="3"/>
      <c r="K302" s="3"/>
      <c r="L302" s="3"/>
      <c r="M302" s="3"/>
      <c r="N302" s="3"/>
      <c r="O302" s="3"/>
      <c r="P302" s="3"/>
      <c r="Q302" s="261"/>
      <c r="R302" s="261"/>
    </row>
    <row r="303" spans="1:18" x14ac:dyDescent="0.35">
      <c r="A303" s="3"/>
      <c r="B303" s="3"/>
      <c r="C303" s="3"/>
      <c r="D303" s="3"/>
      <c r="E303" s="3"/>
      <c r="F303" s="3"/>
      <c r="G303" s="3"/>
      <c r="H303" s="3"/>
      <c r="I303" s="3"/>
      <c r="J303" s="3"/>
      <c r="K303" s="3"/>
      <c r="L303" s="3"/>
      <c r="M303" s="3"/>
      <c r="N303" s="3"/>
      <c r="O303" s="3"/>
      <c r="P303" s="3"/>
      <c r="Q303" s="261"/>
      <c r="R303" s="261"/>
    </row>
    <row r="304" spans="1:18" x14ac:dyDescent="0.35">
      <c r="A304" s="3"/>
      <c r="B304" s="3"/>
      <c r="C304" s="3"/>
      <c r="D304" s="3"/>
      <c r="E304" s="3"/>
      <c r="F304" s="3"/>
      <c r="G304" s="3"/>
      <c r="H304" s="3"/>
      <c r="I304" s="3"/>
      <c r="J304" s="3"/>
      <c r="K304" s="3"/>
      <c r="L304" s="3"/>
      <c r="M304" s="3"/>
      <c r="N304" s="3"/>
      <c r="O304" s="3"/>
      <c r="P304" s="3"/>
      <c r="Q304" s="261"/>
      <c r="R304" s="261"/>
    </row>
    <row r="305" spans="1:18" x14ac:dyDescent="0.35">
      <c r="A305" s="3"/>
      <c r="B305" s="3"/>
      <c r="C305" s="3"/>
      <c r="D305" s="3"/>
      <c r="E305" s="3"/>
      <c r="F305" s="3"/>
      <c r="G305" s="3"/>
      <c r="H305" s="3"/>
      <c r="I305" s="3"/>
      <c r="J305" s="3"/>
      <c r="K305" s="3"/>
      <c r="L305" s="3"/>
      <c r="M305" s="3"/>
      <c r="N305" s="3"/>
      <c r="O305" s="3"/>
      <c r="P305" s="3"/>
      <c r="Q305" s="261"/>
      <c r="R305" s="261"/>
    </row>
    <row r="306" spans="1:18" x14ac:dyDescent="0.35">
      <c r="A306" s="3"/>
      <c r="B306" s="3"/>
      <c r="C306" s="3"/>
      <c r="D306" s="3"/>
      <c r="E306" s="3"/>
      <c r="F306" s="3"/>
      <c r="G306" s="3"/>
      <c r="H306" s="3"/>
      <c r="I306" s="3"/>
      <c r="J306" s="3"/>
      <c r="K306" s="3"/>
      <c r="L306" s="3"/>
      <c r="M306" s="3"/>
      <c r="N306" s="3"/>
      <c r="O306" s="3"/>
      <c r="P306" s="3"/>
      <c r="Q306" s="261"/>
      <c r="R306" s="261"/>
    </row>
    <row r="307" spans="1:18" x14ac:dyDescent="0.35">
      <c r="A307" s="3"/>
      <c r="B307" s="3"/>
      <c r="C307" s="3"/>
      <c r="D307" s="3"/>
      <c r="E307" s="3"/>
      <c r="F307" s="3"/>
      <c r="G307" s="3"/>
      <c r="H307" s="3"/>
      <c r="I307" s="3"/>
      <c r="J307" s="3"/>
      <c r="K307" s="3"/>
      <c r="L307" s="3"/>
      <c r="M307" s="3"/>
      <c r="N307" s="3"/>
      <c r="O307" s="3"/>
      <c r="P307" s="3"/>
      <c r="Q307" s="261"/>
      <c r="R307" s="261"/>
    </row>
    <row r="308" spans="1:18" x14ac:dyDescent="0.35">
      <c r="A308" s="3"/>
      <c r="B308" s="3"/>
      <c r="C308" s="3"/>
      <c r="D308" s="3"/>
      <c r="E308" s="3"/>
      <c r="F308" s="3"/>
      <c r="G308" s="3"/>
      <c r="H308" s="3"/>
      <c r="I308" s="3"/>
      <c r="J308" s="3"/>
      <c r="K308" s="3"/>
      <c r="L308" s="3"/>
      <c r="M308" s="3"/>
      <c r="N308" s="3"/>
      <c r="O308" s="3"/>
      <c r="P308" s="3"/>
      <c r="Q308" s="261"/>
      <c r="R308" s="261"/>
    </row>
    <row r="309" spans="1:18" x14ac:dyDescent="0.35">
      <c r="A309" s="3"/>
      <c r="B309" s="3"/>
      <c r="C309" s="3"/>
      <c r="D309" s="3"/>
      <c r="E309" s="3"/>
      <c r="F309" s="3"/>
      <c r="G309" s="3"/>
      <c r="H309" s="3"/>
      <c r="I309" s="3"/>
      <c r="J309" s="3"/>
      <c r="K309" s="3"/>
      <c r="L309" s="3"/>
      <c r="M309" s="3"/>
      <c r="N309" s="3"/>
      <c r="O309" s="3"/>
      <c r="P309" s="3"/>
      <c r="Q309" s="261"/>
      <c r="R309" s="261"/>
    </row>
    <row r="310" spans="1:18" x14ac:dyDescent="0.35">
      <c r="A310" s="3"/>
      <c r="B310" s="3"/>
      <c r="C310" s="3"/>
      <c r="D310" s="3"/>
      <c r="E310" s="3"/>
      <c r="F310" s="3"/>
      <c r="G310" s="3"/>
      <c r="H310" s="3"/>
      <c r="I310" s="3"/>
      <c r="J310" s="3"/>
      <c r="K310" s="3"/>
      <c r="L310" s="3"/>
      <c r="M310" s="3"/>
      <c r="N310" s="3"/>
      <c r="O310" s="3"/>
      <c r="P310" s="3"/>
      <c r="Q310" s="261"/>
      <c r="R310" s="261"/>
    </row>
    <row r="311" spans="1:18" x14ac:dyDescent="0.35">
      <c r="A311" s="3"/>
      <c r="B311" s="3"/>
      <c r="C311" s="3"/>
      <c r="D311" s="3"/>
      <c r="E311" s="3"/>
      <c r="F311" s="3"/>
      <c r="G311" s="3"/>
      <c r="H311" s="3"/>
      <c r="I311" s="3"/>
      <c r="J311" s="3"/>
      <c r="K311" s="3"/>
      <c r="L311" s="3"/>
      <c r="M311" s="3"/>
      <c r="N311" s="3"/>
      <c r="O311" s="3"/>
      <c r="P311" s="3"/>
      <c r="Q311" s="261"/>
      <c r="R311" s="261"/>
    </row>
    <row r="312" spans="1:18" x14ac:dyDescent="0.35">
      <c r="A312" s="3"/>
      <c r="B312" s="3"/>
      <c r="C312" s="3"/>
      <c r="D312" s="3"/>
      <c r="E312" s="3"/>
      <c r="F312" s="3"/>
      <c r="G312" s="3"/>
      <c r="H312" s="3"/>
      <c r="I312" s="3"/>
      <c r="J312" s="3"/>
      <c r="K312" s="3"/>
      <c r="L312" s="3"/>
      <c r="M312" s="3"/>
      <c r="N312" s="3"/>
      <c r="O312" s="3"/>
      <c r="P312" s="3"/>
      <c r="Q312" s="261"/>
      <c r="R312" s="261"/>
    </row>
    <row r="313" spans="1:18" x14ac:dyDescent="0.35">
      <c r="A313" s="3"/>
      <c r="B313" s="3"/>
      <c r="C313" s="3"/>
      <c r="D313" s="3"/>
      <c r="E313" s="3"/>
      <c r="F313" s="3"/>
      <c r="G313" s="3"/>
      <c r="H313" s="3"/>
      <c r="I313" s="3"/>
      <c r="J313" s="3"/>
      <c r="K313" s="3"/>
      <c r="L313" s="3"/>
      <c r="M313" s="3"/>
      <c r="N313" s="3"/>
      <c r="O313" s="3"/>
      <c r="P313" s="3"/>
      <c r="Q313" s="261"/>
      <c r="R313" s="261"/>
    </row>
    <row r="314" spans="1:18" x14ac:dyDescent="0.35">
      <c r="A314" s="3"/>
      <c r="B314" s="3"/>
      <c r="C314" s="3"/>
      <c r="D314" s="3"/>
      <c r="E314" s="3"/>
      <c r="F314" s="3"/>
      <c r="G314" s="3"/>
      <c r="H314" s="3"/>
      <c r="I314" s="3"/>
      <c r="J314" s="3"/>
      <c r="K314" s="3"/>
      <c r="L314" s="3"/>
      <c r="M314" s="3"/>
      <c r="N314" s="3"/>
      <c r="O314" s="3"/>
      <c r="P314" s="3"/>
      <c r="Q314" s="261"/>
      <c r="R314" s="261"/>
    </row>
    <row r="315" spans="1:18" x14ac:dyDescent="0.35">
      <c r="A315" s="3"/>
      <c r="B315" s="3"/>
      <c r="C315" s="3"/>
      <c r="D315" s="3"/>
      <c r="E315" s="3"/>
      <c r="F315" s="3"/>
      <c r="G315" s="3"/>
      <c r="H315" s="3"/>
      <c r="I315" s="3"/>
      <c r="J315" s="3"/>
      <c r="K315" s="3"/>
      <c r="L315" s="3"/>
      <c r="M315" s="3"/>
      <c r="N315" s="3"/>
      <c r="O315" s="3"/>
      <c r="P315" s="3"/>
      <c r="Q315" s="261"/>
      <c r="R315" s="261"/>
    </row>
    <row r="316" spans="1:18" x14ac:dyDescent="0.35">
      <c r="A316" s="3"/>
      <c r="B316" s="3"/>
      <c r="C316" s="3"/>
      <c r="D316" s="3"/>
      <c r="E316" s="3"/>
      <c r="F316" s="3"/>
      <c r="G316" s="3"/>
      <c r="H316" s="3"/>
      <c r="I316" s="3"/>
      <c r="J316" s="3"/>
      <c r="K316" s="3"/>
      <c r="L316" s="3"/>
      <c r="M316" s="3"/>
      <c r="N316" s="3"/>
      <c r="O316" s="3"/>
      <c r="P316" s="3"/>
      <c r="Q316" s="261"/>
      <c r="R316" s="261"/>
    </row>
    <row r="317" spans="1:18" x14ac:dyDescent="0.35">
      <c r="A317" s="3"/>
      <c r="B317" s="3"/>
      <c r="C317" s="3"/>
      <c r="D317" s="3"/>
      <c r="E317" s="3"/>
      <c r="F317" s="3"/>
      <c r="G317" s="3"/>
      <c r="H317" s="3"/>
      <c r="I317" s="3"/>
      <c r="J317" s="3"/>
      <c r="K317" s="3"/>
      <c r="L317" s="3"/>
      <c r="M317" s="3"/>
      <c r="N317" s="3"/>
      <c r="O317" s="3"/>
      <c r="P317" s="3"/>
      <c r="Q317" s="261"/>
      <c r="R317" s="261"/>
    </row>
    <row r="318" spans="1:18" x14ac:dyDescent="0.35">
      <c r="A318" s="3"/>
      <c r="B318" s="3"/>
      <c r="C318" s="3"/>
      <c r="D318" s="3"/>
      <c r="E318" s="3"/>
      <c r="F318" s="3"/>
      <c r="G318" s="3"/>
      <c r="H318" s="3"/>
      <c r="I318" s="3"/>
      <c r="J318" s="3"/>
      <c r="K318" s="3"/>
      <c r="L318" s="3"/>
      <c r="M318" s="3"/>
      <c r="N318" s="3"/>
      <c r="O318" s="3"/>
      <c r="P318" s="3"/>
      <c r="Q318" s="261"/>
      <c r="R318" s="261"/>
    </row>
    <row r="319" spans="1:18" x14ac:dyDescent="0.35">
      <c r="A319" s="3"/>
      <c r="B319" s="3"/>
      <c r="C319" s="3"/>
      <c r="D319" s="3"/>
      <c r="E319" s="3"/>
      <c r="F319" s="3"/>
      <c r="G319" s="3"/>
      <c r="H319" s="3"/>
      <c r="I319" s="3"/>
      <c r="J319" s="3"/>
      <c r="K319" s="3"/>
      <c r="L319" s="3"/>
      <c r="M319" s="3"/>
      <c r="N319" s="3"/>
      <c r="O319" s="3"/>
      <c r="P319" s="3"/>
      <c r="Q319" s="261"/>
      <c r="R319" s="261"/>
    </row>
    <row r="320" spans="1:18" x14ac:dyDescent="0.35">
      <c r="A320" s="3"/>
      <c r="B320" s="3"/>
      <c r="C320" s="3"/>
      <c r="D320" s="3"/>
      <c r="E320" s="3"/>
      <c r="F320" s="3"/>
      <c r="G320" s="3"/>
      <c r="H320" s="3"/>
      <c r="I320" s="3"/>
      <c r="J320" s="3"/>
      <c r="K320" s="3"/>
      <c r="L320" s="3"/>
      <c r="M320" s="3"/>
      <c r="N320" s="3"/>
      <c r="O320" s="3"/>
      <c r="P320" s="3"/>
      <c r="Q320" s="261"/>
      <c r="R320" s="261"/>
    </row>
    <row r="321" spans="1:18" x14ac:dyDescent="0.35">
      <c r="A321" s="3"/>
      <c r="B321" s="3"/>
      <c r="C321" s="3"/>
      <c r="D321" s="3"/>
      <c r="E321" s="3"/>
      <c r="F321" s="3"/>
      <c r="G321" s="3"/>
      <c r="H321" s="3"/>
      <c r="I321" s="3"/>
      <c r="J321" s="3"/>
      <c r="K321" s="3"/>
      <c r="L321" s="3"/>
      <c r="M321" s="3"/>
      <c r="N321" s="3"/>
      <c r="O321" s="3"/>
      <c r="P321" s="3"/>
      <c r="Q321" s="261"/>
      <c r="R321" s="261"/>
    </row>
    <row r="322" spans="1:18" x14ac:dyDescent="0.35">
      <c r="A322" s="3"/>
      <c r="B322" s="3"/>
      <c r="C322" s="3"/>
      <c r="D322" s="3"/>
      <c r="E322" s="3"/>
      <c r="F322" s="3"/>
      <c r="G322" s="3"/>
      <c r="H322" s="3"/>
      <c r="I322" s="3"/>
      <c r="J322" s="3"/>
      <c r="K322" s="3"/>
      <c r="L322" s="3"/>
      <c r="M322" s="3"/>
      <c r="N322" s="3"/>
      <c r="O322" s="3"/>
      <c r="P322" s="3"/>
      <c r="Q322" s="261"/>
      <c r="R322" s="261"/>
    </row>
    <row r="323" spans="1:18" x14ac:dyDescent="0.35">
      <c r="A323" s="3"/>
      <c r="B323" s="3"/>
      <c r="C323" s="3"/>
      <c r="D323" s="3"/>
      <c r="E323" s="3"/>
      <c r="F323" s="3"/>
      <c r="G323" s="3"/>
      <c r="H323" s="3"/>
      <c r="I323" s="3"/>
      <c r="J323" s="3"/>
      <c r="K323" s="3"/>
      <c r="L323" s="3"/>
      <c r="M323" s="3"/>
      <c r="N323" s="3"/>
      <c r="O323" s="3"/>
      <c r="P323" s="3"/>
      <c r="Q323" s="261"/>
      <c r="R323" s="261"/>
    </row>
    <row r="324" spans="1:18" x14ac:dyDescent="0.35">
      <c r="A324" s="3"/>
      <c r="B324" s="3"/>
      <c r="C324" s="3"/>
      <c r="D324" s="3"/>
      <c r="E324" s="3"/>
      <c r="F324" s="3"/>
      <c r="G324" s="3"/>
      <c r="H324" s="3"/>
      <c r="I324" s="3"/>
      <c r="J324" s="3"/>
      <c r="K324" s="3"/>
      <c r="L324" s="3"/>
      <c r="M324" s="3"/>
      <c r="N324" s="3"/>
      <c r="O324" s="3"/>
      <c r="P324" s="3"/>
      <c r="Q324" s="261"/>
      <c r="R324" s="261"/>
    </row>
    <row r="325" spans="1:18" x14ac:dyDescent="0.35">
      <c r="A325" s="3"/>
      <c r="B325" s="3"/>
      <c r="C325" s="3"/>
      <c r="D325" s="3"/>
      <c r="E325" s="3"/>
      <c r="F325" s="3"/>
      <c r="G325" s="3"/>
      <c r="H325" s="3"/>
      <c r="I325" s="3"/>
      <c r="J325" s="3"/>
      <c r="K325" s="3"/>
      <c r="L325" s="3"/>
      <c r="M325" s="3"/>
      <c r="N325" s="3"/>
      <c r="O325" s="3"/>
      <c r="P325" s="3"/>
      <c r="Q325" s="261"/>
      <c r="R325" s="261"/>
    </row>
    <row r="326" spans="1:18" x14ac:dyDescent="0.35">
      <c r="A326" s="3"/>
      <c r="B326" s="3"/>
      <c r="C326" s="3"/>
      <c r="D326" s="3"/>
      <c r="E326" s="3"/>
      <c r="F326" s="3"/>
      <c r="G326" s="3"/>
      <c r="H326" s="3"/>
      <c r="I326" s="3"/>
      <c r="J326" s="3"/>
      <c r="K326" s="3"/>
      <c r="L326" s="3"/>
      <c r="M326" s="3"/>
      <c r="N326" s="3"/>
      <c r="O326" s="3"/>
      <c r="P326" s="3"/>
      <c r="Q326" s="261"/>
      <c r="R326" s="261"/>
    </row>
    <row r="327" spans="1:18" x14ac:dyDescent="0.35">
      <c r="A327" s="3"/>
      <c r="B327" s="3"/>
      <c r="C327" s="3"/>
      <c r="D327" s="3"/>
      <c r="E327" s="3"/>
      <c r="F327" s="3"/>
      <c r="G327" s="3"/>
      <c r="H327" s="3"/>
      <c r="I327" s="3"/>
      <c r="J327" s="3"/>
      <c r="K327" s="3"/>
      <c r="L327" s="3"/>
      <c r="M327" s="3"/>
      <c r="N327" s="3"/>
      <c r="O327" s="3"/>
      <c r="P327" s="3"/>
      <c r="Q327" s="261"/>
      <c r="R327" s="261"/>
    </row>
    <row r="328" spans="1:18" x14ac:dyDescent="0.35">
      <c r="A328" s="3"/>
      <c r="B328" s="3"/>
      <c r="C328" s="3"/>
      <c r="D328" s="3"/>
      <c r="E328" s="3"/>
      <c r="F328" s="3"/>
      <c r="G328" s="3"/>
      <c r="H328" s="3"/>
      <c r="I328" s="3"/>
      <c r="J328" s="3"/>
      <c r="K328" s="3"/>
      <c r="L328" s="3"/>
      <c r="M328" s="3"/>
      <c r="N328" s="3"/>
      <c r="O328" s="3"/>
      <c r="P328" s="3"/>
      <c r="Q328" s="261"/>
      <c r="R328" s="261"/>
    </row>
    <row r="329" spans="1:18" x14ac:dyDescent="0.35">
      <c r="A329" s="3"/>
      <c r="B329" s="3"/>
      <c r="C329" s="3"/>
      <c r="D329" s="3"/>
      <c r="E329" s="3"/>
      <c r="F329" s="3"/>
      <c r="G329" s="3"/>
      <c r="H329" s="3"/>
      <c r="I329" s="3"/>
      <c r="J329" s="3"/>
      <c r="K329" s="3"/>
      <c r="L329" s="3"/>
      <c r="M329" s="3"/>
      <c r="N329" s="3"/>
      <c r="O329" s="3"/>
      <c r="P329" s="3"/>
      <c r="Q329" s="261"/>
      <c r="R329" s="261"/>
    </row>
    <row r="330" spans="1:18" x14ac:dyDescent="0.35">
      <c r="A330" s="3"/>
      <c r="B330" s="3"/>
      <c r="C330" s="3"/>
      <c r="D330" s="3"/>
      <c r="E330" s="3"/>
      <c r="F330" s="3"/>
      <c r="G330" s="3"/>
      <c r="H330" s="3"/>
      <c r="I330" s="3"/>
      <c r="J330" s="3"/>
      <c r="K330" s="3"/>
      <c r="L330" s="3"/>
      <c r="M330" s="3"/>
      <c r="N330" s="3"/>
      <c r="O330" s="3"/>
      <c r="P330" s="3"/>
      <c r="Q330" s="261"/>
      <c r="R330" s="261"/>
    </row>
    <row r="331" spans="1:18" x14ac:dyDescent="0.35">
      <c r="A331" s="3"/>
      <c r="B331" s="3"/>
      <c r="C331" s="3"/>
      <c r="D331" s="3"/>
      <c r="E331" s="3"/>
      <c r="F331" s="3"/>
      <c r="G331" s="3"/>
      <c r="H331" s="3"/>
      <c r="I331" s="3"/>
      <c r="J331" s="3"/>
      <c r="K331" s="3"/>
      <c r="L331" s="3"/>
      <c r="M331" s="3"/>
      <c r="N331" s="3"/>
      <c r="O331" s="3"/>
      <c r="P331" s="3"/>
      <c r="Q331" s="261"/>
      <c r="R331" s="261"/>
    </row>
    <row r="332" spans="1:18" x14ac:dyDescent="0.35">
      <c r="A332" s="3"/>
      <c r="B332" s="3"/>
      <c r="C332" s="3"/>
      <c r="D332" s="3"/>
      <c r="E332" s="3"/>
      <c r="F332" s="3"/>
      <c r="G332" s="3"/>
      <c r="H332" s="3"/>
      <c r="I332" s="3"/>
      <c r="J332" s="3"/>
      <c r="K332" s="3"/>
      <c r="L332" s="3"/>
      <c r="M332" s="3"/>
      <c r="N332" s="3"/>
      <c r="O332" s="3"/>
      <c r="P332" s="3"/>
      <c r="Q332" s="261"/>
      <c r="R332" s="261"/>
    </row>
    <row r="333" spans="1:18" x14ac:dyDescent="0.35">
      <c r="A333" s="3"/>
      <c r="B333" s="3"/>
      <c r="C333" s="3"/>
      <c r="D333" s="3"/>
      <c r="E333" s="3"/>
      <c r="F333" s="3"/>
      <c r="G333" s="3"/>
      <c r="H333" s="3"/>
      <c r="I333" s="3"/>
      <c r="J333" s="3"/>
      <c r="K333" s="3"/>
      <c r="L333" s="3"/>
      <c r="M333" s="3"/>
      <c r="N333" s="3"/>
      <c r="O333" s="3"/>
      <c r="P333" s="3"/>
      <c r="Q333" s="261"/>
      <c r="R333" s="261"/>
    </row>
    <row r="334" spans="1:18" x14ac:dyDescent="0.35">
      <c r="A334" s="3"/>
      <c r="B334" s="3"/>
      <c r="C334" s="3"/>
      <c r="D334" s="3"/>
      <c r="E334" s="3"/>
      <c r="F334" s="3"/>
      <c r="G334" s="3"/>
      <c r="H334" s="3"/>
      <c r="I334" s="3"/>
      <c r="J334" s="3"/>
      <c r="K334" s="3"/>
      <c r="L334" s="3"/>
      <c r="M334" s="3"/>
      <c r="N334" s="3"/>
      <c r="O334" s="3"/>
      <c r="P334" s="3"/>
      <c r="Q334" s="261"/>
      <c r="R334" s="261"/>
    </row>
    <row r="335" spans="1:18" x14ac:dyDescent="0.35">
      <c r="A335" s="3"/>
      <c r="B335" s="3"/>
      <c r="C335" s="3"/>
      <c r="D335" s="3"/>
      <c r="E335" s="3"/>
      <c r="F335" s="3"/>
      <c r="G335" s="3"/>
      <c r="H335" s="3"/>
      <c r="I335" s="3"/>
      <c r="J335" s="3"/>
      <c r="K335" s="3"/>
      <c r="L335" s="3"/>
      <c r="M335" s="3"/>
      <c r="N335" s="3"/>
      <c r="O335" s="3"/>
      <c r="P335" s="3"/>
      <c r="Q335" s="261"/>
      <c r="R335" s="261"/>
    </row>
    <row r="336" spans="1:18" x14ac:dyDescent="0.35">
      <c r="A336" s="3"/>
      <c r="B336" s="3"/>
      <c r="C336" s="3"/>
      <c r="D336" s="3"/>
      <c r="E336" s="3"/>
      <c r="F336" s="3"/>
      <c r="G336" s="3"/>
      <c r="H336" s="3"/>
      <c r="I336" s="3"/>
      <c r="J336" s="3"/>
      <c r="K336" s="3"/>
      <c r="L336" s="3"/>
      <c r="M336" s="3"/>
      <c r="N336" s="3"/>
      <c r="O336" s="3"/>
      <c r="P336" s="3"/>
      <c r="Q336" s="261"/>
      <c r="R336" s="261"/>
    </row>
    <row r="337" spans="1:18" x14ac:dyDescent="0.35">
      <c r="A337" s="3"/>
      <c r="B337" s="3"/>
      <c r="C337" s="3"/>
      <c r="D337" s="3"/>
      <c r="E337" s="3"/>
      <c r="F337" s="3"/>
      <c r="G337" s="3"/>
      <c r="H337" s="3"/>
      <c r="I337" s="3"/>
      <c r="J337" s="3"/>
      <c r="K337" s="3"/>
      <c r="L337" s="3"/>
      <c r="M337" s="3"/>
      <c r="N337" s="3"/>
      <c r="O337" s="3"/>
      <c r="P337" s="3"/>
      <c r="Q337" s="261"/>
      <c r="R337" s="261"/>
    </row>
    <row r="338" spans="1:18" x14ac:dyDescent="0.35">
      <c r="A338" s="3"/>
      <c r="B338" s="3"/>
      <c r="C338" s="3"/>
      <c r="D338" s="3"/>
      <c r="E338" s="3"/>
      <c r="F338" s="3"/>
      <c r="G338" s="3"/>
      <c r="H338" s="3"/>
      <c r="I338" s="3"/>
      <c r="J338" s="3"/>
      <c r="K338" s="3"/>
      <c r="L338" s="3"/>
      <c r="M338" s="3"/>
      <c r="N338" s="3"/>
      <c r="O338" s="3"/>
      <c r="P338" s="3"/>
      <c r="Q338" s="261"/>
      <c r="R338" s="261"/>
    </row>
    <row r="339" spans="1:18" x14ac:dyDescent="0.35">
      <c r="A339" s="3"/>
      <c r="B339" s="3"/>
      <c r="C339" s="3"/>
      <c r="D339" s="3"/>
      <c r="E339" s="3"/>
      <c r="F339" s="3"/>
      <c r="G339" s="3"/>
      <c r="H339" s="3"/>
      <c r="I339" s="3"/>
      <c r="J339" s="3"/>
      <c r="K339" s="3"/>
      <c r="L339" s="3"/>
      <c r="M339" s="3"/>
      <c r="N339" s="3"/>
      <c r="O339" s="3"/>
      <c r="P339" s="3"/>
      <c r="Q339" s="261"/>
      <c r="R339" s="261"/>
    </row>
    <row r="340" spans="1:18" x14ac:dyDescent="0.35">
      <c r="A340" s="3"/>
      <c r="B340" s="3"/>
      <c r="C340" s="3"/>
      <c r="D340" s="3"/>
      <c r="E340" s="3"/>
      <c r="F340" s="3"/>
      <c r="G340" s="3"/>
      <c r="H340" s="3"/>
      <c r="I340" s="3"/>
      <c r="J340" s="3"/>
      <c r="K340" s="3"/>
      <c r="L340" s="3"/>
      <c r="M340" s="3"/>
      <c r="N340" s="3"/>
      <c r="O340" s="3"/>
      <c r="P340" s="3"/>
      <c r="Q340" s="261"/>
      <c r="R340" s="261"/>
    </row>
    <row r="341" spans="1:18" x14ac:dyDescent="0.35">
      <c r="A341" s="3"/>
      <c r="B341" s="3"/>
      <c r="C341" s="3"/>
      <c r="D341" s="3"/>
      <c r="E341" s="3"/>
      <c r="F341" s="3"/>
      <c r="G341" s="3"/>
      <c r="H341" s="3"/>
      <c r="I341" s="3"/>
      <c r="J341" s="3"/>
      <c r="K341" s="3"/>
      <c r="L341" s="3"/>
      <c r="M341" s="3"/>
      <c r="N341" s="3"/>
      <c r="O341" s="3"/>
      <c r="P341" s="3"/>
      <c r="Q341" s="261"/>
      <c r="R341" s="261"/>
    </row>
    <row r="342" spans="1:18" x14ac:dyDescent="0.35">
      <c r="A342" s="3"/>
      <c r="B342" s="3"/>
      <c r="C342" s="3"/>
      <c r="D342" s="3"/>
      <c r="E342" s="3"/>
      <c r="F342" s="3"/>
      <c r="G342" s="3"/>
      <c r="H342" s="3"/>
      <c r="I342" s="3"/>
      <c r="J342" s="3"/>
      <c r="K342" s="3"/>
      <c r="L342" s="3"/>
      <c r="M342" s="3"/>
      <c r="N342" s="3"/>
      <c r="O342" s="3"/>
      <c r="P342" s="3"/>
      <c r="Q342" s="261"/>
      <c r="R342" s="261"/>
    </row>
    <row r="343" spans="1:18" x14ac:dyDescent="0.35">
      <c r="A343" s="3"/>
      <c r="B343" s="3"/>
      <c r="C343" s="3"/>
      <c r="D343" s="3"/>
      <c r="E343" s="3"/>
      <c r="F343" s="3"/>
      <c r="G343" s="3"/>
      <c r="H343" s="3"/>
      <c r="I343" s="3"/>
      <c r="J343" s="3"/>
      <c r="K343" s="3"/>
      <c r="L343" s="3"/>
      <c r="M343" s="3"/>
      <c r="N343" s="3"/>
      <c r="O343" s="3"/>
      <c r="P343" s="3"/>
      <c r="Q343" s="261"/>
      <c r="R343" s="261"/>
    </row>
    <row r="344" spans="1:18" x14ac:dyDescent="0.35">
      <c r="A344" s="3"/>
      <c r="B344" s="3"/>
      <c r="C344" s="3"/>
      <c r="D344" s="3"/>
      <c r="E344" s="3"/>
      <c r="F344" s="3"/>
      <c r="G344" s="3"/>
      <c r="H344" s="3"/>
      <c r="I344" s="3"/>
      <c r="J344" s="3"/>
      <c r="K344" s="3"/>
      <c r="L344" s="3"/>
      <c r="M344" s="3"/>
      <c r="N344" s="3"/>
      <c r="O344" s="3"/>
      <c r="P344" s="3"/>
      <c r="Q344" s="261"/>
      <c r="R344" s="261"/>
    </row>
    <row r="345" spans="1:18" x14ac:dyDescent="0.35">
      <c r="A345" s="3"/>
      <c r="B345" s="3"/>
      <c r="C345" s="3"/>
      <c r="D345" s="3"/>
      <c r="E345" s="3"/>
      <c r="F345" s="3"/>
      <c r="G345" s="3"/>
      <c r="H345" s="3"/>
      <c r="I345" s="3"/>
      <c r="J345" s="3"/>
      <c r="K345" s="3"/>
      <c r="L345" s="3"/>
      <c r="M345" s="3"/>
      <c r="N345" s="3"/>
      <c r="O345" s="3"/>
      <c r="P345" s="3"/>
      <c r="Q345" s="261"/>
      <c r="R345" s="261"/>
    </row>
    <row r="346" spans="1:18" x14ac:dyDescent="0.35">
      <c r="A346" s="3"/>
      <c r="B346" s="3"/>
      <c r="C346" s="3"/>
      <c r="D346" s="3"/>
      <c r="E346" s="3"/>
      <c r="F346" s="3"/>
      <c r="G346" s="3"/>
      <c r="H346" s="3"/>
      <c r="I346" s="3"/>
      <c r="J346" s="3"/>
      <c r="K346" s="3"/>
      <c r="L346" s="3"/>
      <c r="M346" s="3"/>
      <c r="N346" s="3"/>
      <c r="O346" s="3"/>
      <c r="P346" s="3"/>
      <c r="Q346" s="261"/>
      <c r="R346" s="261"/>
    </row>
    <row r="347" spans="1:18" x14ac:dyDescent="0.35">
      <c r="A347" s="3"/>
      <c r="B347" s="3"/>
      <c r="C347" s="3"/>
      <c r="D347" s="3"/>
      <c r="E347" s="3"/>
      <c r="F347" s="3"/>
      <c r="G347" s="3"/>
      <c r="H347" s="3"/>
      <c r="I347" s="3"/>
      <c r="J347" s="3"/>
      <c r="K347" s="3"/>
      <c r="L347" s="3"/>
      <c r="M347" s="3"/>
      <c r="N347" s="3"/>
      <c r="O347" s="3"/>
      <c r="P347" s="3"/>
      <c r="Q347" s="261"/>
      <c r="R347" s="261"/>
    </row>
    <row r="348" spans="1:18" x14ac:dyDescent="0.35">
      <c r="A348" s="3"/>
      <c r="B348" s="3"/>
      <c r="C348" s="3"/>
      <c r="D348" s="3"/>
      <c r="E348" s="3"/>
      <c r="F348" s="3"/>
      <c r="G348" s="3"/>
      <c r="H348" s="3"/>
      <c r="I348" s="3"/>
      <c r="J348" s="3"/>
      <c r="K348" s="3"/>
      <c r="L348" s="3"/>
      <c r="M348" s="3"/>
      <c r="N348" s="3"/>
      <c r="O348" s="3"/>
      <c r="P348" s="3"/>
      <c r="Q348" s="261"/>
      <c r="R348" s="261"/>
    </row>
    <row r="349" spans="1:18" x14ac:dyDescent="0.35">
      <c r="A349" s="3"/>
      <c r="B349" s="3"/>
      <c r="C349" s="3"/>
      <c r="D349" s="3"/>
      <c r="E349" s="3"/>
      <c r="F349" s="3"/>
      <c r="G349" s="3"/>
      <c r="H349" s="3"/>
      <c r="I349" s="3"/>
      <c r="J349" s="3"/>
      <c r="K349" s="3"/>
      <c r="L349" s="3"/>
      <c r="M349" s="3"/>
      <c r="N349" s="3"/>
      <c r="O349" s="3"/>
      <c r="P349" s="3"/>
      <c r="Q349" s="261"/>
      <c r="R349" s="261"/>
    </row>
    <row r="350" spans="1:18" x14ac:dyDescent="0.35">
      <c r="A350" s="3"/>
      <c r="B350" s="3"/>
      <c r="C350" s="3"/>
      <c r="D350" s="3"/>
      <c r="E350" s="3"/>
      <c r="F350" s="3"/>
      <c r="G350" s="3"/>
      <c r="H350" s="3"/>
      <c r="I350" s="3"/>
      <c r="J350" s="3"/>
      <c r="K350" s="3"/>
      <c r="L350" s="3"/>
      <c r="M350" s="3"/>
      <c r="N350" s="3"/>
      <c r="O350" s="3"/>
      <c r="P350" s="3"/>
      <c r="Q350" s="261"/>
      <c r="R350" s="261"/>
    </row>
    <row r="351" spans="1:18" x14ac:dyDescent="0.35">
      <c r="A351" s="3"/>
      <c r="B351" s="3"/>
      <c r="C351" s="3"/>
      <c r="D351" s="3"/>
      <c r="E351" s="3"/>
      <c r="F351" s="3"/>
      <c r="G351" s="3"/>
      <c r="H351" s="3"/>
      <c r="I351" s="3"/>
      <c r="J351" s="3"/>
      <c r="K351" s="3"/>
      <c r="L351" s="3"/>
      <c r="M351" s="3"/>
      <c r="N351" s="3"/>
      <c r="O351" s="3"/>
      <c r="P351" s="3"/>
      <c r="Q351" s="261"/>
      <c r="R351" s="261"/>
    </row>
    <row r="352" spans="1:18" x14ac:dyDescent="0.35">
      <c r="A352" s="3"/>
      <c r="B352" s="3"/>
      <c r="C352" s="3"/>
      <c r="D352" s="3"/>
      <c r="E352" s="3"/>
      <c r="F352" s="3"/>
      <c r="G352" s="3"/>
      <c r="H352" s="3"/>
      <c r="I352" s="3"/>
      <c r="J352" s="3"/>
      <c r="K352" s="3"/>
      <c r="L352" s="3"/>
      <c r="M352" s="3"/>
      <c r="N352" s="3"/>
      <c r="O352" s="3"/>
      <c r="P352" s="3"/>
      <c r="Q352" s="261"/>
      <c r="R352" s="261"/>
    </row>
    <row r="353" spans="1:18" x14ac:dyDescent="0.35">
      <c r="A353" s="3"/>
      <c r="B353" s="3"/>
      <c r="C353" s="3"/>
      <c r="D353" s="3"/>
      <c r="E353" s="3"/>
      <c r="F353" s="3"/>
      <c r="G353" s="3"/>
      <c r="H353" s="3"/>
      <c r="I353" s="3"/>
      <c r="J353" s="3"/>
      <c r="K353" s="3"/>
      <c r="L353" s="3"/>
      <c r="M353" s="3"/>
      <c r="N353" s="3"/>
      <c r="O353" s="3"/>
      <c r="P353" s="3"/>
      <c r="Q353" s="261"/>
      <c r="R353" s="261"/>
    </row>
    <row r="354" spans="1:18" x14ac:dyDescent="0.35">
      <c r="A354" s="3"/>
      <c r="B354" s="3"/>
      <c r="C354" s="3"/>
      <c r="D354" s="3"/>
      <c r="E354" s="3"/>
      <c r="F354" s="3"/>
      <c r="G354" s="3"/>
      <c r="H354" s="3"/>
      <c r="I354" s="3"/>
      <c r="J354" s="3"/>
      <c r="K354" s="3"/>
      <c r="L354" s="3"/>
      <c r="M354" s="3"/>
      <c r="N354" s="3"/>
      <c r="O354" s="3"/>
      <c r="P354" s="3"/>
      <c r="Q354" s="261"/>
      <c r="R354" s="261"/>
    </row>
    <row r="355" spans="1:18" x14ac:dyDescent="0.35">
      <c r="A355" s="3"/>
      <c r="B355" s="3"/>
      <c r="C355" s="3"/>
      <c r="D355" s="3"/>
      <c r="E355" s="3"/>
      <c r="F355" s="3"/>
      <c r="G355" s="3"/>
      <c r="H355" s="3"/>
      <c r="I355" s="3"/>
      <c r="J355" s="3"/>
      <c r="K355" s="3"/>
      <c r="L355" s="3"/>
      <c r="M355" s="3"/>
      <c r="N355" s="3"/>
      <c r="O355" s="3"/>
      <c r="P355" s="3"/>
      <c r="Q355" s="261"/>
      <c r="R355" s="261"/>
    </row>
    <row r="356" spans="1:18" x14ac:dyDescent="0.35">
      <c r="A356" s="3"/>
      <c r="B356" s="3"/>
      <c r="C356" s="3"/>
      <c r="D356" s="3"/>
      <c r="E356" s="3"/>
      <c r="F356" s="3"/>
      <c r="G356" s="3"/>
      <c r="H356" s="3"/>
      <c r="I356" s="3"/>
      <c r="J356" s="3"/>
      <c r="K356" s="3"/>
      <c r="L356" s="3"/>
      <c r="M356" s="3"/>
      <c r="N356" s="3"/>
      <c r="O356" s="3"/>
      <c r="P356" s="3"/>
      <c r="Q356" s="261"/>
      <c r="R356" s="261"/>
    </row>
    <row r="357" spans="1:18" x14ac:dyDescent="0.35">
      <c r="A357" s="3"/>
      <c r="B357" s="3"/>
      <c r="C357" s="3"/>
      <c r="D357" s="3"/>
      <c r="E357" s="3"/>
      <c r="F357" s="3"/>
      <c r="G357" s="3"/>
      <c r="H357" s="3"/>
      <c r="I357" s="3"/>
      <c r="J357" s="3"/>
      <c r="K357" s="3"/>
      <c r="L357" s="3"/>
      <c r="M357" s="3"/>
      <c r="N357" s="3"/>
      <c r="O357" s="3"/>
      <c r="P357" s="3"/>
      <c r="Q357" s="261"/>
      <c r="R357" s="261"/>
    </row>
    <row r="358" spans="1:18" x14ac:dyDescent="0.35">
      <c r="A358" s="3"/>
      <c r="B358" s="3"/>
      <c r="C358" s="3"/>
      <c r="D358" s="3"/>
      <c r="E358" s="3"/>
      <c r="F358" s="3"/>
      <c r="G358" s="3"/>
      <c r="H358" s="3"/>
      <c r="I358" s="3"/>
      <c r="J358" s="3"/>
      <c r="K358" s="3"/>
      <c r="L358" s="3"/>
      <c r="M358" s="3"/>
      <c r="N358" s="3"/>
      <c r="O358" s="3"/>
      <c r="P358" s="3"/>
      <c r="Q358" s="261"/>
      <c r="R358" s="261"/>
    </row>
    <row r="359" spans="1:18" x14ac:dyDescent="0.35">
      <c r="A359" s="3"/>
      <c r="B359" s="3"/>
      <c r="C359" s="3"/>
      <c r="D359" s="3"/>
      <c r="E359" s="3"/>
      <c r="F359" s="3"/>
      <c r="G359" s="3"/>
      <c r="H359" s="3"/>
      <c r="I359" s="3"/>
      <c r="J359" s="3"/>
      <c r="K359" s="3"/>
      <c r="L359" s="3"/>
      <c r="M359" s="3"/>
      <c r="N359" s="3"/>
      <c r="O359" s="3"/>
      <c r="P359" s="3"/>
      <c r="Q359" s="261"/>
      <c r="R359" s="261"/>
    </row>
    <row r="360" spans="1:18" x14ac:dyDescent="0.35">
      <c r="A360" s="3"/>
      <c r="B360" s="3"/>
      <c r="C360" s="3"/>
      <c r="D360" s="3"/>
      <c r="E360" s="3"/>
      <c r="F360" s="3"/>
      <c r="G360" s="3"/>
      <c r="H360" s="3"/>
      <c r="I360" s="3"/>
      <c r="J360" s="3"/>
      <c r="K360" s="3"/>
      <c r="L360" s="3"/>
      <c r="M360" s="3"/>
      <c r="N360" s="3"/>
      <c r="O360" s="3"/>
      <c r="P360" s="3"/>
      <c r="Q360" s="261"/>
      <c r="R360" s="261"/>
    </row>
    <row r="361" spans="1:18" x14ac:dyDescent="0.35">
      <c r="A361" s="3"/>
      <c r="B361" s="3"/>
      <c r="C361" s="3"/>
      <c r="D361" s="3"/>
      <c r="E361" s="3"/>
      <c r="F361" s="3"/>
      <c r="G361" s="3"/>
      <c r="H361" s="3"/>
      <c r="I361" s="3"/>
      <c r="J361" s="3"/>
      <c r="K361" s="3"/>
      <c r="L361" s="3"/>
      <c r="M361" s="3"/>
      <c r="N361" s="3"/>
      <c r="O361" s="3"/>
      <c r="P361" s="3"/>
      <c r="Q361" s="261"/>
      <c r="R361" s="261"/>
    </row>
    <row r="362" spans="1:18" x14ac:dyDescent="0.35">
      <c r="A362" s="3"/>
      <c r="B362" s="3"/>
      <c r="C362" s="3"/>
      <c r="D362" s="3"/>
      <c r="E362" s="3"/>
      <c r="F362" s="3"/>
      <c r="G362" s="3"/>
      <c r="H362" s="3"/>
      <c r="I362" s="3"/>
      <c r="J362" s="3"/>
      <c r="K362" s="3"/>
      <c r="L362" s="3"/>
      <c r="M362" s="3"/>
      <c r="N362" s="3"/>
      <c r="O362" s="3"/>
      <c r="P362" s="3"/>
      <c r="Q362" s="261"/>
      <c r="R362" s="261"/>
    </row>
    <row r="363" spans="1:18" x14ac:dyDescent="0.35">
      <c r="A363" s="3"/>
      <c r="B363" s="3"/>
      <c r="C363" s="3"/>
      <c r="D363" s="3"/>
      <c r="E363" s="3"/>
      <c r="F363" s="3"/>
      <c r="G363" s="3"/>
      <c r="H363" s="3"/>
      <c r="I363" s="3"/>
      <c r="J363" s="3"/>
      <c r="K363" s="3"/>
      <c r="L363" s="3"/>
      <c r="M363" s="3"/>
      <c r="N363" s="3"/>
      <c r="O363" s="3"/>
      <c r="P363" s="3"/>
      <c r="Q363" s="261"/>
      <c r="R363" s="261"/>
    </row>
    <row r="364" spans="1:18" x14ac:dyDescent="0.35">
      <c r="A364" s="3"/>
      <c r="B364" s="3"/>
      <c r="C364" s="3"/>
      <c r="D364" s="3"/>
      <c r="E364" s="3"/>
      <c r="F364" s="3"/>
      <c r="G364" s="3"/>
      <c r="H364" s="3"/>
      <c r="I364" s="3"/>
      <c r="J364" s="3"/>
      <c r="K364" s="3"/>
      <c r="L364" s="3"/>
      <c r="M364" s="3"/>
      <c r="N364" s="3"/>
      <c r="O364" s="3"/>
      <c r="P364" s="3"/>
      <c r="Q364" s="261"/>
      <c r="R364" s="261"/>
    </row>
    <row r="365" spans="1:18" x14ac:dyDescent="0.35">
      <c r="A365" s="3"/>
      <c r="B365" s="3"/>
      <c r="C365" s="3"/>
      <c r="D365" s="3"/>
      <c r="E365" s="3"/>
      <c r="F365" s="3"/>
      <c r="G365" s="3"/>
      <c r="H365" s="3"/>
      <c r="I365" s="3"/>
      <c r="J365" s="3"/>
      <c r="K365" s="3"/>
      <c r="L365" s="3"/>
      <c r="M365" s="3"/>
      <c r="N365" s="3"/>
      <c r="O365" s="3"/>
      <c r="P365" s="3"/>
      <c r="Q365" s="261"/>
      <c r="R365" s="261"/>
    </row>
    <row r="366" spans="1:18" x14ac:dyDescent="0.35">
      <c r="A366" s="3"/>
      <c r="B366" s="3"/>
      <c r="C366" s="3"/>
      <c r="D366" s="3"/>
      <c r="E366" s="3"/>
      <c r="F366" s="3"/>
      <c r="G366" s="3"/>
      <c r="H366" s="3"/>
      <c r="I366" s="3"/>
      <c r="J366" s="3"/>
      <c r="K366" s="3"/>
      <c r="L366" s="3"/>
      <c r="M366" s="3"/>
      <c r="N366" s="3"/>
      <c r="O366" s="3"/>
      <c r="P366" s="3"/>
      <c r="Q366" s="261"/>
      <c r="R366" s="261"/>
    </row>
    <row r="367" spans="1:18" x14ac:dyDescent="0.35">
      <c r="A367" s="3"/>
      <c r="B367" s="3"/>
      <c r="C367" s="3"/>
      <c r="D367" s="3"/>
      <c r="E367" s="3"/>
      <c r="F367" s="3"/>
      <c r="G367" s="3"/>
      <c r="H367" s="3"/>
      <c r="I367" s="3"/>
      <c r="J367" s="3"/>
      <c r="K367" s="3"/>
      <c r="L367" s="3"/>
      <c r="M367" s="3"/>
      <c r="N367" s="3"/>
      <c r="O367" s="3"/>
      <c r="P367" s="3"/>
      <c r="Q367" s="261"/>
      <c r="R367" s="261"/>
    </row>
    <row r="368" spans="1:18" x14ac:dyDescent="0.35">
      <c r="A368" s="3"/>
      <c r="B368" s="3"/>
      <c r="C368" s="3"/>
      <c r="D368" s="3"/>
      <c r="E368" s="3"/>
      <c r="F368" s="3"/>
      <c r="G368" s="3"/>
      <c r="H368" s="3"/>
      <c r="I368" s="3"/>
      <c r="J368" s="3"/>
      <c r="K368" s="3"/>
      <c r="L368" s="3"/>
      <c r="M368" s="3"/>
      <c r="N368" s="3"/>
      <c r="O368" s="3"/>
      <c r="P368" s="3"/>
      <c r="Q368" s="261"/>
      <c r="R368" s="261"/>
    </row>
    <row r="369" spans="1:18" x14ac:dyDescent="0.35">
      <c r="A369" s="3"/>
      <c r="B369" s="3"/>
      <c r="C369" s="3"/>
      <c r="D369" s="3"/>
      <c r="E369" s="3"/>
      <c r="F369" s="3"/>
      <c r="G369" s="3"/>
      <c r="H369" s="3"/>
      <c r="I369" s="3"/>
      <c r="J369" s="3"/>
      <c r="K369" s="3"/>
      <c r="L369" s="3"/>
      <c r="M369" s="3"/>
      <c r="N369" s="3"/>
      <c r="O369" s="3"/>
      <c r="P369" s="3"/>
      <c r="Q369" s="261"/>
      <c r="R369" s="261"/>
    </row>
    <row r="370" spans="1:18" x14ac:dyDescent="0.35">
      <c r="A370" s="3"/>
      <c r="B370" s="3"/>
      <c r="C370" s="3"/>
      <c r="D370" s="3"/>
      <c r="E370" s="3"/>
      <c r="F370" s="3"/>
      <c r="G370" s="3"/>
      <c r="H370" s="3"/>
      <c r="I370" s="3"/>
      <c r="J370" s="3"/>
      <c r="K370" s="3"/>
      <c r="L370" s="3"/>
      <c r="M370" s="3"/>
      <c r="N370" s="3"/>
      <c r="O370" s="3"/>
      <c r="P370" s="3"/>
      <c r="Q370" s="261"/>
      <c r="R370" s="261"/>
    </row>
    <row r="371" spans="1:18" x14ac:dyDescent="0.35">
      <c r="A371" s="3"/>
      <c r="B371" s="3"/>
      <c r="C371" s="3"/>
      <c r="D371" s="3"/>
      <c r="E371" s="3"/>
      <c r="F371" s="3"/>
      <c r="G371" s="3"/>
      <c r="H371" s="3"/>
      <c r="I371" s="3"/>
      <c r="J371" s="3"/>
      <c r="K371" s="3"/>
      <c r="L371" s="3"/>
      <c r="M371" s="3"/>
      <c r="N371" s="3"/>
      <c r="O371" s="3"/>
      <c r="P371" s="3"/>
      <c r="Q371" s="261"/>
      <c r="R371" s="261"/>
    </row>
    <row r="372" spans="1:18" x14ac:dyDescent="0.35">
      <c r="A372" s="3"/>
      <c r="B372" s="3"/>
      <c r="C372" s="3"/>
      <c r="D372" s="3"/>
      <c r="E372" s="3"/>
      <c r="F372" s="3"/>
      <c r="G372" s="3"/>
      <c r="H372" s="3"/>
      <c r="I372" s="3"/>
      <c r="J372" s="3"/>
      <c r="K372" s="3"/>
      <c r="L372" s="3"/>
      <c r="M372" s="3"/>
      <c r="N372" s="3"/>
      <c r="O372" s="3"/>
      <c r="P372" s="3"/>
      <c r="Q372" s="261"/>
      <c r="R372" s="261"/>
    </row>
    <row r="373" spans="1:18" x14ac:dyDescent="0.35">
      <c r="A373" s="3"/>
      <c r="B373" s="3"/>
      <c r="C373" s="3"/>
      <c r="D373" s="3"/>
      <c r="E373" s="3"/>
      <c r="F373" s="3"/>
      <c r="G373" s="3"/>
      <c r="H373" s="3"/>
      <c r="I373" s="3"/>
      <c r="J373" s="3"/>
      <c r="K373" s="3"/>
      <c r="L373" s="3"/>
      <c r="M373" s="3"/>
      <c r="N373" s="3"/>
      <c r="O373" s="3"/>
      <c r="P373" s="3"/>
      <c r="Q373" s="261"/>
      <c r="R373" s="261"/>
    </row>
    <row r="374" spans="1:18" x14ac:dyDescent="0.35">
      <c r="A374" s="3"/>
      <c r="B374" s="3"/>
      <c r="C374" s="3"/>
      <c r="D374" s="3"/>
      <c r="E374" s="3"/>
      <c r="F374" s="3"/>
      <c r="G374" s="3"/>
      <c r="H374" s="3"/>
      <c r="I374" s="3"/>
      <c r="J374" s="3"/>
      <c r="K374" s="3"/>
      <c r="L374" s="3"/>
      <c r="M374" s="3"/>
      <c r="N374" s="3"/>
      <c r="O374" s="3"/>
      <c r="P374" s="3"/>
      <c r="Q374" s="261"/>
      <c r="R374" s="261"/>
    </row>
    <row r="375" spans="1:18" x14ac:dyDescent="0.35">
      <c r="A375" s="3"/>
      <c r="B375" s="3"/>
      <c r="C375" s="3"/>
      <c r="D375" s="3"/>
      <c r="E375" s="3"/>
      <c r="F375" s="3"/>
      <c r="G375" s="3"/>
      <c r="H375" s="3"/>
      <c r="I375" s="3"/>
      <c r="J375" s="3"/>
      <c r="K375" s="3"/>
      <c r="L375" s="3"/>
      <c r="M375" s="3"/>
      <c r="N375" s="3"/>
      <c r="O375" s="3"/>
      <c r="P375" s="3"/>
      <c r="Q375" s="261"/>
      <c r="R375" s="261"/>
    </row>
    <row r="376" spans="1:18" x14ac:dyDescent="0.35">
      <c r="A376" s="3"/>
      <c r="B376" s="3"/>
      <c r="C376" s="3"/>
      <c r="D376" s="3"/>
      <c r="E376" s="3"/>
      <c r="F376" s="3"/>
      <c r="G376" s="3"/>
      <c r="H376" s="3"/>
      <c r="I376" s="3"/>
      <c r="J376" s="3"/>
      <c r="K376" s="3"/>
      <c r="L376" s="3"/>
      <c r="M376" s="3"/>
      <c r="N376" s="3"/>
      <c r="O376" s="3"/>
      <c r="P376" s="3"/>
      <c r="Q376" s="261"/>
      <c r="R376" s="261"/>
    </row>
    <row r="377" spans="1:18" x14ac:dyDescent="0.35">
      <c r="A377" s="3"/>
      <c r="B377" s="3"/>
      <c r="C377" s="3"/>
      <c r="D377" s="3"/>
      <c r="E377" s="3"/>
      <c r="F377" s="3"/>
      <c r="G377" s="3"/>
      <c r="H377" s="3"/>
      <c r="I377" s="3"/>
      <c r="J377" s="3"/>
      <c r="K377" s="3"/>
      <c r="L377" s="3"/>
      <c r="M377" s="3"/>
      <c r="N377" s="3"/>
      <c r="O377" s="3"/>
      <c r="P377" s="3"/>
      <c r="Q377" s="261"/>
      <c r="R377" s="261"/>
    </row>
    <row r="378" spans="1:18" x14ac:dyDescent="0.35">
      <c r="A378" s="3"/>
      <c r="B378" s="3"/>
      <c r="C378" s="3"/>
      <c r="D378" s="3"/>
      <c r="E378" s="3"/>
      <c r="F378" s="3"/>
      <c r="G378" s="3"/>
      <c r="H378" s="3"/>
      <c r="I378" s="3"/>
      <c r="J378" s="3"/>
      <c r="K378" s="3"/>
      <c r="L378" s="3"/>
      <c r="M378" s="3"/>
      <c r="N378" s="3"/>
      <c r="O378" s="3"/>
      <c r="P378" s="3"/>
      <c r="Q378" s="261"/>
      <c r="R378" s="261"/>
    </row>
    <row r="379" spans="1:18" x14ac:dyDescent="0.35">
      <c r="A379" s="3"/>
      <c r="B379" s="3"/>
      <c r="C379" s="3"/>
      <c r="D379" s="3"/>
      <c r="E379" s="3"/>
      <c r="F379" s="3"/>
      <c r="G379" s="3"/>
      <c r="H379" s="3"/>
      <c r="I379" s="3"/>
      <c r="J379" s="3"/>
      <c r="K379" s="3"/>
      <c r="L379" s="3"/>
      <c r="M379" s="3"/>
      <c r="N379" s="3"/>
      <c r="O379" s="3"/>
      <c r="P379" s="3"/>
      <c r="Q379" s="261"/>
      <c r="R379" s="261"/>
    </row>
    <row r="380" spans="1:18" x14ac:dyDescent="0.35">
      <c r="A380" s="3"/>
      <c r="B380" s="3"/>
      <c r="C380" s="3"/>
      <c r="D380" s="3"/>
      <c r="E380" s="3"/>
      <c r="F380" s="3"/>
      <c r="G380" s="3"/>
      <c r="H380" s="3"/>
      <c r="I380" s="3"/>
      <c r="J380" s="3"/>
      <c r="K380" s="3"/>
      <c r="L380" s="3"/>
      <c r="M380" s="3"/>
      <c r="N380" s="3"/>
      <c r="O380" s="3"/>
      <c r="P380" s="3"/>
      <c r="Q380" s="261"/>
      <c r="R380" s="261"/>
    </row>
    <row r="381" spans="1:18" x14ac:dyDescent="0.35">
      <c r="A381" s="3"/>
      <c r="B381" s="3"/>
      <c r="C381" s="3"/>
      <c r="D381" s="3"/>
      <c r="E381" s="3"/>
      <c r="F381" s="3"/>
      <c r="G381" s="3"/>
      <c r="H381" s="3"/>
      <c r="I381" s="3"/>
      <c r="J381" s="3"/>
      <c r="K381" s="3"/>
      <c r="L381" s="3"/>
      <c r="M381" s="3"/>
      <c r="N381" s="3"/>
      <c r="O381" s="3"/>
      <c r="P381" s="3"/>
      <c r="Q381" s="261"/>
      <c r="R381" s="261"/>
    </row>
    <row r="382" spans="1:18" x14ac:dyDescent="0.35">
      <c r="A382" s="3"/>
      <c r="B382" s="3"/>
      <c r="C382" s="3"/>
      <c r="D382" s="3"/>
      <c r="E382" s="3"/>
      <c r="F382" s="3"/>
      <c r="G382" s="3"/>
      <c r="H382" s="3"/>
      <c r="I382" s="3"/>
      <c r="J382" s="3"/>
      <c r="K382" s="3"/>
      <c r="L382" s="3"/>
      <c r="M382" s="3"/>
      <c r="N382" s="3"/>
      <c r="O382" s="3"/>
      <c r="P382" s="3"/>
      <c r="Q382" s="261"/>
      <c r="R382" s="261"/>
    </row>
    <row r="383" spans="1:18" x14ac:dyDescent="0.35">
      <c r="A383" s="3"/>
      <c r="B383" s="3"/>
      <c r="C383" s="3"/>
      <c r="D383" s="3"/>
      <c r="E383" s="3"/>
      <c r="F383" s="3"/>
      <c r="G383" s="3"/>
      <c r="H383" s="3"/>
      <c r="I383" s="3"/>
      <c r="J383" s="3"/>
      <c r="K383" s="3"/>
      <c r="L383" s="3"/>
      <c r="M383" s="3"/>
      <c r="N383" s="3"/>
      <c r="O383" s="3"/>
      <c r="P383" s="3"/>
      <c r="Q383" s="261"/>
      <c r="R383" s="261"/>
    </row>
    <row r="384" spans="1:18" x14ac:dyDescent="0.35">
      <c r="A384" s="3"/>
      <c r="B384" s="3"/>
      <c r="C384" s="3"/>
      <c r="D384" s="3"/>
      <c r="E384" s="3"/>
      <c r="F384" s="3"/>
      <c r="G384" s="3"/>
      <c r="H384" s="3"/>
      <c r="I384" s="3"/>
      <c r="J384" s="3"/>
      <c r="K384" s="3"/>
      <c r="L384" s="3"/>
      <c r="M384" s="3"/>
      <c r="N384" s="3"/>
      <c r="O384" s="3"/>
      <c r="P384" s="3"/>
      <c r="Q384" s="261"/>
      <c r="R384" s="261"/>
    </row>
    <row r="385" spans="1:18" x14ac:dyDescent="0.35">
      <c r="A385" s="3"/>
      <c r="B385" s="3"/>
      <c r="C385" s="3"/>
      <c r="D385" s="3"/>
      <c r="E385" s="3"/>
      <c r="F385" s="3"/>
      <c r="G385" s="3"/>
      <c r="H385" s="3"/>
      <c r="I385" s="3"/>
      <c r="J385" s="3"/>
      <c r="K385" s="3"/>
      <c r="L385" s="3"/>
      <c r="M385" s="3"/>
      <c r="N385" s="3"/>
      <c r="O385" s="3"/>
      <c r="P385" s="3"/>
      <c r="Q385" s="261"/>
      <c r="R385" s="261"/>
    </row>
    <row r="386" spans="1:18" x14ac:dyDescent="0.35">
      <c r="A386" s="3"/>
      <c r="B386" s="3"/>
      <c r="C386" s="3"/>
      <c r="D386" s="3"/>
      <c r="E386" s="3"/>
      <c r="F386" s="3"/>
      <c r="G386" s="3"/>
      <c r="H386" s="3"/>
      <c r="I386" s="3"/>
      <c r="J386" s="3"/>
      <c r="K386" s="3"/>
      <c r="L386" s="3"/>
      <c r="M386" s="3"/>
      <c r="N386" s="3"/>
      <c r="O386" s="3"/>
      <c r="P386" s="3"/>
      <c r="Q386" s="261"/>
      <c r="R386" s="261"/>
    </row>
    <row r="387" spans="1:18" x14ac:dyDescent="0.35">
      <c r="A387" s="3"/>
      <c r="B387" s="3"/>
      <c r="C387" s="3"/>
      <c r="D387" s="3"/>
      <c r="E387" s="3"/>
      <c r="F387" s="3"/>
      <c r="G387" s="3"/>
      <c r="H387" s="3"/>
      <c r="I387" s="3"/>
      <c r="J387" s="3"/>
      <c r="K387" s="3"/>
      <c r="L387" s="3"/>
      <c r="M387" s="3"/>
      <c r="N387" s="3"/>
      <c r="O387" s="3"/>
      <c r="P387" s="3"/>
      <c r="Q387" s="261"/>
      <c r="R387" s="261"/>
    </row>
    <row r="388" spans="1:18" x14ac:dyDescent="0.35">
      <c r="A388" s="3"/>
      <c r="B388" s="3"/>
      <c r="C388" s="3"/>
      <c r="D388" s="3"/>
      <c r="E388" s="3"/>
      <c r="F388" s="3"/>
      <c r="G388" s="3"/>
      <c r="H388" s="3"/>
      <c r="I388" s="3"/>
      <c r="J388" s="3"/>
      <c r="K388" s="3"/>
      <c r="L388" s="3"/>
      <c r="M388" s="3"/>
      <c r="N388" s="3"/>
      <c r="O388" s="3"/>
      <c r="P388" s="3"/>
      <c r="Q388" s="261"/>
      <c r="R388" s="261"/>
    </row>
    <row r="389" spans="1:18" x14ac:dyDescent="0.35">
      <c r="A389" s="3"/>
      <c r="B389" s="3"/>
      <c r="C389" s="3"/>
      <c r="D389" s="3"/>
      <c r="E389" s="3"/>
      <c r="F389" s="3"/>
      <c r="G389" s="3"/>
      <c r="H389" s="3"/>
      <c r="I389" s="3"/>
      <c r="J389" s="3"/>
      <c r="K389" s="3"/>
      <c r="L389" s="3"/>
      <c r="M389" s="3"/>
      <c r="N389" s="3"/>
      <c r="O389" s="3"/>
      <c r="P389" s="3"/>
      <c r="Q389" s="261"/>
      <c r="R389" s="261"/>
    </row>
    <row r="390" spans="1:18" x14ac:dyDescent="0.35">
      <c r="A390" s="3"/>
      <c r="B390" s="3"/>
      <c r="C390" s="3"/>
      <c r="D390" s="3"/>
      <c r="E390" s="3"/>
      <c r="F390" s="3"/>
      <c r="G390" s="3"/>
      <c r="H390" s="3"/>
      <c r="I390" s="3"/>
      <c r="J390" s="3"/>
      <c r="K390" s="3"/>
      <c r="L390" s="3"/>
      <c r="M390" s="3"/>
      <c r="N390" s="3"/>
      <c r="O390" s="3"/>
      <c r="P390" s="3"/>
      <c r="Q390" s="261"/>
      <c r="R390" s="261"/>
    </row>
    <row r="391" spans="1:18" x14ac:dyDescent="0.35">
      <c r="A391" s="3"/>
      <c r="B391" s="3"/>
      <c r="C391" s="3"/>
      <c r="D391" s="3"/>
      <c r="E391" s="3"/>
      <c r="F391" s="3"/>
      <c r="G391" s="3"/>
      <c r="H391" s="3"/>
      <c r="I391" s="3"/>
      <c r="J391" s="3"/>
      <c r="K391" s="3"/>
      <c r="L391" s="3"/>
      <c r="M391" s="3"/>
      <c r="N391" s="3"/>
      <c r="O391" s="3"/>
      <c r="P391" s="3"/>
      <c r="Q391" s="261"/>
      <c r="R391" s="261"/>
    </row>
    <row r="392" spans="1:18" x14ac:dyDescent="0.35">
      <c r="A392" s="3"/>
      <c r="B392" s="3"/>
      <c r="C392" s="3"/>
      <c r="D392" s="3"/>
      <c r="E392" s="3"/>
      <c r="F392" s="3"/>
      <c r="G392" s="3"/>
      <c r="H392" s="3"/>
      <c r="I392" s="3"/>
      <c r="J392" s="3"/>
      <c r="K392" s="3"/>
      <c r="L392" s="3"/>
      <c r="M392" s="3"/>
      <c r="N392" s="3"/>
      <c r="O392" s="3"/>
      <c r="P392" s="3"/>
      <c r="Q392" s="261"/>
      <c r="R392" s="261"/>
    </row>
    <row r="393" spans="1:18" x14ac:dyDescent="0.35">
      <c r="A393" s="3"/>
      <c r="B393" s="3"/>
      <c r="C393" s="3"/>
      <c r="D393" s="3"/>
      <c r="E393" s="3"/>
      <c r="F393" s="3"/>
      <c r="G393" s="3"/>
      <c r="H393" s="3"/>
      <c r="I393" s="3"/>
      <c r="J393" s="3"/>
      <c r="K393" s="3"/>
      <c r="L393" s="3"/>
      <c r="M393" s="3"/>
      <c r="N393" s="3"/>
      <c r="O393" s="3"/>
      <c r="P393" s="3"/>
      <c r="Q393" s="261"/>
      <c r="R393" s="261"/>
    </row>
    <row r="394" spans="1:18" x14ac:dyDescent="0.35">
      <c r="A394" s="3"/>
      <c r="B394" s="3"/>
      <c r="C394" s="3"/>
      <c r="D394" s="3"/>
      <c r="E394" s="3"/>
      <c r="F394" s="3"/>
      <c r="G394" s="3"/>
      <c r="H394" s="3"/>
      <c r="I394" s="3"/>
      <c r="J394" s="3"/>
      <c r="K394" s="3"/>
      <c r="L394" s="3"/>
      <c r="M394" s="3"/>
      <c r="N394" s="3"/>
      <c r="O394" s="3"/>
      <c r="P394" s="3"/>
      <c r="Q394" s="261"/>
      <c r="R394" s="261"/>
    </row>
    <row r="395" spans="1:18" x14ac:dyDescent="0.35">
      <c r="A395" s="3"/>
      <c r="B395" s="3"/>
      <c r="C395" s="3"/>
      <c r="D395" s="3"/>
      <c r="E395" s="3"/>
      <c r="F395" s="3"/>
      <c r="G395" s="3"/>
      <c r="H395" s="3"/>
      <c r="I395" s="3"/>
      <c r="J395" s="3"/>
      <c r="K395" s="3"/>
      <c r="L395" s="3"/>
      <c r="M395" s="3"/>
      <c r="N395" s="3"/>
      <c r="O395" s="3"/>
      <c r="P395" s="3"/>
      <c r="Q395" s="261"/>
      <c r="R395" s="261"/>
    </row>
    <row r="396" spans="1:18" x14ac:dyDescent="0.35">
      <c r="A396" s="3"/>
      <c r="B396" s="3"/>
      <c r="C396" s="3"/>
      <c r="D396" s="3"/>
      <c r="E396" s="3"/>
      <c r="F396" s="3"/>
      <c r="G396" s="3"/>
      <c r="H396" s="3"/>
      <c r="I396" s="3"/>
      <c r="J396" s="3"/>
      <c r="K396" s="3"/>
      <c r="L396" s="3"/>
      <c r="M396" s="3"/>
      <c r="N396" s="3"/>
      <c r="O396" s="3"/>
      <c r="P396" s="3"/>
      <c r="Q396" s="261"/>
      <c r="R396" s="261"/>
    </row>
    <row r="397" spans="1:18" x14ac:dyDescent="0.35">
      <c r="A397" s="3"/>
      <c r="B397" s="3"/>
      <c r="C397" s="3"/>
      <c r="D397" s="3"/>
      <c r="E397" s="3"/>
      <c r="F397" s="3"/>
      <c r="G397" s="3"/>
      <c r="H397" s="3"/>
      <c r="I397" s="3"/>
      <c r="J397" s="3"/>
      <c r="K397" s="3"/>
      <c r="L397" s="3"/>
      <c r="M397" s="3"/>
      <c r="N397" s="3"/>
      <c r="O397" s="3"/>
      <c r="P397" s="3"/>
      <c r="Q397" s="261"/>
      <c r="R397" s="261"/>
    </row>
    <row r="398" spans="1:18" x14ac:dyDescent="0.35">
      <c r="A398" s="3"/>
      <c r="B398" s="3"/>
      <c r="C398" s="3"/>
      <c r="D398" s="3"/>
      <c r="E398" s="3"/>
      <c r="F398" s="3"/>
      <c r="G398" s="3"/>
      <c r="H398" s="3"/>
      <c r="I398" s="3"/>
      <c r="J398" s="3"/>
      <c r="K398" s="3"/>
      <c r="L398" s="3"/>
      <c r="M398" s="3"/>
      <c r="N398" s="3"/>
      <c r="O398" s="3"/>
      <c r="P398" s="3"/>
      <c r="Q398" s="261"/>
      <c r="R398" s="261"/>
    </row>
    <row r="399" spans="1:18" x14ac:dyDescent="0.35">
      <c r="A399" s="3"/>
      <c r="B399" s="3"/>
      <c r="C399" s="3"/>
      <c r="D399" s="3"/>
      <c r="E399" s="3"/>
      <c r="F399" s="3"/>
      <c r="G399" s="3"/>
      <c r="H399" s="3"/>
      <c r="I399" s="3"/>
      <c r="J399" s="3"/>
      <c r="K399" s="3"/>
      <c r="L399" s="3"/>
      <c r="M399" s="3"/>
      <c r="N399" s="3"/>
      <c r="O399" s="3"/>
      <c r="P399" s="3"/>
      <c r="Q399" s="261"/>
      <c r="R399" s="261"/>
    </row>
    <row r="400" spans="1:18" x14ac:dyDescent="0.35">
      <c r="A400" s="3"/>
      <c r="B400" s="3"/>
      <c r="C400" s="3"/>
      <c r="D400" s="3"/>
      <c r="E400" s="3"/>
      <c r="F400" s="3"/>
      <c r="G400" s="3"/>
      <c r="H400" s="3"/>
      <c r="I400" s="3"/>
      <c r="J400" s="3"/>
      <c r="K400" s="3"/>
      <c r="L400" s="3"/>
      <c r="M400" s="3"/>
      <c r="N400" s="3"/>
      <c r="O400" s="3"/>
      <c r="P400" s="3"/>
      <c r="Q400" s="261"/>
      <c r="R400" s="261"/>
    </row>
    <row r="401" spans="1:18" x14ac:dyDescent="0.35">
      <c r="A401" s="3"/>
      <c r="B401" s="3"/>
      <c r="C401" s="3"/>
      <c r="D401" s="3"/>
      <c r="E401" s="3"/>
      <c r="F401" s="3"/>
      <c r="G401" s="3"/>
      <c r="H401" s="3"/>
      <c r="I401" s="3"/>
      <c r="J401" s="3"/>
      <c r="K401" s="3"/>
      <c r="L401" s="3"/>
      <c r="M401" s="3"/>
      <c r="N401" s="3"/>
      <c r="O401" s="3"/>
      <c r="P401" s="3"/>
      <c r="Q401" s="261"/>
      <c r="R401" s="261"/>
    </row>
    <row r="402" spans="1:18" x14ac:dyDescent="0.35">
      <c r="A402" s="3"/>
      <c r="B402" s="3"/>
      <c r="C402" s="3"/>
      <c r="D402" s="3"/>
      <c r="E402" s="3"/>
      <c r="F402" s="3"/>
      <c r="G402" s="3"/>
      <c r="H402" s="3"/>
      <c r="I402" s="3"/>
      <c r="J402" s="3"/>
      <c r="K402" s="3"/>
      <c r="L402" s="3"/>
      <c r="M402" s="3"/>
      <c r="N402" s="3"/>
      <c r="O402" s="3"/>
      <c r="P402" s="3"/>
      <c r="Q402" s="261"/>
      <c r="R402" s="261"/>
    </row>
    <row r="403" spans="1:18" x14ac:dyDescent="0.35">
      <c r="A403" s="3"/>
      <c r="B403" s="3"/>
      <c r="C403" s="3"/>
      <c r="D403" s="3"/>
      <c r="E403" s="3"/>
      <c r="F403" s="3"/>
      <c r="G403" s="3"/>
      <c r="H403" s="3"/>
      <c r="I403" s="3"/>
      <c r="J403" s="3"/>
      <c r="K403" s="3"/>
      <c r="L403" s="3"/>
      <c r="M403" s="3"/>
      <c r="N403" s="3"/>
      <c r="O403" s="3"/>
      <c r="P403" s="3"/>
      <c r="Q403" s="261"/>
      <c r="R403" s="261"/>
    </row>
    <row r="404" spans="1:18" x14ac:dyDescent="0.35">
      <c r="A404" s="3"/>
      <c r="B404" s="3"/>
      <c r="C404" s="3"/>
      <c r="D404" s="3"/>
      <c r="E404" s="3"/>
      <c r="F404" s="3"/>
      <c r="G404" s="3"/>
      <c r="H404" s="3"/>
      <c r="I404" s="3"/>
      <c r="J404" s="3"/>
      <c r="K404" s="3"/>
      <c r="L404" s="3"/>
      <c r="M404" s="3"/>
      <c r="N404" s="3"/>
      <c r="O404" s="3"/>
      <c r="P404" s="3"/>
      <c r="Q404" s="261"/>
      <c r="R404" s="261"/>
    </row>
    <row r="405" spans="1:18" x14ac:dyDescent="0.35">
      <c r="A405" s="3"/>
      <c r="B405" s="3"/>
      <c r="C405" s="3"/>
      <c r="D405" s="3"/>
      <c r="E405" s="3"/>
      <c r="F405" s="3"/>
      <c r="G405" s="3"/>
      <c r="H405" s="3"/>
      <c r="I405" s="3"/>
      <c r="J405" s="3"/>
      <c r="K405" s="3"/>
      <c r="L405" s="3"/>
      <c r="M405" s="3"/>
      <c r="N405" s="3"/>
      <c r="O405" s="3"/>
      <c r="P405" s="3"/>
      <c r="Q405" s="261"/>
      <c r="R405" s="261"/>
    </row>
    <row r="406" spans="1:18" x14ac:dyDescent="0.35">
      <c r="A406" s="3"/>
      <c r="B406" s="3"/>
      <c r="C406" s="3"/>
      <c r="D406" s="3"/>
      <c r="E406" s="3"/>
      <c r="F406" s="3"/>
      <c r="G406" s="3"/>
      <c r="H406" s="3"/>
      <c r="I406" s="3"/>
      <c r="J406" s="3"/>
      <c r="K406" s="3"/>
      <c r="L406" s="3"/>
      <c r="M406" s="3"/>
      <c r="N406" s="3"/>
      <c r="O406" s="3"/>
      <c r="P406" s="3"/>
      <c r="Q406" s="261"/>
      <c r="R406" s="261"/>
    </row>
    <row r="407" spans="1:18" x14ac:dyDescent="0.35">
      <c r="A407" s="3"/>
      <c r="B407" s="3"/>
      <c r="C407" s="3"/>
      <c r="D407" s="3"/>
      <c r="E407" s="3"/>
      <c r="F407" s="3"/>
      <c r="G407" s="3"/>
      <c r="H407" s="3"/>
      <c r="I407" s="3"/>
      <c r="J407" s="3"/>
      <c r="K407" s="3"/>
      <c r="L407" s="3"/>
      <c r="M407" s="3"/>
      <c r="N407" s="3"/>
      <c r="O407" s="3"/>
      <c r="P407" s="3"/>
      <c r="Q407" s="261"/>
      <c r="R407" s="261"/>
    </row>
    <row r="408" spans="1:18" x14ac:dyDescent="0.35">
      <c r="A408" s="3"/>
      <c r="B408" s="3"/>
      <c r="C408" s="3"/>
      <c r="D408" s="3"/>
      <c r="E408" s="3"/>
      <c r="F408" s="3"/>
      <c r="G408" s="3"/>
      <c r="H408" s="3"/>
      <c r="I408" s="3"/>
      <c r="J408" s="3"/>
      <c r="K408" s="3"/>
      <c r="L408" s="3"/>
      <c r="M408" s="3"/>
      <c r="N408" s="3"/>
      <c r="O408" s="3"/>
      <c r="P408" s="3"/>
      <c r="Q408" s="261"/>
      <c r="R408" s="261"/>
    </row>
    <row r="409" spans="1:18" x14ac:dyDescent="0.35">
      <c r="A409" s="3"/>
      <c r="B409" s="3"/>
      <c r="C409" s="3"/>
      <c r="D409" s="3"/>
      <c r="E409" s="3"/>
      <c r="F409" s="3"/>
      <c r="G409" s="3"/>
      <c r="H409" s="3"/>
      <c r="I409" s="3"/>
      <c r="J409" s="3"/>
      <c r="K409" s="3"/>
      <c r="L409" s="3"/>
      <c r="M409" s="3"/>
      <c r="N409" s="3"/>
      <c r="O409" s="3"/>
      <c r="P409" s="3"/>
      <c r="Q409" s="261"/>
      <c r="R409" s="261"/>
    </row>
    <row r="410" spans="1:18" x14ac:dyDescent="0.35">
      <c r="A410" s="3"/>
      <c r="B410" s="3"/>
      <c r="C410" s="3"/>
      <c r="D410" s="3"/>
      <c r="E410" s="3"/>
      <c r="F410" s="3"/>
      <c r="G410" s="3"/>
      <c r="H410" s="3"/>
      <c r="I410" s="3"/>
      <c r="J410" s="3"/>
      <c r="K410" s="3"/>
      <c r="L410" s="3"/>
      <c r="M410" s="3"/>
      <c r="N410" s="3"/>
      <c r="O410" s="3"/>
      <c r="P410" s="3"/>
      <c r="Q410" s="261"/>
      <c r="R410" s="261"/>
    </row>
    <row r="411" spans="1:18" x14ac:dyDescent="0.35">
      <c r="A411" s="3"/>
      <c r="B411" s="3"/>
      <c r="C411" s="3"/>
      <c r="D411" s="3"/>
      <c r="E411" s="3"/>
      <c r="F411" s="3"/>
      <c r="G411" s="3"/>
      <c r="H411" s="3"/>
      <c r="I411" s="3"/>
      <c r="J411" s="3"/>
      <c r="K411" s="3"/>
      <c r="L411" s="3"/>
      <c r="M411" s="3"/>
      <c r="N411" s="3"/>
      <c r="O411" s="3"/>
      <c r="P411" s="3"/>
      <c r="Q411" s="261"/>
      <c r="R411" s="261"/>
    </row>
    <row r="412" spans="1:18" x14ac:dyDescent="0.35">
      <c r="A412" s="3"/>
      <c r="B412" s="3"/>
      <c r="C412" s="3"/>
      <c r="D412" s="3"/>
      <c r="E412" s="3"/>
      <c r="F412" s="3"/>
      <c r="G412" s="3"/>
      <c r="H412" s="3"/>
      <c r="I412" s="3"/>
      <c r="J412" s="3"/>
      <c r="K412" s="3"/>
      <c r="L412" s="3"/>
      <c r="M412" s="3"/>
      <c r="N412" s="3"/>
      <c r="O412" s="3"/>
      <c r="P412" s="3"/>
      <c r="Q412" s="261"/>
      <c r="R412" s="261"/>
    </row>
    <row r="413" spans="1:18" x14ac:dyDescent="0.35">
      <c r="A413" s="3"/>
      <c r="B413" s="3"/>
      <c r="C413" s="3"/>
      <c r="D413" s="3"/>
      <c r="E413" s="3"/>
      <c r="F413" s="3"/>
      <c r="G413" s="3"/>
      <c r="H413" s="3"/>
      <c r="I413" s="3"/>
      <c r="J413" s="3"/>
      <c r="K413" s="3"/>
      <c r="L413" s="3"/>
      <c r="M413" s="3"/>
      <c r="N413" s="3"/>
      <c r="O413" s="3"/>
      <c r="P413" s="3"/>
      <c r="Q413" s="261"/>
      <c r="R413" s="261"/>
    </row>
    <row r="414" spans="1:18" x14ac:dyDescent="0.35">
      <c r="A414" s="3"/>
      <c r="B414" s="3"/>
      <c r="C414" s="3"/>
      <c r="D414" s="3"/>
      <c r="E414" s="3"/>
      <c r="F414" s="3"/>
      <c r="G414" s="3"/>
      <c r="H414" s="3"/>
      <c r="I414" s="3"/>
      <c r="J414" s="3"/>
      <c r="K414" s="3"/>
      <c r="L414" s="3"/>
      <c r="M414" s="3"/>
      <c r="N414" s="3"/>
      <c r="O414" s="3"/>
      <c r="P414" s="3"/>
      <c r="Q414" s="261"/>
      <c r="R414" s="261"/>
    </row>
    <row r="415" spans="1:18" x14ac:dyDescent="0.35">
      <c r="A415" s="3"/>
      <c r="B415" s="3"/>
      <c r="C415" s="3"/>
      <c r="D415" s="3"/>
      <c r="E415" s="3"/>
      <c r="F415" s="3"/>
      <c r="G415" s="3"/>
      <c r="H415" s="3"/>
      <c r="I415" s="3"/>
      <c r="J415" s="3"/>
      <c r="K415" s="3"/>
      <c r="L415" s="3"/>
      <c r="M415" s="3"/>
      <c r="N415" s="3"/>
      <c r="O415" s="3"/>
      <c r="P415" s="3"/>
      <c r="Q415" s="261"/>
      <c r="R415" s="261"/>
    </row>
    <row r="416" spans="1:18" x14ac:dyDescent="0.35">
      <c r="A416" s="3"/>
      <c r="B416" s="3"/>
      <c r="C416" s="3"/>
      <c r="D416" s="3"/>
      <c r="E416" s="3"/>
      <c r="F416" s="3"/>
      <c r="G416" s="3"/>
      <c r="H416" s="3"/>
      <c r="I416" s="3"/>
      <c r="J416" s="3"/>
      <c r="K416" s="3"/>
      <c r="L416" s="3"/>
      <c r="M416" s="3"/>
      <c r="N416" s="3"/>
      <c r="O416" s="3"/>
      <c r="P416" s="3"/>
      <c r="Q416" s="261"/>
      <c r="R416" s="261"/>
    </row>
    <row r="417" spans="1:18" x14ac:dyDescent="0.35">
      <c r="A417" s="3"/>
      <c r="B417" s="3"/>
      <c r="C417" s="3"/>
      <c r="D417" s="3"/>
      <c r="E417" s="3"/>
      <c r="F417" s="3"/>
      <c r="G417" s="3"/>
      <c r="H417" s="3"/>
      <c r="I417" s="3"/>
      <c r="J417" s="3"/>
      <c r="K417" s="3"/>
      <c r="L417" s="3"/>
      <c r="M417" s="3"/>
      <c r="N417" s="3"/>
      <c r="O417" s="3"/>
      <c r="P417" s="3"/>
      <c r="Q417" s="261"/>
      <c r="R417" s="261"/>
    </row>
    <row r="418" spans="1:18" x14ac:dyDescent="0.35">
      <c r="A418" s="3"/>
      <c r="B418" s="3"/>
      <c r="C418" s="3"/>
      <c r="D418" s="3"/>
      <c r="E418" s="3"/>
      <c r="F418" s="3"/>
      <c r="G418" s="3"/>
      <c r="H418" s="3"/>
      <c r="I418" s="3"/>
      <c r="J418" s="3"/>
      <c r="K418" s="3"/>
      <c r="L418" s="3"/>
      <c r="M418" s="3"/>
      <c r="N418" s="3"/>
      <c r="O418" s="3"/>
      <c r="P418" s="3"/>
      <c r="Q418" s="261"/>
      <c r="R418" s="261"/>
    </row>
    <row r="419" spans="1:18" x14ac:dyDescent="0.35">
      <c r="A419" s="3"/>
      <c r="B419" s="3"/>
      <c r="C419" s="3"/>
      <c r="D419" s="3"/>
      <c r="E419" s="3"/>
      <c r="F419" s="3"/>
      <c r="G419" s="3"/>
      <c r="H419" s="3"/>
      <c r="I419" s="3"/>
      <c r="J419" s="3"/>
      <c r="K419" s="3"/>
      <c r="L419" s="3"/>
      <c r="M419" s="3"/>
      <c r="N419" s="3"/>
      <c r="O419" s="3"/>
      <c r="P419" s="3"/>
      <c r="Q419" s="261"/>
      <c r="R419" s="261"/>
    </row>
    <row r="420" spans="1:18" x14ac:dyDescent="0.35">
      <c r="A420" s="3"/>
      <c r="B420" s="3"/>
      <c r="C420" s="3"/>
      <c r="D420" s="3"/>
      <c r="E420" s="3"/>
      <c r="F420" s="3"/>
      <c r="G420" s="3"/>
      <c r="H420" s="3"/>
      <c r="I420" s="3"/>
      <c r="J420" s="3"/>
      <c r="K420" s="3"/>
      <c r="L420" s="3"/>
      <c r="M420" s="3"/>
      <c r="N420" s="3"/>
      <c r="O420" s="3"/>
      <c r="P420" s="3"/>
      <c r="Q420" s="261"/>
      <c r="R420" s="261"/>
    </row>
    <row r="421" spans="1:18" x14ac:dyDescent="0.35">
      <c r="A421" s="3"/>
      <c r="B421" s="3"/>
      <c r="C421" s="3"/>
      <c r="D421" s="3"/>
      <c r="E421" s="3"/>
      <c r="F421" s="3"/>
      <c r="G421" s="3"/>
      <c r="H421" s="3"/>
      <c r="I421" s="3"/>
      <c r="J421" s="3"/>
      <c r="K421" s="3"/>
      <c r="L421" s="3"/>
      <c r="M421" s="3"/>
      <c r="N421" s="3"/>
      <c r="O421" s="3"/>
      <c r="P421" s="3"/>
      <c r="Q421" s="261"/>
      <c r="R421" s="261"/>
    </row>
    <row r="422" spans="1:18" x14ac:dyDescent="0.35">
      <c r="A422" s="3"/>
      <c r="B422" s="3"/>
      <c r="C422" s="3"/>
      <c r="D422" s="3"/>
      <c r="E422" s="3"/>
      <c r="F422" s="3"/>
      <c r="G422" s="3"/>
      <c r="H422" s="3"/>
      <c r="I422" s="3"/>
      <c r="J422" s="3"/>
      <c r="K422" s="3"/>
      <c r="L422" s="3"/>
      <c r="M422" s="3"/>
      <c r="N422" s="3"/>
      <c r="O422" s="3"/>
      <c r="P422" s="3"/>
      <c r="Q422" s="261"/>
      <c r="R422" s="261"/>
    </row>
    <row r="423" spans="1:18" x14ac:dyDescent="0.35">
      <c r="A423" s="3"/>
      <c r="B423" s="3"/>
      <c r="C423" s="3"/>
      <c r="D423" s="3"/>
      <c r="E423" s="3"/>
      <c r="F423" s="3"/>
      <c r="G423" s="3"/>
      <c r="H423" s="3"/>
      <c r="I423" s="3"/>
      <c r="J423" s="3"/>
      <c r="K423" s="3"/>
      <c r="L423" s="3"/>
      <c r="M423" s="3"/>
      <c r="N423" s="3"/>
      <c r="O423" s="3"/>
      <c r="P423" s="3"/>
      <c r="Q423" s="261"/>
      <c r="R423" s="261"/>
    </row>
    <row r="424" spans="1:18" x14ac:dyDescent="0.35">
      <c r="A424" s="3"/>
      <c r="B424" s="3"/>
      <c r="C424" s="3"/>
      <c r="D424" s="3"/>
      <c r="E424" s="3"/>
      <c r="F424" s="3"/>
      <c r="G424" s="3"/>
      <c r="H424" s="3"/>
      <c r="I424" s="3"/>
      <c r="J424" s="3"/>
      <c r="K424" s="3"/>
      <c r="L424" s="3"/>
      <c r="M424" s="3"/>
      <c r="N424" s="3"/>
      <c r="O424" s="3"/>
      <c r="P424" s="3"/>
      <c r="Q424" s="261"/>
      <c r="R424" s="261"/>
    </row>
    <row r="425" spans="1:18" x14ac:dyDescent="0.35">
      <c r="A425" s="3"/>
      <c r="B425" s="3"/>
      <c r="C425" s="3"/>
      <c r="D425" s="3"/>
      <c r="E425" s="3"/>
      <c r="F425" s="3"/>
      <c r="G425" s="3"/>
      <c r="H425" s="3"/>
      <c r="I425" s="3"/>
      <c r="J425" s="3"/>
      <c r="K425" s="3"/>
      <c r="L425" s="3"/>
      <c r="M425" s="3"/>
      <c r="N425" s="3"/>
      <c r="O425" s="3"/>
      <c r="P425" s="3"/>
      <c r="Q425" s="261"/>
      <c r="R425" s="261"/>
    </row>
    <row r="426" spans="1:18" x14ac:dyDescent="0.35">
      <c r="A426" s="3"/>
      <c r="B426" s="3"/>
      <c r="C426" s="3"/>
      <c r="D426" s="3"/>
      <c r="E426" s="3"/>
      <c r="F426" s="3"/>
      <c r="G426" s="3"/>
      <c r="H426" s="3"/>
      <c r="I426" s="3"/>
      <c r="J426" s="3"/>
      <c r="K426" s="3"/>
      <c r="L426" s="3"/>
      <c r="M426" s="3"/>
      <c r="N426" s="3"/>
      <c r="O426" s="3"/>
      <c r="P426" s="3"/>
      <c r="Q426" s="261"/>
      <c r="R426" s="261"/>
    </row>
    <row r="427" spans="1:18" x14ac:dyDescent="0.35">
      <c r="A427" s="3"/>
      <c r="B427" s="3"/>
      <c r="C427" s="3"/>
      <c r="D427" s="3"/>
      <c r="E427" s="3"/>
      <c r="F427" s="3"/>
      <c r="G427" s="3"/>
      <c r="H427" s="3"/>
      <c r="I427" s="3"/>
      <c r="J427" s="3"/>
      <c r="K427" s="3"/>
      <c r="L427" s="3"/>
      <c r="M427" s="3"/>
      <c r="N427" s="3"/>
      <c r="O427" s="3"/>
      <c r="P427" s="3"/>
      <c r="Q427" s="261"/>
      <c r="R427" s="261"/>
    </row>
    <row r="428" spans="1:18" x14ac:dyDescent="0.35">
      <c r="A428" s="3"/>
      <c r="B428" s="3"/>
      <c r="C428" s="3"/>
      <c r="D428" s="3"/>
      <c r="E428" s="3"/>
      <c r="F428" s="3"/>
      <c r="G428" s="3"/>
      <c r="H428" s="3"/>
      <c r="I428" s="3"/>
      <c r="J428" s="3"/>
      <c r="K428" s="3"/>
      <c r="L428" s="3"/>
      <c r="M428" s="3"/>
      <c r="N428" s="3"/>
      <c r="O428" s="3"/>
      <c r="P428" s="3"/>
      <c r="Q428" s="261"/>
      <c r="R428" s="261"/>
    </row>
    <row r="429" spans="1:18" x14ac:dyDescent="0.35">
      <c r="A429" s="3"/>
      <c r="B429" s="3"/>
      <c r="C429" s="3"/>
      <c r="D429" s="3"/>
      <c r="E429" s="3"/>
      <c r="F429" s="3"/>
      <c r="G429" s="3"/>
      <c r="H429" s="3"/>
      <c r="I429" s="3"/>
      <c r="J429" s="3"/>
      <c r="K429" s="3"/>
      <c r="L429" s="3"/>
      <c r="M429" s="3"/>
      <c r="N429" s="3"/>
      <c r="O429" s="3"/>
      <c r="P429" s="3"/>
      <c r="Q429" s="261"/>
      <c r="R429" s="261"/>
    </row>
    <row r="430" spans="1:18" x14ac:dyDescent="0.35">
      <c r="A430" s="3"/>
      <c r="B430" s="3"/>
      <c r="C430" s="3"/>
      <c r="D430" s="3"/>
      <c r="E430" s="3"/>
      <c r="F430" s="3"/>
      <c r="G430" s="3"/>
      <c r="H430" s="3"/>
      <c r="I430" s="3"/>
      <c r="J430" s="3"/>
      <c r="K430" s="3"/>
      <c r="L430" s="3"/>
      <c r="M430" s="3"/>
      <c r="N430" s="3"/>
      <c r="O430" s="3"/>
      <c r="P430" s="3"/>
      <c r="Q430" s="261"/>
      <c r="R430" s="261"/>
    </row>
    <row r="431" spans="1:18" x14ac:dyDescent="0.35">
      <c r="A431" s="3"/>
      <c r="B431" s="3"/>
      <c r="C431" s="3"/>
      <c r="D431" s="3"/>
      <c r="E431" s="3"/>
      <c r="F431" s="3"/>
      <c r="G431" s="3"/>
      <c r="H431" s="3"/>
      <c r="I431" s="3"/>
      <c r="J431" s="3"/>
      <c r="K431" s="3"/>
      <c r="L431" s="3"/>
      <c r="M431" s="3"/>
      <c r="N431" s="3"/>
      <c r="O431" s="3"/>
      <c r="P431" s="3"/>
      <c r="Q431" s="261"/>
      <c r="R431" s="261"/>
    </row>
    <row r="432" spans="1:18" x14ac:dyDescent="0.35">
      <c r="A432" s="3"/>
      <c r="B432" s="3"/>
      <c r="C432" s="3"/>
      <c r="D432" s="3"/>
      <c r="E432" s="3"/>
      <c r="F432" s="3"/>
      <c r="G432" s="3"/>
      <c r="H432" s="3"/>
      <c r="I432" s="3"/>
      <c r="J432" s="3"/>
      <c r="K432" s="3"/>
      <c r="L432" s="3"/>
      <c r="M432" s="3"/>
      <c r="N432" s="3"/>
      <c r="O432" s="3"/>
      <c r="P432" s="3"/>
      <c r="Q432" s="261"/>
      <c r="R432" s="261"/>
    </row>
    <row r="433" spans="1:18" x14ac:dyDescent="0.35">
      <c r="A433" s="3"/>
      <c r="B433" s="3"/>
      <c r="C433" s="3"/>
      <c r="D433" s="3"/>
      <c r="E433" s="3"/>
      <c r="F433" s="3"/>
      <c r="G433" s="3"/>
      <c r="H433" s="3"/>
      <c r="I433" s="3"/>
      <c r="J433" s="3"/>
      <c r="K433" s="3"/>
      <c r="L433" s="3"/>
      <c r="M433" s="3"/>
      <c r="N433" s="3"/>
      <c r="O433" s="3"/>
      <c r="P433" s="3"/>
      <c r="Q433" s="261"/>
      <c r="R433" s="261"/>
    </row>
    <row r="434" spans="1:18" x14ac:dyDescent="0.35">
      <c r="A434" s="3"/>
      <c r="B434" s="3"/>
      <c r="C434" s="3"/>
      <c r="D434" s="3"/>
      <c r="E434" s="3"/>
      <c r="F434" s="3"/>
      <c r="G434" s="3"/>
      <c r="H434" s="3"/>
      <c r="I434" s="3"/>
      <c r="J434" s="3"/>
      <c r="K434" s="3"/>
      <c r="L434" s="3"/>
      <c r="M434" s="3"/>
      <c r="N434" s="3"/>
      <c r="O434" s="3"/>
      <c r="P434" s="3"/>
      <c r="Q434" s="261"/>
      <c r="R434" s="261"/>
    </row>
    <row r="435" spans="1:18" x14ac:dyDescent="0.35">
      <c r="A435" s="3"/>
      <c r="B435" s="3"/>
      <c r="C435" s="3"/>
      <c r="D435" s="3"/>
      <c r="E435" s="3"/>
      <c r="F435" s="3"/>
      <c r="G435" s="3"/>
      <c r="H435" s="3"/>
      <c r="I435" s="3"/>
      <c r="J435" s="3"/>
      <c r="K435" s="3"/>
      <c r="L435" s="3"/>
      <c r="M435" s="3"/>
      <c r="N435" s="3"/>
      <c r="O435" s="3"/>
      <c r="P435" s="3"/>
      <c r="Q435" s="261"/>
      <c r="R435" s="261"/>
    </row>
    <row r="436" spans="1:18" x14ac:dyDescent="0.35">
      <c r="A436" s="3"/>
      <c r="B436" s="3"/>
      <c r="C436" s="3"/>
      <c r="D436" s="3"/>
      <c r="E436" s="3"/>
      <c r="F436" s="3"/>
      <c r="G436" s="3"/>
      <c r="H436" s="3"/>
      <c r="I436" s="3"/>
      <c r="J436" s="3"/>
      <c r="K436" s="3"/>
      <c r="L436" s="3"/>
      <c r="M436" s="3"/>
      <c r="N436" s="3"/>
      <c r="O436" s="3"/>
      <c r="P436" s="3"/>
      <c r="Q436" s="261"/>
      <c r="R436" s="261"/>
    </row>
    <row r="437" spans="1:18" x14ac:dyDescent="0.35">
      <c r="A437" s="3"/>
      <c r="B437" s="3"/>
      <c r="C437" s="3"/>
      <c r="D437" s="3"/>
      <c r="E437" s="3"/>
      <c r="F437" s="3"/>
      <c r="G437" s="3"/>
      <c r="H437" s="3"/>
      <c r="I437" s="3"/>
      <c r="J437" s="3"/>
      <c r="K437" s="3"/>
      <c r="L437" s="3"/>
      <c r="M437" s="3"/>
      <c r="N437" s="3"/>
      <c r="O437" s="3"/>
      <c r="P437" s="3"/>
      <c r="Q437" s="261"/>
      <c r="R437" s="261"/>
    </row>
    <row r="438" spans="1:18" x14ac:dyDescent="0.35">
      <c r="A438" s="3"/>
      <c r="B438" s="3"/>
      <c r="C438" s="3"/>
      <c r="D438" s="3"/>
      <c r="E438" s="3"/>
      <c r="F438" s="3"/>
      <c r="G438" s="3"/>
      <c r="H438" s="3"/>
      <c r="I438" s="3"/>
      <c r="J438" s="3"/>
      <c r="K438" s="3"/>
      <c r="L438" s="3"/>
      <c r="M438" s="3"/>
      <c r="N438" s="3"/>
      <c r="O438" s="3"/>
      <c r="P438" s="3"/>
      <c r="Q438" s="261"/>
      <c r="R438" s="261"/>
    </row>
    <row r="439" spans="1:18" x14ac:dyDescent="0.35">
      <c r="A439" s="3"/>
      <c r="B439" s="3"/>
      <c r="C439" s="3"/>
      <c r="D439" s="3"/>
      <c r="E439" s="3"/>
      <c r="F439" s="3"/>
      <c r="G439" s="3"/>
      <c r="H439" s="3"/>
      <c r="I439" s="3"/>
      <c r="J439" s="3"/>
      <c r="K439" s="3"/>
      <c r="L439" s="3"/>
      <c r="M439" s="3"/>
      <c r="N439" s="3"/>
      <c r="O439" s="3"/>
      <c r="P439" s="3"/>
      <c r="Q439" s="261"/>
      <c r="R439" s="261"/>
    </row>
    <row r="440" spans="1:18" x14ac:dyDescent="0.35">
      <c r="A440" s="3"/>
      <c r="B440" s="3"/>
      <c r="C440" s="3"/>
      <c r="D440" s="3"/>
      <c r="E440" s="3"/>
      <c r="F440" s="3"/>
      <c r="G440" s="3"/>
      <c r="H440" s="3"/>
      <c r="I440" s="3"/>
      <c r="J440" s="3"/>
      <c r="K440" s="3"/>
      <c r="L440" s="3"/>
      <c r="M440" s="3"/>
      <c r="N440" s="3"/>
      <c r="O440" s="3"/>
      <c r="P440" s="3"/>
      <c r="Q440" s="261"/>
      <c r="R440" s="261"/>
    </row>
    <row r="441" spans="1:18" x14ac:dyDescent="0.35">
      <c r="A441" s="3"/>
      <c r="B441" s="3"/>
      <c r="C441" s="3"/>
      <c r="D441" s="3"/>
      <c r="E441" s="3"/>
      <c r="F441" s="3"/>
      <c r="G441" s="3"/>
      <c r="H441" s="3"/>
      <c r="I441" s="3"/>
      <c r="J441" s="3"/>
      <c r="K441" s="3"/>
      <c r="L441" s="3"/>
      <c r="M441" s="3"/>
      <c r="N441" s="3"/>
      <c r="O441" s="3"/>
      <c r="P441" s="3"/>
      <c r="Q441" s="261"/>
      <c r="R441" s="261"/>
    </row>
    <row r="442" spans="1:18" x14ac:dyDescent="0.35">
      <c r="A442" s="3"/>
      <c r="B442" s="3"/>
      <c r="C442" s="3"/>
      <c r="D442" s="3"/>
      <c r="E442" s="3"/>
      <c r="F442" s="3"/>
      <c r="G442" s="3"/>
      <c r="H442" s="3"/>
      <c r="I442" s="3"/>
      <c r="J442" s="3"/>
      <c r="K442" s="3"/>
      <c r="L442" s="3"/>
      <c r="M442" s="3"/>
      <c r="N442" s="3"/>
      <c r="O442" s="3"/>
      <c r="P442" s="3"/>
      <c r="Q442" s="261"/>
      <c r="R442" s="261"/>
    </row>
    <row r="443" spans="1:18" x14ac:dyDescent="0.35">
      <c r="A443" s="3"/>
      <c r="B443" s="3"/>
      <c r="C443" s="3"/>
      <c r="D443" s="3"/>
      <c r="E443" s="3"/>
      <c r="F443" s="3"/>
      <c r="G443" s="3"/>
      <c r="H443" s="3"/>
      <c r="I443" s="3"/>
      <c r="J443" s="3"/>
      <c r="K443" s="3"/>
      <c r="L443" s="3"/>
      <c r="M443" s="3"/>
      <c r="N443" s="3"/>
      <c r="O443" s="3"/>
      <c r="P443" s="3"/>
      <c r="Q443" s="261"/>
      <c r="R443" s="261"/>
    </row>
    <row r="444" spans="1:18" x14ac:dyDescent="0.35">
      <c r="A444" s="3"/>
      <c r="B444" s="3"/>
      <c r="C444" s="3"/>
      <c r="D444" s="3"/>
      <c r="E444" s="3"/>
      <c r="F444" s="3"/>
      <c r="G444" s="3"/>
      <c r="H444" s="3"/>
      <c r="I444" s="3"/>
      <c r="J444" s="3"/>
      <c r="K444" s="3"/>
      <c r="L444" s="3"/>
      <c r="M444" s="3"/>
      <c r="N444" s="3"/>
      <c r="O444" s="3"/>
      <c r="P444" s="3"/>
      <c r="Q444" s="261"/>
      <c r="R444" s="261"/>
    </row>
    <row r="445" spans="1:18" x14ac:dyDescent="0.35">
      <c r="A445" s="3"/>
      <c r="B445" s="3"/>
      <c r="C445" s="3"/>
      <c r="D445" s="3"/>
      <c r="E445" s="3"/>
      <c r="F445" s="3"/>
      <c r="G445" s="3"/>
      <c r="H445" s="3"/>
      <c r="I445" s="3"/>
      <c r="J445" s="3"/>
      <c r="K445" s="3"/>
      <c r="L445" s="3"/>
      <c r="M445" s="3"/>
      <c r="N445" s="3"/>
      <c r="O445" s="3"/>
      <c r="P445" s="3"/>
      <c r="Q445" s="261"/>
      <c r="R445" s="261"/>
    </row>
    <row r="446" spans="1:18" x14ac:dyDescent="0.35">
      <c r="A446" s="3"/>
      <c r="B446" s="3"/>
      <c r="C446" s="3"/>
      <c r="D446" s="3"/>
      <c r="E446" s="3"/>
      <c r="F446" s="3"/>
      <c r="G446" s="3"/>
      <c r="H446" s="3"/>
      <c r="I446" s="3"/>
      <c r="J446" s="3"/>
      <c r="K446" s="3"/>
      <c r="L446" s="3"/>
      <c r="M446" s="3"/>
      <c r="N446" s="3"/>
      <c r="O446" s="3"/>
      <c r="P446" s="3"/>
      <c r="Q446" s="261"/>
      <c r="R446" s="261"/>
    </row>
    <row r="447" spans="1:18" x14ac:dyDescent="0.35">
      <c r="A447" s="3"/>
      <c r="B447" s="3"/>
      <c r="C447" s="3"/>
      <c r="D447" s="3"/>
      <c r="E447" s="3"/>
      <c r="F447" s="3"/>
      <c r="G447" s="3"/>
      <c r="H447" s="3"/>
      <c r="I447" s="3"/>
      <c r="J447" s="3"/>
      <c r="K447" s="3"/>
      <c r="L447" s="3"/>
      <c r="M447" s="3"/>
      <c r="N447" s="3"/>
      <c r="O447" s="3"/>
      <c r="P447" s="3"/>
      <c r="Q447" s="261"/>
      <c r="R447" s="261"/>
    </row>
    <row r="448" spans="1:18" x14ac:dyDescent="0.35">
      <c r="A448" s="3"/>
      <c r="B448" s="3"/>
      <c r="C448" s="3"/>
      <c r="D448" s="3"/>
      <c r="E448" s="3"/>
      <c r="F448" s="3"/>
      <c r="G448" s="3"/>
      <c r="H448" s="3"/>
      <c r="I448" s="3"/>
      <c r="J448" s="3"/>
      <c r="K448" s="3"/>
      <c r="L448" s="3"/>
      <c r="M448" s="3"/>
      <c r="N448" s="3"/>
      <c r="O448" s="3"/>
      <c r="P448" s="3"/>
      <c r="Q448" s="261"/>
      <c r="R448" s="261"/>
    </row>
    <row r="449" spans="1:18" x14ac:dyDescent="0.35">
      <c r="A449" s="3"/>
      <c r="B449" s="3"/>
      <c r="C449" s="3"/>
      <c r="D449" s="3"/>
      <c r="E449" s="3"/>
      <c r="F449" s="3"/>
      <c r="G449" s="3"/>
      <c r="H449" s="3"/>
      <c r="I449" s="3"/>
      <c r="J449" s="3"/>
      <c r="K449" s="3"/>
      <c r="L449" s="3"/>
      <c r="M449" s="3"/>
      <c r="N449" s="3"/>
      <c r="O449" s="3"/>
      <c r="P449" s="3"/>
      <c r="Q449" s="261"/>
      <c r="R449" s="261"/>
    </row>
    <row r="450" spans="1:18" x14ac:dyDescent="0.35">
      <c r="A450" s="3"/>
      <c r="B450" s="3"/>
      <c r="C450" s="3"/>
      <c r="D450" s="3"/>
      <c r="E450" s="3"/>
      <c r="F450" s="3"/>
      <c r="G450" s="3"/>
      <c r="H450" s="3"/>
      <c r="I450" s="3"/>
      <c r="J450" s="3"/>
      <c r="K450" s="3"/>
      <c r="L450" s="3"/>
      <c r="M450" s="3"/>
      <c r="N450" s="3"/>
      <c r="O450" s="3"/>
      <c r="P450" s="3"/>
      <c r="Q450" s="261"/>
      <c r="R450" s="261"/>
    </row>
    <row r="451" spans="1:18" x14ac:dyDescent="0.35">
      <c r="A451" s="3"/>
      <c r="B451" s="3"/>
      <c r="C451" s="3"/>
      <c r="D451" s="3"/>
      <c r="E451" s="3"/>
      <c r="F451" s="3"/>
      <c r="G451" s="3"/>
      <c r="H451" s="3"/>
      <c r="I451" s="3"/>
      <c r="J451" s="3"/>
      <c r="K451" s="3"/>
      <c r="L451" s="3"/>
      <c r="M451" s="3"/>
      <c r="N451" s="3"/>
      <c r="O451" s="3"/>
      <c r="P451" s="3"/>
      <c r="Q451" s="261"/>
      <c r="R451" s="261"/>
    </row>
    <row r="452" spans="1:18" x14ac:dyDescent="0.35">
      <c r="A452" s="3"/>
      <c r="B452" s="3"/>
      <c r="C452" s="3"/>
      <c r="D452" s="3"/>
      <c r="E452" s="3"/>
      <c r="F452" s="3"/>
      <c r="G452" s="3"/>
      <c r="H452" s="3"/>
      <c r="I452" s="3"/>
      <c r="J452" s="3"/>
      <c r="K452" s="3"/>
      <c r="L452" s="3"/>
      <c r="M452" s="3"/>
      <c r="N452" s="3"/>
      <c r="O452" s="3"/>
      <c r="P452" s="3"/>
      <c r="Q452" s="261"/>
      <c r="R452" s="261"/>
    </row>
    <row r="453" spans="1:18" x14ac:dyDescent="0.35">
      <c r="A453" s="3"/>
      <c r="B453" s="3"/>
      <c r="C453" s="3"/>
      <c r="D453" s="3"/>
      <c r="E453" s="3"/>
      <c r="F453" s="3"/>
      <c r="G453" s="3"/>
      <c r="H453" s="3"/>
      <c r="I453" s="3"/>
      <c r="J453" s="3"/>
      <c r="K453" s="3"/>
      <c r="L453" s="3"/>
      <c r="M453" s="3"/>
      <c r="N453" s="3"/>
      <c r="O453" s="3"/>
      <c r="P453" s="3"/>
      <c r="Q453" s="261"/>
      <c r="R453" s="261"/>
    </row>
    <row r="454" spans="1:18" x14ac:dyDescent="0.35">
      <c r="A454" s="3"/>
      <c r="B454" s="3"/>
      <c r="C454" s="3"/>
      <c r="D454" s="3"/>
      <c r="E454" s="3"/>
      <c r="F454" s="3"/>
      <c r="G454" s="3"/>
      <c r="H454" s="3"/>
      <c r="I454" s="3"/>
      <c r="J454" s="3"/>
      <c r="K454" s="3"/>
      <c r="L454" s="3"/>
      <c r="M454" s="3"/>
      <c r="N454" s="3"/>
      <c r="O454" s="3"/>
      <c r="P454" s="3"/>
      <c r="Q454" s="261"/>
      <c r="R454" s="261"/>
    </row>
    <row r="455" spans="1:18" x14ac:dyDescent="0.35">
      <c r="A455" s="3"/>
      <c r="B455" s="3"/>
      <c r="C455" s="3"/>
      <c r="D455" s="3"/>
      <c r="E455" s="3"/>
      <c r="F455" s="3"/>
      <c r="G455" s="3"/>
      <c r="H455" s="3"/>
      <c r="I455" s="3"/>
      <c r="J455" s="3"/>
      <c r="K455" s="3"/>
      <c r="L455" s="3"/>
      <c r="M455" s="3"/>
      <c r="N455" s="3"/>
      <c r="O455" s="3"/>
      <c r="P455" s="3"/>
      <c r="Q455" s="261"/>
      <c r="R455" s="261"/>
    </row>
    <row r="456" spans="1:18" x14ac:dyDescent="0.35">
      <c r="A456" s="3"/>
      <c r="B456" s="3"/>
      <c r="C456" s="3"/>
      <c r="D456" s="3"/>
      <c r="E456" s="3"/>
      <c r="F456" s="3"/>
      <c r="G456" s="3"/>
      <c r="H456" s="3"/>
      <c r="I456" s="3"/>
      <c r="J456" s="3"/>
      <c r="K456" s="3"/>
      <c r="L456" s="3"/>
      <c r="M456" s="3"/>
      <c r="N456" s="3"/>
      <c r="O456" s="3"/>
      <c r="P456" s="3"/>
      <c r="Q456" s="261"/>
      <c r="R456" s="261"/>
    </row>
    <row r="457" spans="1:18" x14ac:dyDescent="0.35">
      <c r="A457" s="3"/>
      <c r="B457" s="3"/>
      <c r="C457" s="3"/>
      <c r="D457" s="3"/>
      <c r="E457" s="3"/>
      <c r="F457" s="3"/>
      <c r="G457" s="3"/>
      <c r="H457" s="3"/>
      <c r="I457" s="3"/>
      <c r="J457" s="3"/>
      <c r="K457" s="3"/>
      <c r="L457" s="3"/>
      <c r="M457" s="3"/>
      <c r="N457" s="3"/>
      <c r="O457" s="3"/>
      <c r="P457" s="3"/>
      <c r="Q457" s="261"/>
      <c r="R457" s="261"/>
    </row>
    <row r="458" spans="1:18" x14ac:dyDescent="0.35">
      <c r="A458" s="3"/>
      <c r="B458" s="3"/>
      <c r="C458" s="3"/>
      <c r="D458" s="3"/>
      <c r="E458" s="3"/>
      <c r="F458" s="3"/>
      <c r="G458" s="3"/>
      <c r="H458" s="3"/>
      <c r="I458" s="3"/>
      <c r="J458" s="3"/>
      <c r="K458" s="3"/>
      <c r="L458" s="3"/>
      <c r="M458" s="3"/>
      <c r="N458" s="3"/>
      <c r="O458" s="3"/>
      <c r="P458" s="3"/>
      <c r="Q458" s="261"/>
      <c r="R458" s="261"/>
    </row>
    <row r="459" spans="1:18" x14ac:dyDescent="0.35">
      <c r="A459" s="3"/>
      <c r="B459" s="3"/>
      <c r="C459" s="3"/>
      <c r="D459" s="3"/>
      <c r="E459" s="3"/>
      <c r="F459" s="3"/>
      <c r="G459" s="3"/>
      <c r="H459" s="3"/>
      <c r="I459" s="3"/>
      <c r="J459" s="3"/>
      <c r="K459" s="3"/>
      <c r="L459" s="3"/>
      <c r="M459" s="3"/>
      <c r="N459" s="3"/>
      <c r="O459" s="3"/>
      <c r="P459" s="3"/>
      <c r="Q459" s="261"/>
      <c r="R459" s="261"/>
    </row>
    <row r="460" spans="1:18" x14ac:dyDescent="0.35">
      <c r="A460" s="3"/>
      <c r="B460" s="3"/>
      <c r="C460" s="3"/>
      <c r="D460" s="3"/>
      <c r="E460" s="3"/>
      <c r="F460" s="3"/>
      <c r="G460" s="3"/>
      <c r="H460" s="3"/>
      <c r="I460" s="3"/>
      <c r="J460" s="3"/>
      <c r="K460" s="3"/>
      <c r="L460" s="3"/>
      <c r="M460" s="3"/>
      <c r="N460" s="3"/>
      <c r="O460" s="3"/>
      <c r="P460" s="3"/>
      <c r="Q460" s="261"/>
      <c r="R460" s="261"/>
    </row>
    <row r="461" spans="1:18" x14ac:dyDescent="0.35">
      <c r="A461" s="3"/>
      <c r="B461" s="3"/>
      <c r="C461" s="3"/>
      <c r="D461" s="3"/>
      <c r="E461" s="3"/>
      <c r="F461" s="3"/>
      <c r="G461" s="3"/>
      <c r="H461" s="3"/>
      <c r="I461" s="3"/>
      <c r="J461" s="3"/>
      <c r="K461" s="3"/>
      <c r="L461" s="3"/>
      <c r="M461" s="3"/>
      <c r="N461" s="3"/>
      <c r="O461" s="3"/>
      <c r="P461" s="3"/>
      <c r="Q461" s="261"/>
      <c r="R461" s="261"/>
    </row>
    <row r="462" spans="1:18" x14ac:dyDescent="0.35">
      <c r="A462" s="3"/>
      <c r="B462" s="3"/>
      <c r="C462" s="3"/>
      <c r="D462" s="3"/>
      <c r="E462" s="3"/>
      <c r="F462" s="3"/>
      <c r="G462" s="3"/>
      <c r="H462" s="3"/>
      <c r="I462" s="3"/>
      <c r="J462" s="3"/>
      <c r="K462" s="3"/>
      <c r="L462" s="3"/>
      <c r="M462" s="3"/>
      <c r="N462" s="3"/>
      <c r="O462" s="3"/>
      <c r="P462" s="3"/>
      <c r="Q462" s="261"/>
      <c r="R462" s="261"/>
    </row>
    <row r="463" spans="1:18" x14ac:dyDescent="0.35">
      <c r="A463" s="3"/>
      <c r="B463" s="3"/>
      <c r="C463" s="3"/>
      <c r="D463" s="3"/>
      <c r="E463" s="3"/>
      <c r="F463" s="3"/>
      <c r="G463" s="3"/>
      <c r="H463" s="3"/>
      <c r="I463" s="3"/>
      <c r="J463" s="3"/>
      <c r="K463" s="3"/>
      <c r="L463" s="3"/>
      <c r="M463" s="3"/>
      <c r="N463" s="3"/>
      <c r="O463" s="3"/>
      <c r="P463" s="3"/>
      <c r="Q463" s="261"/>
      <c r="R463" s="261"/>
    </row>
    <row r="464" spans="1:18" x14ac:dyDescent="0.35">
      <c r="A464" s="3"/>
      <c r="B464" s="3"/>
      <c r="C464" s="3"/>
      <c r="D464" s="3"/>
      <c r="E464" s="3"/>
      <c r="F464" s="3"/>
      <c r="G464" s="3"/>
      <c r="H464" s="3"/>
      <c r="I464" s="3"/>
      <c r="J464" s="3"/>
      <c r="K464" s="3"/>
      <c r="L464" s="3"/>
      <c r="M464" s="3"/>
      <c r="N464" s="3"/>
      <c r="O464" s="3"/>
      <c r="P464" s="3"/>
      <c r="Q464" s="261"/>
      <c r="R464" s="261"/>
    </row>
    <row r="465" spans="1:18" x14ac:dyDescent="0.35">
      <c r="A465" s="3"/>
      <c r="B465" s="3"/>
      <c r="C465" s="3"/>
      <c r="D465" s="3"/>
      <c r="E465" s="3"/>
      <c r="F465" s="3"/>
      <c r="G465" s="3"/>
      <c r="H465" s="3"/>
      <c r="I465" s="3"/>
      <c r="J465" s="3"/>
      <c r="K465" s="3"/>
      <c r="L465" s="3"/>
      <c r="M465" s="3"/>
      <c r="N465" s="3"/>
      <c r="O465" s="3"/>
      <c r="P465" s="3"/>
      <c r="Q465" s="261"/>
      <c r="R465" s="261"/>
    </row>
    <row r="466" spans="1:18" x14ac:dyDescent="0.35">
      <c r="A466" s="3"/>
      <c r="B466" s="3"/>
      <c r="C466" s="3"/>
      <c r="D466" s="3"/>
      <c r="E466" s="3"/>
      <c r="F466" s="3"/>
      <c r="G466" s="3"/>
      <c r="H466" s="3"/>
      <c r="I466" s="3"/>
      <c r="J466" s="3"/>
      <c r="K466" s="3"/>
      <c r="L466" s="3"/>
      <c r="M466" s="3"/>
      <c r="N466" s="3"/>
      <c r="O466" s="3"/>
      <c r="P466" s="3"/>
      <c r="Q466" s="261"/>
      <c r="R466" s="261"/>
    </row>
    <row r="467" spans="1:18" x14ac:dyDescent="0.35">
      <c r="A467" s="3"/>
      <c r="B467" s="3"/>
      <c r="C467" s="3"/>
      <c r="D467" s="3"/>
      <c r="E467" s="3"/>
      <c r="F467" s="3"/>
      <c r="G467" s="3"/>
      <c r="H467" s="3"/>
      <c r="I467" s="3"/>
      <c r="J467" s="3"/>
      <c r="K467" s="3"/>
      <c r="L467" s="3"/>
      <c r="M467" s="3"/>
      <c r="N467" s="3"/>
      <c r="O467" s="3"/>
      <c r="P467" s="3"/>
      <c r="Q467" s="261"/>
      <c r="R467" s="261"/>
    </row>
    <row r="468" spans="1:18" x14ac:dyDescent="0.35">
      <c r="A468" s="3"/>
      <c r="B468" s="3"/>
      <c r="C468" s="3"/>
      <c r="D468" s="3"/>
      <c r="E468" s="3"/>
      <c r="F468" s="3"/>
      <c r="G468" s="3"/>
      <c r="H468" s="3"/>
      <c r="I468" s="3"/>
      <c r="J468" s="3"/>
      <c r="K468" s="3"/>
      <c r="L468" s="3"/>
      <c r="M468" s="3"/>
      <c r="N468" s="3"/>
      <c r="O468" s="3"/>
      <c r="P468" s="3"/>
      <c r="Q468" s="261"/>
      <c r="R468" s="261"/>
    </row>
    <row r="469" spans="1:18" x14ac:dyDescent="0.35">
      <c r="A469" s="3"/>
      <c r="B469" s="3"/>
      <c r="C469" s="3"/>
      <c r="D469" s="3"/>
      <c r="E469" s="3"/>
      <c r="F469" s="3"/>
      <c r="G469" s="3"/>
      <c r="H469" s="3"/>
      <c r="I469" s="3"/>
      <c r="J469" s="3"/>
      <c r="K469" s="3"/>
      <c r="L469" s="3"/>
      <c r="M469" s="3"/>
      <c r="N469" s="3"/>
      <c r="O469" s="3"/>
      <c r="P469" s="3"/>
      <c r="Q469" s="261"/>
      <c r="R469" s="261"/>
    </row>
    <row r="470" spans="1:18" x14ac:dyDescent="0.35">
      <c r="A470" s="3"/>
      <c r="B470" s="3"/>
      <c r="C470" s="3"/>
      <c r="D470" s="3"/>
      <c r="E470" s="3"/>
      <c r="F470" s="3"/>
      <c r="G470" s="3"/>
      <c r="H470" s="3"/>
      <c r="I470" s="3"/>
      <c r="J470" s="3"/>
      <c r="K470" s="3"/>
      <c r="L470" s="3"/>
      <c r="M470" s="3"/>
      <c r="N470" s="3"/>
      <c r="O470" s="3"/>
      <c r="P470" s="3"/>
      <c r="Q470" s="261"/>
      <c r="R470" s="261"/>
    </row>
    <row r="471" spans="1:18" x14ac:dyDescent="0.35">
      <c r="A471" s="3"/>
      <c r="B471" s="3"/>
      <c r="C471" s="3"/>
      <c r="D471" s="3"/>
      <c r="E471" s="3"/>
      <c r="F471" s="3"/>
      <c r="G471" s="3"/>
      <c r="H471" s="3"/>
      <c r="I471" s="3"/>
      <c r="J471" s="3"/>
      <c r="K471" s="3"/>
      <c r="L471" s="3"/>
      <c r="M471" s="3"/>
      <c r="N471" s="3"/>
      <c r="O471" s="3"/>
      <c r="P471" s="3"/>
      <c r="Q471" s="261"/>
      <c r="R471" s="261"/>
    </row>
    <row r="472" spans="1:18" x14ac:dyDescent="0.35">
      <c r="A472" s="3"/>
      <c r="B472" s="3"/>
      <c r="C472" s="3"/>
      <c r="D472" s="3"/>
      <c r="E472" s="3"/>
      <c r="F472" s="3"/>
      <c r="G472" s="3"/>
      <c r="H472" s="3"/>
      <c r="I472" s="3"/>
      <c r="J472" s="3"/>
      <c r="K472" s="3"/>
      <c r="L472" s="3"/>
      <c r="M472" s="3"/>
      <c r="N472" s="3"/>
      <c r="O472" s="3"/>
      <c r="P472" s="3"/>
      <c r="Q472" s="261"/>
      <c r="R472" s="261"/>
    </row>
    <row r="473" spans="1:18" x14ac:dyDescent="0.35">
      <c r="A473" s="3"/>
      <c r="B473" s="3"/>
      <c r="C473" s="3"/>
      <c r="D473" s="3"/>
      <c r="E473" s="3"/>
      <c r="F473" s="3"/>
      <c r="G473" s="3"/>
      <c r="H473" s="3"/>
      <c r="I473" s="3"/>
      <c r="J473" s="3"/>
      <c r="K473" s="3"/>
      <c r="L473" s="3"/>
      <c r="M473" s="3"/>
      <c r="N473" s="3"/>
      <c r="O473" s="3"/>
      <c r="P473" s="3"/>
      <c r="Q473" s="261"/>
      <c r="R473" s="261"/>
    </row>
    <row r="474" spans="1:18" x14ac:dyDescent="0.35">
      <c r="A474" s="3"/>
      <c r="B474" s="3"/>
      <c r="C474" s="3"/>
      <c r="D474" s="3"/>
      <c r="E474" s="3"/>
      <c r="F474" s="3"/>
      <c r="G474" s="3"/>
      <c r="H474" s="3"/>
      <c r="I474" s="3"/>
      <c r="J474" s="3"/>
      <c r="K474" s="3"/>
      <c r="L474" s="3"/>
      <c r="M474" s="3"/>
      <c r="N474" s="3"/>
      <c r="O474" s="3"/>
      <c r="P474" s="3"/>
      <c r="Q474" s="261"/>
      <c r="R474" s="261"/>
    </row>
    <row r="475" spans="1:18" x14ac:dyDescent="0.35">
      <c r="A475" s="3"/>
      <c r="B475" s="3"/>
      <c r="C475" s="3"/>
      <c r="D475" s="3"/>
      <c r="E475" s="3"/>
      <c r="F475" s="3"/>
      <c r="G475" s="3"/>
      <c r="H475" s="3"/>
      <c r="I475" s="3"/>
      <c r="J475" s="3"/>
      <c r="K475" s="3"/>
      <c r="L475" s="3"/>
      <c r="M475" s="3"/>
      <c r="N475" s="3"/>
      <c r="O475" s="3"/>
      <c r="P475" s="3"/>
      <c r="Q475" s="261"/>
      <c r="R475" s="261"/>
    </row>
    <row r="476" spans="1:18" x14ac:dyDescent="0.35">
      <c r="A476" s="3"/>
      <c r="B476" s="3"/>
      <c r="C476" s="3"/>
      <c r="D476" s="3"/>
      <c r="E476" s="3"/>
      <c r="F476" s="3"/>
      <c r="G476" s="3"/>
      <c r="H476" s="3"/>
      <c r="I476" s="3"/>
      <c r="J476" s="3"/>
      <c r="K476" s="3"/>
      <c r="L476" s="3"/>
      <c r="M476" s="3"/>
      <c r="N476" s="3"/>
      <c r="O476" s="3"/>
      <c r="P476" s="3"/>
      <c r="Q476" s="261"/>
      <c r="R476" s="261"/>
    </row>
    <row r="477" spans="1:18" x14ac:dyDescent="0.35">
      <c r="A477" s="3"/>
      <c r="B477" s="3"/>
      <c r="C477" s="3"/>
      <c r="D477" s="3"/>
      <c r="E477" s="3"/>
      <c r="F477" s="3"/>
      <c r="G477" s="3"/>
      <c r="H477" s="3"/>
      <c r="I477" s="3"/>
      <c r="J477" s="3"/>
      <c r="K477" s="3"/>
      <c r="L477" s="3"/>
      <c r="M477" s="3"/>
      <c r="N477" s="3"/>
      <c r="O477" s="3"/>
      <c r="P477" s="3"/>
      <c r="Q477" s="261"/>
      <c r="R477" s="261"/>
    </row>
    <row r="478" spans="1:18" x14ac:dyDescent="0.35">
      <c r="A478" s="3"/>
      <c r="B478" s="3"/>
      <c r="C478" s="3"/>
      <c r="D478" s="3"/>
      <c r="E478" s="3"/>
      <c r="F478" s="3"/>
      <c r="G478" s="3"/>
      <c r="H478" s="3"/>
      <c r="I478" s="3"/>
      <c r="J478" s="3"/>
      <c r="K478" s="3"/>
      <c r="L478" s="3"/>
      <c r="M478" s="3"/>
      <c r="N478" s="3"/>
      <c r="O478" s="3"/>
      <c r="P478" s="3"/>
      <c r="Q478" s="261"/>
      <c r="R478" s="261"/>
    </row>
    <row r="479" spans="1:18" x14ac:dyDescent="0.35">
      <c r="A479" s="3"/>
      <c r="B479" s="3"/>
      <c r="C479" s="3"/>
      <c r="D479" s="3"/>
      <c r="E479" s="3"/>
      <c r="F479" s="3"/>
      <c r="G479" s="3"/>
      <c r="H479" s="3"/>
      <c r="I479" s="3"/>
      <c r="J479" s="3"/>
      <c r="K479" s="3"/>
      <c r="L479" s="3"/>
      <c r="M479" s="3"/>
      <c r="N479" s="3"/>
      <c r="O479" s="3"/>
      <c r="P479" s="3"/>
      <c r="Q479" s="261"/>
      <c r="R479" s="261"/>
    </row>
    <row r="480" spans="1:18" x14ac:dyDescent="0.35">
      <c r="A480" s="3"/>
      <c r="B480" s="3"/>
      <c r="C480" s="3"/>
      <c r="D480" s="3"/>
      <c r="E480" s="3"/>
      <c r="F480" s="3"/>
      <c r="G480" s="3"/>
      <c r="H480" s="3"/>
      <c r="I480" s="3"/>
      <c r="J480" s="3"/>
      <c r="K480" s="3"/>
      <c r="L480" s="3"/>
      <c r="M480" s="3"/>
      <c r="N480" s="3"/>
      <c r="O480" s="3"/>
      <c r="P480" s="3"/>
      <c r="Q480" s="261"/>
      <c r="R480" s="261"/>
    </row>
    <row r="481" spans="1:18" x14ac:dyDescent="0.35">
      <c r="A481" s="3"/>
      <c r="B481" s="3"/>
      <c r="C481" s="3"/>
      <c r="D481" s="3"/>
      <c r="E481" s="3"/>
      <c r="F481" s="3"/>
      <c r="G481" s="3"/>
      <c r="H481" s="3"/>
      <c r="I481" s="3"/>
      <c r="J481" s="3"/>
      <c r="K481" s="3"/>
      <c r="L481" s="3"/>
      <c r="M481" s="3"/>
      <c r="N481" s="3"/>
      <c r="O481" s="3"/>
      <c r="P481" s="3"/>
      <c r="Q481" s="261"/>
      <c r="R481" s="261"/>
    </row>
    <row r="482" spans="1:18" x14ac:dyDescent="0.35">
      <c r="A482" s="3"/>
      <c r="B482" s="3"/>
      <c r="C482" s="3"/>
      <c r="D482" s="3"/>
      <c r="E482" s="3"/>
      <c r="F482" s="3"/>
      <c r="G482" s="3"/>
      <c r="H482" s="3"/>
      <c r="I482" s="3"/>
      <c r="J482" s="3"/>
      <c r="K482" s="3"/>
      <c r="L482" s="3"/>
      <c r="M482" s="3"/>
      <c r="N482" s="3"/>
      <c r="O482" s="3"/>
      <c r="P482" s="3"/>
      <c r="Q482" s="261"/>
      <c r="R482" s="261"/>
    </row>
    <row r="483" spans="1:18" x14ac:dyDescent="0.35">
      <c r="A483" s="3"/>
      <c r="B483" s="3"/>
      <c r="C483" s="3"/>
      <c r="D483" s="3"/>
      <c r="E483" s="3"/>
      <c r="F483" s="3"/>
      <c r="G483" s="3"/>
      <c r="H483" s="3"/>
      <c r="I483" s="3"/>
      <c r="J483" s="3"/>
      <c r="K483" s="3"/>
      <c r="L483" s="3"/>
      <c r="M483" s="3"/>
      <c r="N483" s="3"/>
      <c r="O483" s="3"/>
      <c r="P483" s="3"/>
      <c r="Q483" s="261"/>
      <c r="R483" s="261"/>
    </row>
    <row r="484" spans="1:18" x14ac:dyDescent="0.35">
      <c r="A484" s="3"/>
      <c r="B484" s="3"/>
      <c r="C484" s="3"/>
      <c r="D484" s="3"/>
      <c r="E484" s="3"/>
      <c r="F484" s="3"/>
      <c r="G484" s="3"/>
      <c r="H484" s="3"/>
      <c r="I484" s="3"/>
      <c r="J484" s="3"/>
      <c r="K484" s="3"/>
      <c r="L484" s="3"/>
      <c r="M484" s="3"/>
      <c r="N484" s="3"/>
      <c r="O484" s="3"/>
      <c r="P484" s="3"/>
      <c r="Q484" s="261"/>
      <c r="R484" s="261"/>
    </row>
    <row r="485" spans="1:18" x14ac:dyDescent="0.35">
      <c r="A485" s="3"/>
      <c r="B485" s="3"/>
      <c r="C485" s="3"/>
      <c r="D485" s="3"/>
      <c r="E485" s="3"/>
      <c r="F485" s="3"/>
      <c r="G485" s="3"/>
      <c r="H485" s="3"/>
      <c r="I485" s="3"/>
      <c r="J485" s="3"/>
      <c r="K485" s="3"/>
      <c r="L485" s="3"/>
      <c r="M485" s="3"/>
      <c r="N485" s="3"/>
      <c r="O485" s="3"/>
      <c r="P485" s="3"/>
      <c r="Q485" s="261"/>
      <c r="R485" s="261"/>
    </row>
    <row r="486" spans="1:18" x14ac:dyDescent="0.35">
      <c r="A486" s="3"/>
      <c r="B486" s="3"/>
      <c r="C486" s="3"/>
      <c r="D486" s="3"/>
      <c r="E486" s="3"/>
      <c r="F486" s="3"/>
      <c r="G486" s="3"/>
      <c r="H486" s="3"/>
      <c r="I486" s="3"/>
      <c r="J486" s="3"/>
      <c r="K486" s="3"/>
      <c r="L486" s="3"/>
      <c r="M486" s="3"/>
      <c r="N486" s="3"/>
      <c r="O486" s="3"/>
      <c r="P486" s="3"/>
      <c r="Q486" s="261"/>
      <c r="R486" s="261"/>
    </row>
    <row r="487" spans="1:18" x14ac:dyDescent="0.35">
      <c r="A487" s="3"/>
      <c r="B487" s="3"/>
      <c r="C487" s="3"/>
      <c r="D487" s="3"/>
      <c r="E487" s="3"/>
      <c r="F487" s="3"/>
      <c r="G487" s="3"/>
      <c r="H487" s="3"/>
      <c r="I487" s="3"/>
      <c r="J487" s="3"/>
      <c r="K487" s="3"/>
      <c r="L487" s="3"/>
      <c r="M487" s="3"/>
      <c r="N487" s="3"/>
      <c r="O487" s="3"/>
      <c r="P487" s="3"/>
      <c r="Q487" s="261"/>
      <c r="R487" s="261"/>
    </row>
    <row r="488" spans="1:18" x14ac:dyDescent="0.35">
      <c r="A488" s="3"/>
      <c r="B488" s="3"/>
      <c r="C488" s="3"/>
      <c r="D488" s="3"/>
      <c r="E488" s="3"/>
      <c r="F488" s="3"/>
      <c r="G488" s="3"/>
      <c r="H488" s="3"/>
      <c r="I488" s="3"/>
      <c r="J488" s="3"/>
      <c r="K488" s="3"/>
      <c r="L488" s="3"/>
      <c r="M488" s="3"/>
      <c r="N488" s="3"/>
      <c r="O488" s="3"/>
      <c r="P488" s="3"/>
      <c r="Q488" s="261"/>
      <c r="R488" s="261"/>
    </row>
    <row r="489" spans="1:18" x14ac:dyDescent="0.35">
      <c r="A489" s="3"/>
      <c r="B489" s="3"/>
      <c r="C489" s="3"/>
      <c r="D489" s="3"/>
      <c r="E489" s="3"/>
      <c r="F489" s="3"/>
      <c r="G489" s="3"/>
      <c r="H489" s="3"/>
      <c r="I489" s="3"/>
      <c r="J489" s="3"/>
      <c r="K489" s="3"/>
      <c r="L489" s="3"/>
      <c r="M489" s="3"/>
      <c r="N489" s="3"/>
      <c r="O489" s="3"/>
      <c r="P489" s="3"/>
      <c r="Q489" s="261"/>
      <c r="R489" s="261"/>
    </row>
    <row r="490" spans="1:18" x14ac:dyDescent="0.35">
      <c r="A490" s="3"/>
      <c r="B490" s="3"/>
      <c r="C490" s="3"/>
      <c r="D490" s="3"/>
      <c r="E490" s="3"/>
      <c r="F490" s="3"/>
      <c r="G490" s="3"/>
      <c r="H490" s="3"/>
      <c r="I490" s="3"/>
      <c r="J490" s="3"/>
      <c r="K490" s="3"/>
      <c r="L490" s="3"/>
      <c r="M490" s="3"/>
      <c r="N490" s="3"/>
      <c r="O490" s="3"/>
      <c r="P490" s="3"/>
      <c r="Q490" s="261"/>
      <c r="R490" s="261"/>
    </row>
    <row r="491" spans="1:18" x14ac:dyDescent="0.35">
      <c r="A491" s="3"/>
      <c r="B491" s="3"/>
      <c r="C491" s="3"/>
      <c r="D491" s="3"/>
      <c r="E491" s="3"/>
      <c r="F491" s="3"/>
      <c r="G491" s="3"/>
      <c r="H491" s="3"/>
      <c r="I491" s="3"/>
      <c r="J491" s="3"/>
      <c r="K491" s="3"/>
      <c r="L491" s="3"/>
      <c r="M491" s="3"/>
      <c r="N491" s="3"/>
      <c r="O491" s="3"/>
      <c r="P491" s="3"/>
      <c r="Q491" s="261"/>
      <c r="R491" s="261"/>
    </row>
    <row r="492" spans="1:18" x14ac:dyDescent="0.35">
      <c r="A492" s="3"/>
      <c r="B492" s="3"/>
      <c r="C492" s="3"/>
      <c r="D492" s="3"/>
      <c r="E492" s="3"/>
      <c r="F492" s="3"/>
      <c r="G492" s="3"/>
      <c r="H492" s="3"/>
      <c r="I492" s="3"/>
      <c r="J492" s="3"/>
      <c r="K492" s="3"/>
      <c r="L492" s="3"/>
      <c r="M492" s="3"/>
      <c r="N492" s="3"/>
      <c r="O492" s="3"/>
      <c r="P492" s="3"/>
      <c r="Q492" s="261"/>
      <c r="R492" s="261"/>
    </row>
    <row r="493" spans="1:18" x14ac:dyDescent="0.35">
      <c r="A493" s="3"/>
      <c r="B493" s="3"/>
      <c r="C493" s="3"/>
      <c r="D493" s="3"/>
      <c r="E493" s="3"/>
      <c r="F493" s="3"/>
      <c r="G493" s="3"/>
      <c r="H493" s="3"/>
      <c r="I493" s="3"/>
      <c r="J493" s="3"/>
      <c r="K493" s="3"/>
      <c r="L493" s="3"/>
      <c r="M493" s="3"/>
      <c r="N493" s="3"/>
      <c r="O493" s="3"/>
      <c r="P493" s="3"/>
      <c r="Q493" s="261"/>
      <c r="R493" s="261"/>
    </row>
    <row r="494" spans="1:18" x14ac:dyDescent="0.35">
      <c r="A494" s="3"/>
      <c r="B494" s="3"/>
      <c r="C494" s="3"/>
      <c r="D494" s="3"/>
      <c r="E494" s="3"/>
      <c r="F494" s="3"/>
      <c r="G494" s="3"/>
      <c r="H494" s="3"/>
      <c r="I494" s="3"/>
      <c r="J494" s="3"/>
      <c r="K494" s="3"/>
      <c r="L494" s="3"/>
      <c r="M494" s="3"/>
      <c r="N494" s="3"/>
      <c r="O494" s="3"/>
      <c r="P494" s="3"/>
      <c r="Q494" s="261"/>
      <c r="R494" s="261"/>
    </row>
    <row r="495" spans="1:18" x14ac:dyDescent="0.35">
      <c r="A495" s="3"/>
      <c r="B495" s="3"/>
      <c r="C495" s="3"/>
      <c r="D495" s="3"/>
      <c r="E495" s="3"/>
      <c r="F495" s="3"/>
      <c r="G495" s="3"/>
      <c r="H495" s="3"/>
      <c r="I495" s="3"/>
      <c r="J495" s="3"/>
      <c r="K495" s="3"/>
      <c r="L495" s="3"/>
      <c r="M495" s="3"/>
      <c r="N495" s="3"/>
      <c r="O495" s="3"/>
      <c r="P495" s="3"/>
      <c r="Q495" s="261"/>
      <c r="R495" s="261"/>
    </row>
    <row r="496" spans="1:18" x14ac:dyDescent="0.35">
      <c r="A496" s="3"/>
      <c r="B496" s="3"/>
      <c r="C496" s="3"/>
      <c r="D496" s="3"/>
      <c r="E496" s="3"/>
      <c r="F496" s="3"/>
      <c r="G496" s="3"/>
      <c r="H496" s="3"/>
      <c r="I496" s="3"/>
      <c r="J496" s="3"/>
      <c r="K496" s="3"/>
      <c r="L496" s="3"/>
      <c r="M496" s="3"/>
      <c r="N496" s="3"/>
      <c r="O496" s="3"/>
      <c r="P496" s="3"/>
      <c r="Q496" s="261"/>
      <c r="R496" s="261"/>
    </row>
    <row r="497" spans="1:18" x14ac:dyDescent="0.35">
      <c r="A497" s="3"/>
      <c r="B497" s="3"/>
      <c r="C497" s="3"/>
      <c r="D497" s="3"/>
      <c r="E497" s="3"/>
      <c r="F497" s="3"/>
      <c r="G497" s="3"/>
      <c r="H497" s="3"/>
      <c r="I497" s="3"/>
      <c r="J497" s="3"/>
      <c r="K497" s="3"/>
      <c r="L497" s="3"/>
      <c r="M497" s="3"/>
      <c r="N497" s="3"/>
      <c r="O497" s="3"/>
      <c r="P497" s="3"/>
      <c r="Q497" s="261"/>
      <c r="R497" s="261"/>
    </row>
    <row r="498" spans="1:18" x14ac:dyDescent="0.35">
      <c r="A498" s="3"/>
      <c r="B498" s="3"/>
      <c r="C498" s="3"/>
      <c r="D498" s="3"/>
      <c r="E498" s="3"/>
      <c r="F498" s="3"/>
      <c r="G498" s="3"/>
      <c r="H498" s="3"/>
      <c r="I498" s="3"/>
      <c r="J498" s="3"/>
      <c r="K498" s="3"/>
      <c r="L498" s="3"/>
      <c r="M498" s="3"/>
      <c r="N498" s="3"/>
      <c r="O498" s="3"/>
      <c r="P498" s="3"/>
      <c r="Q498" s="261"/>
      <c r="R498" s="261"/>
    </row>
    <row r="499" spans="1:18" x14ac:dyDescent="0.35">
      <c r="A499" s="3"/>
      <c r="B499" s="3"/>
      <c r="C499" s="3"/>
      <c r="D499" s="3"/>
      <c r="E499" s="3"/>
      <c r="F499" s="3"/>
      <c r="G499" s="3"/>
      <c r="H499" s="3"/>
      <c r="I499" s="3"/>
      <c r="J499" s="3"/>
      <c r="K499" s="3"/>
      <c r="L499" s="3"/>
      <c r="M499" s="3"/>
      <c r="N499" s="3"/>
      <c r="O499" s="3"/>
      <c r="P499" s="3"/>
      <c r="Q499" s="261"/>
      <c r="R499" s="261"/>
    </row>
    <row r="500" spans="1:18" x14ac:dyDescent="0.35">
      <c r="A500" s="3"/>
      <c r="B500" s="3"/>
      <c r="C500" s="3"/>
      <c r="D500" s="3"/>
      <c r="E500" s="3"/>
      <c r="F500" s="3"/>
      <c r="G500" s="3"/>
      <c r="H500" s="3"/>
      <c r="I500" s="3"/>
      <c r="J500" s="3"/>
      <c r="K500" s="3"/>
      <c r="L500" s="3"/>
      <c r="M500" s="3"/>
      <c r="N500" s="3"/>
      <c r="O500" s="3"/>
      <c r="P500" s="3"/>
      <c r="Q500" s="261"/>
      <c r="R500" s="261"/>
    </row>
    <row r="501" spans="1:18" x14ac:dyDescent="0.35">
      <c r="A501" s="3"/>
      <c r="B501" s="3"/>
      <c r="C501" s="3"/>
      <c r="D501" s="3"/>
      <c r="E501" s="3"/>
      <c r="F501" s="3"/>
      <c r="G501" s="3"/>
      <c r="H501" s="3"/>
      <c r="I501" s="3"/>
      <c r="J501" s="3"/>
      <c r="K501" s="3"/>
      <c r="L501" s="3"/>
      <c r="M501" s="3"/>
      <c r="N501" s="3"/>
      <c r="O501" s="3"/>
      <c r="P501" s="3"/>
      <c r="Q501" s="261"/>
      <c r="R501" s="261"/>
    </row>
    <row r="502" spans="1:18" x14ac:dyDescent="0.35">
      <c r="A502" s="3"/>
      <c r="B502" s="3"/>
      <c r="C502" s="3"/>
      <c r="D502" s="3"/>
      <c r="E502" s="3"/>
      <c r="F502" s="3"/>
      <c r="G502" s="3"/>
      <c r="H502" s="3"/>
      <c r="I502" s="3"/>
      <c r="J502" s="3"/>
      <c r="K502" s="3"/>
      <c r="L502" s="3"/>
      <c r="M502" s="3"/>
      <c r="N502" s="3"/>
      <c r="O502" s="3"/>
      <c r="P502" s="3"/>
      <c r="Q502" s="261"/>
      <c r="R502" s="261"/>
    </row>
    <row r="503" spans="1:18" x14ac:dyDescent="0.35">
      <c r="A503" s="3"/>
      <c r="B503" s="3"/>
      <c r="C503" s="3"/>
      <c r="D503" s="3"/>
      <c r="E503" s="3"/>
      <c r="F503" s="3"/>
      <c r="G503" s="3"/>
      <c r="H503" s="3"/>
      <c r="I503" s="3"/>
      <c r="J503" s="3"/>
      <c r="K503" s="3"/>
      <c r="L503" s="3"/>
      <c r="M503" s="3"/>
      <c r="N503" s="3"/>
      <c r="O503" s="3"/>
      <c r="P503" s="3"/>
      <c r="Q503" s="261"/>
      <c r="R503" s="261"/>
    </row>
    <row r="504" spans="1:18" x14ac:dyDescent="0.35">
      <c r="A504" s="3"/>
      <c r="B504" s="3"/>
      <c r="C504" s="3"/>
      <c r="D504" s="3"/>
      <c r="E504" s="3"/>
      <c r="F504" s="3"/>
      <c r="G504" s="3"/>
      <c r="H504" s="3"/>
      <c r="I504" s="3"/>
      <c r="J504" s="3"/>
      <c r="K504" s="3"/>
      <c r="L504" s="3"/>
      <c r="M504" s="3"/>
      <c r="N504" s="3"/>
      <c r="O504" s="3"/>
      <c r="P504" s="3"/>
      <c r="Q504" s="261"/>
      <c r="R504" s="261"/>
    </row>
    <row r="505" spans="1:18" x14ac:dyDescent="0.35">
      <c r="A505" s="3"/>
      <c r="B505" s="3"/>
      <c r="C505" s="3"/>
      <c r="D505" s="3"/>
      <c r="E505" s="3"/>
      <c r="F505" s="3"/>
      <c r="G505" s="3"/>
      <c r="H505" s="3"/>
      <c r="I505" s="3"/>
      <c r="J505" s="3"/>
      <c r="K505" s="3"/>
      <c r="L505" s="3"/>
      <c r="M505" s="3"/>
      <c r="N505" s="3"/>
      <c r="O505" s="3"/>
      <c r="P505" s="3"/>
      <c r="Q505" s="261"/>
      <c r="R505" s="261"/>
    </row>
    <row r="506" spans="1:18" x14ac:dyDescent="0.35">
      <c r="A506" s="3"/>
      <c r="B506" s="3"/>
      <c r="C506" s="3"/>
      <c r="D506" s="3"/>
      <c r="E506" s="3"/>
      <c r="F506" s="3"/>
      <c r="G506" s="3"/>
      <c r="H506" s="3"/>
      <c r="I506" s="3"/>
      <c r="J506" s="3"/>
      <c r="K506" s="3"/>
      <c r="L506" s="3"/>
      <c r="M506" s="3"/>
      <c r="N506" s="3"/>
      <c r="O506" s="3"/>
      <c r="P506" s="3"/>
      <c r="Q506" s="261"/>
      <c r="R506" s="261"/>
    </row>
    <row r="507" spans="1:18" x14ac:dyDescent="0.35">
      <c r="A507" s="3"/>
      <c r="B507" s="3"/>
      <c r="C507" s="3"/>
      <c r="D507" s="3"/>
      <c r="E507" s="3"/>
      <c r="F507" s="3"/>
      <c r="G507" s="3"/>
      <c r="H507" s="3"/>
      <c r="I507" s="3"/>
      <c r="J507" s="3"/>
      <c r="K507" s="3"/>
      <c r="L507" s="3"/>
      <c r="M507" s="3"/>
      <c r="N507" s="3"/>
      <c r="O507" s="3"/>
      <c r="P507" s="3"/>
      <c r="Q507" s="261"/>
      <c r="R507" s="261"/>
    </row>
    <row r="508" spans="1:18" x14ac:dyDescent="0.35">
      <c r="A508" s="3"/>
      <c r="B508" s="3"/>
      <c r="C508" s="3"/>
      <c r="D508" s="3"/>
      <c r="E508" s="3"/>
      <c r="F508" s="3"/>
      <c r="G508" s="3"/>
      <c r="H508" s="3"/>
      <c r="I508" s="3"/>
      <c r="J508" s="3"/>
      <c r="K508" s="3"/>
      <c r="L508" s="3"/>
      <c r="M508" s="3"/>
      <c r="N508" s="3"/>
      <c r="O508" s="3"/>
      <c r="P508" s="3"/>
      <c r="Q508" s="261"/>
      <c r="R508" s="261"/>
    </row>
    <row r="509" spans="1:18" x14ac:dyDescent="0.35">
      <c r="A509" s="3"/>
      <c r="B509" s="3"/>
      <c r="C509" s="3"/>
      <c r="D509" s="3"/>
      <c r="E509" s="3"/>
      <c r="F509" s="3"/>
      <c r="G509" s="3"/>
      <c r="H509" s="3"/>
      <c r="I509" s="3"/>
      <c r="J509" s="3"/>
      <c r="K509" s="3"/>
      <c r="L509" s="3"/>
      <c r="M509" s="3"/>
      <c r="N509" s="3"/>
      <c r="O509" s="3"/>
      <c r="P509" s="3"/>
      <c r="Q509" s="261"/>
      <c r="R509" s="261"/>
    </row>
    <row r="510" spans="1:18" x14ac:dyDescent="0.35">
      <c r="A510" s="3"/>
      <c r="B510" s="3"/>
      <c r="C510" s="3"/>
      <c r="D510" s="3"/>
      <c r="E510" s="3"/>
      <c r="F510" s="3"/>
      <c r="G510" s="3"/>
      <c r="H510" s="3"/>
      <c r="I510" s="3"/>
      <c r="J510" s="3"/>
      <c r="K510" s="3"/>
      <c r="L510" s="3"/>
      <c r="M510" s="3"/>
      <c r="N510" s="3"/>
      <c r="O510" s="3"/>
      <c r="P510" s="3"/>
      <c r="Q510" s="261"/>
      <c r="R510" s="261"/>
    </row>
    <row r="511" spans="1:18" x14ac:dyDescent="0.35">
      <c r="A511" s="3"/>
      <c r="B511" s="3"/>
      <c r="C511" s="3"/>
      <c r="D511" s="3"/>
      <c r="E511" s="3"/>
      <c r="F511" s="3"/>
      <c r="G511" s="3"/>
      <c r="H511" s="3"/>
      <c r="I511" s="3"/>
      <c r="J511" s="3"/>
      <c r="K511" s="3"/>
      <c r="L511" s="3"/>
      <c r="M511" s="3"/>
      <c r="N511" s="3"/>
      <c r="O511" s="3"/>
      <c r="P511" s="3"/>
      <c r="Q511" s="261"/>
      <c r="R511" s="261"/>
    </row>
    <row r="512" spans="1:18" x14ac:dyDescent="0.35">
      <c r="A512" s="3"/>
      <c r="B512" s="3"/>
      <c r="C512" s="3"/>
      <c r="D512" s="3"/>
      <c r="E512" s="3"/>
      <c r="F512" s="3"/>
      <c r="G512" s="3"/>
      <c r="H512" s="3"/>
      <c r="I512" s="3"/>
      <c r="J512" s="3"/>
      <c r="K512" s="3"/>
      <c r="L512" s="3"/>
      <c r="M512" s="3"/>
      <c r="N512" s="3"/>
      <c r="O512" s="3"/>
      <c r="P512" s="3"/>
      <c r="Q512" s="261"/>
      <c r="R512" s="261"/>
    </row>
    <row r="513" spans="1:18" x14ac:dyDescent="0.35">
      <c r="A513" s="3"/>
      <c r="B513" s="3"/>
      <c r="C513" s="3"/>
      <c r="D513" s="3"/>
      <c r="E513" s="3"/>
      <c r="F513" s="3"/>
      <c r="G513" s="3"/>
      <c r="H513" s="3"/>
      <c r="I513" s="3"/>
      <c r="J513" s="3"/>
      <c r="K513" s="3"/>
      <c r="L513" s="3"/>
      <c r="M513" s="3"/>
      <c r="N513" s="3"/>
      <c r="O513" s="3"/>
      <c r="P513" s="3"/>
      <c r="Q513" s="261"/>
      <c r="R513" s="261"/>
    </row>
    <row r="514" spans="1:18" x14ac:dyDescent="0.35">
      <c r="A514" s="3"/>
      <c r="B514" s="3"/>
      <c r="C514" s="3"/>
      <c r="D514" s="3"/>
      <c r="E514" s="3"/>
      <c r="F514" s="3"/>
      <c r="G514" s="3"/>
      <c r="H514" s="3"/>
      <c r="I514" s="3"/>
      <c r="J514" s="3"/>
      <c r="K514" s="3"/>
      <c r="L514" s="3"/>
      <c r="M514" s="3"/>
      <c r="N514" s="3"/>
      <c r="O514" s="3"/>
      <c r="P514" s="3"/>
      <c r="Q514" s="261"/>
      <c r="R514" s="261"/>
    </row>
    <row r="515" spans="1:18" x14ac:dyDescent="0.35">
      <c r="A515" s="3"/>
      <c r="B515" s="3"/>
      <c r="C515" s="3"/>
      <c r="D515" s="3"/>
      <c r="E515" s="3"/>
      <c r="F515" s="3"/>
      <c r="G515" s="3"/>
      <c r="H515" s="3"/>
      <c r="I515" s="3"/>
      <c r="J515" s="3"/>
      <c r="K515" s="3"/>
      <c r="L515" s="3"/>
      <c r="M515" s="3"/>
      <c r="N515" s="3"/>
      <c r="O515" s="3"/>
      <c r="P515" s="3"/>
      <c r="Q515" s="261"/>
      <c r="R515" s="261"/>
    </row>
    <row r="516" spans="1:18" x14ac:dyDescent="0.35">
      <c r="A516" s="3"/>
      <c r="B516" s="3"/>
      <c r="C516" s="3"/>
      <c r="D516" s="3"/>
      <c r="E516" s="3"/>
      <c r="F516" s="3"/>
      <c r="G516" s="3"/>
      <c r="H516" s="3"/>
      <c r="I516" s="3"/>
      <c r="J516" s="3"/>
      <c r="K516" s="3"/>
      <c r="L516" s="3"/>
      <c r="M516" s="3"/>
      <c r="N516" s="3"/>
      <c r="O516" s="3"/>
      <c r="P516" s="3"/>
      <c r="Q516" s="261"/>
      <c r="R516" s="261"/>
    </row>
    <row r="517" spans="1:18" x14ac:dyDescent="0.35">
      <c r="A517" s="3"/>
      <c r="B517" s="3"/>
      <c r="C517" s="3"/>
      <c r="D517" s="3"/>
      <c r="E517" s="3"/>
      <c r="F517" s="3"/>
      <c r="G517" s="3"/>
      <c r="H517" s="3"/>
      <c r="I517" s="3"/>
      <c r="J517" s="3"/>
      <c r="K517" s="3"/>
      <c r="L517" s="3"/>
      <c r="M517" s="3"/>
      <c r="N517" s="3"/>
      <c r="O517" s="3"/>
      <c r="P517" s="3"/>
      <c r="Q517" s="261"/>
      <c r="R517" s="261"/>
    </row>
    <row r="518" spans="1:18" x14ac:dyDescent="0.35">
      <c r="A518" s="3"/>
      <c r="B518" s="3"/>
      <c r="C518" s="3"/>
      <c r="D518" s="3"/>
      <c r="E518" s="3"/>
      <c r="F518" s="3"/>
      <c r="G518" s="3"/>
      <c r="H518" s="3"/>
      <c r="I518" s="3"/>
      <c r="J518" s="3"/>
      <c r="K518" s="3"/>
      <c r="L518" s="3"/>
      <c r="M518" s="3"/>
      <c r="N518" s="3"/>
      <c r="O518" s="3"/>
      <c r="P518" s="3"/>
      <c r="Q518" s="261"/>
      <c r="R518" s="261"/>
    </row>
    <row r="519" spans="1:18" x14ac:dyDescent="0.35">
      <c r="A519" s="3"/>
      <c r="B519" s="3"/>
      <c r="C519" s="3"/>
      <c r="D519" s="3"/>
      <c r="E519" s="3"/>
      <c r="F519" s="3"/>
      <c r="G519" s="3"/>
      <c r="H519" s="3"/>
      <c r="I519" s="3"/>
      <c r="J519" s="3"/>
      <c r="K519" s="3"/>
      <c r="L519" s="3"/>
      <c r="M519" s="3"/>
      <c r="N519" s="3"/>
      <c r="O519" s="3"/>
      <c r="P519" s="3"/>
      <c r="Q519" s="261"/>
      <c r="R519" s="261"/>
    </row>
    <row r="520" spans="1:18" x14ac:dyDescent="0.35">
      <c r="A520" s="3"/>
      <c r="B520" s="3"/>
      <c r="C520" s="3"/>
      <c r="D520" s="3"/>
      <c r="E520" s="3"/>
      <c r="F520" s="3"/>
      <c r="G520" s="3"/>
      <c r="H520" s="3"/>
      <c r="I520" s="3"/>
      <c r="J520" s="3"/>
      <c r="K520" s="3"/>
      <c r="L520" s="3"/>
      <c r="M520" s="3"/>
      <c r="N520" s="3"/>
      <c r="O520" s="3"/>
      <c r="P520" s="3"/>
      <c r="Q520" s="261"/>
      <c r="R520" s="261"/>
    </row>
    <row r="521" spans="1:18" x14ac:dyDescent="0.35">
      <c r="A521" s="3"/>
      <c r="B521" s="3"/>
      <c r="C521" s="3"/>
      <c r="D521" s="3"/>
      <c r="E521" s="3"/>
      <c r="F521" s="3"/>
      <c r="G521" s="3"/>
      <c r="H521" s="3"/>
      <c r="I521" s="3"/>
      <c r="J521" s="3"/>
      <c r="K521" s="3"/>
      <c r="L521" s="3"/>
      <c r="M521" s="3"/>
      <c r="N521" s="3"/>
      <c r="O521" s="3"/>
      <c r="P521" s="3"/>
      <c r="Q521" s="261"/>
      <c r="R521" s="261"/>
    </row>
    <row r="522" spans="1:18" x14ac:dyDescent="0.35">
      <c r="A522" s="3"/>
      <c r="B522" s="3"/>
      <c r="C522" s="3"/>
      <c r="D522" s="3"/>
      <c r="E522" s="3"/>
      <c r="F522" s="3"/>
      <c r="G522" s="3"/>
      <c r="H522" s="3"/>
      <c r="I522" s="3"/>
      <c r="J522" s="3"/>
      <c r="K522" s="3"/>
      <c r="L522" s="3"/>
      <c r="M522" s="3"/>
      <c r="N522" s="3"/>
      <c r="O522" s="3"/>
      <c r="P522" s="3"/>
      <c r="Q522" s="261"/>
      <c r="R522" s="261"/>
    </row>
    <row r="523" spans="1:18" x14ac:dyDescent="0.35">
      <c r="A523" s="3"/>
      <c r="B523" s="3"/>
      <c r="C523" s="3"/>
      <c r="D523" s="3"/>
      <c r="E523" s="3"/>
      <c r="F523" s="3"/>
      <c r="G523" s="3"/>
      <c r="H523" s="3"/>
      <c r="I523" s="3"/>
      <c r="J523" s="3"/>
      <c r="K523" s="3"/>
      <c r="L523" s="3"/>
      <c r="M523" s="3"/>
      <c r="N523" s="3"/>
      <c r="O523" s="3"/>
      <c r="P523" s="3"/>
      <c r="Q523" s="261"/>
      <c r="R523" s="261"/>
    </row>
    <row r="524" spans="1:18" x14ac:dyDescent="0.35">
      <c r="A524" s="3"/>
      <c r="B524" s="3"/>
      <c r="C524" s="3"/>
      <c r="D524" s="3"/>
      <c r="E524" s="3"/>
      <c r="F524" s="3"/>
      <c r="G524" s="3"/>
      <c r="H524" s="3"/>
      <c r="I524" s="3"/>
      <c r="J524" s="3"/>
      <c r="K524" s="3"/>
      <c r="L524" s="3"/>
      <c r="M524" s="3"/>
      <c r="N524" s="3"/>
      <c r="O524" s="3"/>
      <c r="P524" s="3"/>
      <c r="Q524" s="261"/>
      <c r="R524" s="261"/>
    </row>
    <row r="525" spans="1:18" x14ac:dyDescent="0.35">
      <c r="A525" s="3"/>
      <c r="B525" s="3"/>
      <c r="C525" s="3"/>
      <c r="D525" s="3"/>
      <c r="E525" s="3"/>
      <c r="F525" s="3"/>
      <c r="G525" s="3"/>
      <c r="H525" s="3"/>
      <c r="I525" s="3"/>
      <c r="J525" s="3"/>
      <c r="K525" s="3"/>
      <c r="L525" s="3"/>
      <c r="M525" s="3"/>
      <c r="N525" s="3"/>
      <c r="O525" s="3"/>
      <c r="P525" s="3"/>
      <c r="Q525" s="261"/>
      <c r="R525" s="261"/>
    </row>
    <row r="526" spans="1:18" x14ac:dyDescent="0.35">
      <c r="A526" s="3"/>
      <c r="B526" s="3"/>
      <c r="C526" s="3"/>
      <c r="D526" s="3"/>
      <c r="E526" s="3"/>
      <c r="F526" s="3"/>
      <c r="G526" s="3"/>
      <c r="H526" s="3"/>
      <c r="I526" s="3"/>
      <c r="J526" s="3"/>
      <c r="K526" s="3"/>
      <c r="L526" s="3"/>
      <c r="M526" s="3"/>
      <c r="N526" s="3"/>
      <c r="O526" s="3"/>
      <c r="P526" s="3"/>
      <c r="Q526" s="261"/>
      <c r="R526" s="261"/>
    </row>
    <row r="527" spans="1:18" x14ac:dyDescent="0.35">
      <c r="A527" s="3"/>
      <c r="B527" s="3"/>
      <c r="C527" s="3"/>
      <c r="D527" s="3"/>
      <c r="E527" s="3"/>
      <c r="F527" s="3"/>
      <c r="G527" s="3"/>
      <c r="H527" s="3"/>
      <c r="I527" s="3"/>
      <c r="J527" s="3"/>
      <c r="K527" s="3"/>
      <c r="L527" s="3"/>
      <c r="M527" s="3"/>
      <c r="N527" s="3"/>
      <c r="O527" s="3"/>
      <c r="P527" s="3"/>
      <c r="Q527" s="261"/>
      <c r="R527" s="261"/>
    </row>
    <row r="528" spans="1:18" x14ac:dyDescent="0.35">
      <c r="A528" s="3"/>
      <c r="B528" s="3"/>
      <c r="C528" s="3"/>
      <c r="D528" s="3"/>
      <c r="E528" s="3"/>
      <c r="F528" s="3"/>
      <c r="G528" s="3"/>
      <c r="H528" s="3"/>
      <c r="I528" s="3"/>
      <c r="J528" s="3"/>
      <c r="K528" s="3"/>
      <c r="L528" s="3"/>
      <c r="M528" s="3"/>
      <c r="N528" s="3"/>
      <c r="O528" s="3"/>
      <c r="P528" s="3"/>
      <c r="Q528" s="261"/>
      <c r="R528" s="261"/>
    </row>
    <row r="529" spans="1:18" x14ac:dyDescent="0.35">
      <c r="A529" s="3"/>
      <c r="B529" s="3"/>
      <c r="C529" s="3"/>
      <c r="D529" s="3"/>
      <c r="E529" s="3"/>
      <c r="F529" s="3"/>
      <c r="G529" s="3"/>
      <c r="H529" s="3"/>
      <c r="I529" s="3"/>
      <c r="J529" s="3"/>
      <c r="K529" s="3"/>
      <c r="L529" s="3"/>
      <c r="M529" s="3"/>
      <c r="N529" s="3"/>
      <c r="O529" s="3"/>
      <c r="P529" s="3"/>
      <c r="Q529" s="261"/>
      <c r="R529" s="261"/>
    </row>
    <row r="530" spans="1:18" x14ac:dyDescent="0.35">
      <c r="A530" s="3"/>
      <c r="B530" s="3"/>
      <c r="C530" s="3"/>
      <c r="D530" s="3"/>
      <c r="E530" s="3"/>
      <c r="F530" s="3"/>
      <c r="G530" s="3"/>
      <c r="H530" s="3"/>
      <c r="I530" s="3"/>
      <c r="J530" s="3"/>
      <c r="K530" s="3"/>
      <c r="L530" s="3"/>
      <c r="M530" s="3"/>
      <c r="N530" s="3"/>
      <c r="O530" s="3"/>
      <c r="P530" s="3"/>
      <c r="Q530" s="261"/>
      <c r="R530" s="261"/>
    </row>
    <row r="531" spans="1:18" x14ac:dyDescent="0.35">
      <c r="A531" s="3"/>
      <c r="B531" s="3"/>
      <c r="C531" s="3"/>
      <c r="D531" s="3"/>
      <c r="E531" s="3"/>
      <c r="F531" s="3"/>
      <c r="G531" s="3"/>
      <c r="H531" s="3"/>
      <c r="I531" s="3"/>
      <c r="J531" s="3"/>
      <c r="K531" s="3"/>
      <c r="L531" s="3"/>
      <c r="M531" s="3"/>
      <c r="N531" s="3"/>
      <c r="O531" s="3"/>
      <c r="P531" s="3"/>
      <c r="Q531" s="261"/>
      <c r="R531" s="261"/>
    </row>
    <row r="532" spans="1:18" x14ac:dyDescent="0.35">
      <c r="A532" s="3"/>
      <c r="B532" s="3"/>
      <c r="C532" s="3"/>
      <c r="D532" s="3"/>
      <c r="E532" s="3"/>
      <c r="F532" s="3"/>
      <c r="G532" s="3"/>
      <c r="H532" s="3"/>
      <c r="I532" s="3"/>
      <c r="J532" s="3"/>
      <c r="K532" s="3"/>
      <c r="L532" s="3"/>
      <c r="M532" s="3"/>
      <c r="N532" s="3"/>
      <c r="O532" s="3"/>
      <c r="P532" s="3"/>
      <c r="Q532" s="261"/>
      <c r="R532" s="261"/>
    </row>
    <row r="533" spans="1:18" x14ac:dyDescent="0.35">
      <c r="A533" s="3"/>
      <c r="B533" s="3"/>
      <c r="C533" s="3"/>
      <c r="D533" s="3"/>
      <c r="E533" s="3"/>
      <c r="F533" s="3"/>
      <c r="G533" s="3"/>
      <c r="H533" s="3"/>
      <c r="I533" s="3"/>
      <c r="J533" s="3"/>
      <c r="K533" s="3"/>
      <c r="L533" s="3"/>
      <c r="M533" s="3"/>
      <c r="N533" s="3"/>
      <c r="O533" s="3"/>
      <c r="P533" s="3"/>
      <c r="Q533" s="261"/>
      <c r="R533" s="261"/>
    </row>
    <row r="534" spans="1:18" x14ac:dyDescent="0.35">
      <c r="A534" s="3"/>
      <c r="B534" s="3"/>
      <c r="C534" s="3"/>
      <c r="D534" s="3"/>
      <c r="E534" s="3"/>
      <c r="F534" s="3"/>
      <c r="G534" s="3"/>
      <c r="H534" s="3"/>
      <c r="I534" s="3"/>
      <c r="J534" s="3"/>
      <c r="K534" s="3"/>
      <c r="L534" s="3"/>
      <c r="M534" s="3"/>
      <c r="N534" s="3"/>
      <c r="O534" s="3"/>
      <c r="P534" s="3"/>
      <c r="Q534" s="261"/>
      <c r="R534" s="261"/>
    </row>
    <row r="535" spans="1:18" x14ac:dyDescent="0.35">
      <c r="A535" s="3"/>
      <c r="B535" s="3"/>
      <c r="C535" s="3"/>
      <c r="D535" s="3"/>
      <c r="E535" s="3"/>
      <c r="F535" s="3"/>
      <c r="G535" s="3"/>
      <c r="H535" s="3"/>
      <c r="I535" s="3"/>
      <c r="J535" s="3"/>
      <c r="K535" s="3"/>
      <c r="L535" s="3"/>
      <c r="M535" s="3"/>
      <c r="N535" s="3"/>
      <c r="O535" s="3"/>
      <c r="P535" s="3"/>
      <c r="Q535" s="261"/>
      <c r="R535" s="261"/>
    </row>
    <row r="536" spans="1:18" x14ac:dyDescent="0.35">
      <c r="A536" s="3"/>
      <c r="B536" s="3"/>
      <c r="C536" s="3"/>
      <c r="D536" s="3"/>
      <c r="E536" s="3"/>
      <c r="F536" s="3"/>
      <c r="G536" s="3"/>
      <c r="H536" s="3"/>
      <c r="I536" s="3"/>
      <c r="J536" s="3"/>
      <c r="K536" s="3"/>
      <c r="L536" s="3"/>
      <c r="M536" s="3"/>
      <c r="N536" s="3"/>
      <c r="O536" s="3"/>
      <c r="P536" s="3"/>
      <c r="Q536" s="261"/>
      <c r="R536" s="261"/>
    </row>
    <row r="537" spans="1:18" x14ac:dyDescent="0.35">
      <c r="A537" s="3"/>
      <c r="B537" s="3"/>
      <c r="C537" s="3"/>
      <c r="D537" s="3"/>
      <c r="E537" s="3"/>
      <c r="F537" s="3"/>
      <c r="G537" s="3"/>
      <c r="H537" s="3"/>
      <c r="I537" s="3"/>
      <c r="J537" s="3"/>
      <c r="K537" s="3"/>
      <c r="L537" s="3"/>
      <c r="M537" s="3"/>
      <c r="N537" s="3"/>
      <c r="O537" s="3"/>
      <c r="P537" s="3"/>
      <c r="Q537" s="261"/>
      <c r="R537" s="261"/>
    </row>
    <row r="538" spans="1:18" x14ac:dyDescent="0.35">
      <c r="A538" s="3"/>
      <c r="B538" s="3"/>
      <c r="C538" s="3"/>
      <c r="D538" s="3"/>
      <c r="E538" s="3"/>
      <c r="F538" s="3"/>
      <c r="G538" s="3"/>
      <c r="H538" s="3"/>
      <c r="I538" s="3"/>
      <c r="J538" s="3"/>
      <c r="K538" s="3"/>
      <c r="L538" s="3"/>
      <c r="M538" s="3"/>
      <c r="N538" s="3"/>
      <c r="O538" s="3"/>
      <c r="P538" s="3"/>
      <c r="Q538" s="261"/>
      <c r="R538" s="261"/>
    </row>
    <row r="539" spans="1:18" x14ac:dyDescent="0.35">
      <c r="A539" s="3"/>
      <c r="B539" s="3"/>
      <c r="C539" s="3"/>
      <c r="D539" s="3"/>
      <c r="E539" s="3"/>
      <c r="F539" s="3"/>
      <c r="G539" s="3"/>
      <c r="H539" s="3"/>
      <c r="I539" s="3"/>
      <c r="J539" s="3"/>
      <c r="K539" s="3"/>
      <c r="L539" s="3"/>
      <c r="M539" s="3"/>
      <c r="N539" s="3"/>
      <c r="O539" s="3"/>
      <c r="P539" s="3"/>
      <c r="Q539" s="261"/>
      <c r="R539" s="261"/>
    </row>
    <row r="540" spans="1:18" x14ac:dyDescent="0.35">
      <c r="A540" s="3"/>
      <c r="B540" s="3"/>
      <c r="C540" s="3"/>
      <c r="D540" s="3"/>
      <c r="E540" s="3"/>
      <c r="F540" s="3"/>
      <c r="G540" s="3"/>
      <c r="H540" s="3"/>
      <c r="I540" s="3"/>
      <c r="J540" s="3"/>
      <c r="K540" s="3"/>
      <c r="L540" s="3"/>
      <c r="M540" s="3"/>
      <c r="N540" s="3"/>
      <c r="O540" s="3"/>
      <c r="P540" s="3"/>
      <c r="Q540" s="261"/>
      <c r="R540" s="261"/>
    </row>
    <row r="541" spans="1:18" x14ac:dyDescent="0.35">
      <c r="A541" s="3"/>
      <c r="B541" s="3"/>
      <c r="C541" s="3"/>
      <c r="D541" s="3"/>
      <c r="E541" s="3"/>
      <c r="F541" s="3"/>
      <c r="G541" s="3"/>
      <c r="H541" s="3"/>
      <c r="I541" s="3"/>
      <c r="J541" s="3"/>
      <c r="K541" s="3"/>
      <c r="L541" s="3"/>
      <c r="M541" s="3"/>
      <c r="N541" s="3"/>
      <c r="O541" s="3"/>
      <c r="P541" s="3"/>
      <c r="Q541" s="261"/>
      <c r="R541" s="261"/>
    </row>
    <row r="542" spans="1:18" x14ac:dyDescent="0.35">
      <c r="A542" s="3"/>
      <c r="B542" s="3"/>
      <c r="C542" s="3"/>
      <c r="D542" s="3"/>
      <c r="E542" s="3"/>
      <c r="F542" s="3"/>
      <c r="G542" s="3"/>
      <c r="H542" s="3"/>
      <c r="I542" s="3"/>
      <c r="J542" s="3"/>
      <c r="K542" s="3"/>
      <c r="L542" s="3"/>
      <c r="M542" s="3"/>
      <c r="N542" s="3"/>
      <c r="O542" s="3"/>
      <c r="P542" s="3"/>
      <c r="Q542" s="261"/>
      <c r="R542" s="261"/>
    </row>
    <row r="543" spans="1:18" x14ac:dyDescent="0.35">
      <c r="A543" s="3"/>
      <c r="B543" s="3"/>
      <c r="C543" s="3"/>
      <c r="D543" s="3"/>
      <c r="E543" s="3"/>
      <c r="F543" s="3"/>
      <c r="G543" s="3"/>
      <c r="H543" s="3"/>
      <c r="I543" s="3"/>
      <c r="J543" s="3"/>
      <c r="K543" s="3"/>
      <c r="L543" s="3"/>
      <c r="M543" s="3"/>
      <c r="N543" s="3"/>
      <c r="O543" s="3"/>
      <c r="P543" s="3"/>
      <c r="Q543" s="261"/>
      <c r="R543" s="261"/>
    </row>
    <row r="544" spans="1:18" x14ac:dyDescent="0.35">
      <c r="A544" s="3"/>
      <c r="B544" s="3"/>
      <c r="C544" s="3"/>
      <c r="D544" s="3"/>
      <c r="E544" s="3"/>
      <c r="F544" s="3"/>
      <c r="G544" s="3"/>
      <c r="H544" s="3"/>
      <c r="I544" s="3"/>
      <c r="J544" s="3"/>
      <c r="K544" s="3"/>
      <c r="L544" s="3"/>
      <c r="M544" s="3"/>
      <c r="N544" s="3"/>
      <c r="O544" s="3"/>
      <c r="P544" s="3"/>
      <c r="Q544" s="261"/>
      <c r="R544" s="261"/>
    </row>
    <row r="545" spans="1:18" x14ac:dyDescent="0.35">
      <c r="A545" s="3"/>
      <c r="B545" s="3"/>
      <c r="C545" s="3"/>
      <c r="D545" s="3"/>
      <c r="E545" s="3"/>
      <c r="F545" s="3"/>
      <c r="G545" s="3"/>
      <c r="H545" s="3"/>
      <c r="I545" s="3"/>
      <c r="J545" s="3"/>
      <c r="K545" s="3"/>
      <c r="L545" s="3"/>
      <c r="M545" s="3"/>
      <c r="N545" s="3"/>
      <c r="O545" s="3"/>
      <c r="P545" s="3"/>
      <c r="Q545" s="261"/>
      <c r="R545" s="261"/>
    </row>
    <row r="546" spans="1:18" x14ac:dyDescent="0.35">
      <c r="A546" s="3"/>
      <c r="B546" s="3"/>
      <c r="C546" s="3"/>
      <c r="D546" s="3"/>
      <c r="E546" s="3"/>
      <c r="F546" s="3"/>
      <c r="G546" s="3"/>
      <c r="H546" s="3"/>
      <c r="I546" s="3"/>
      <c r="J546" s="3"/>
      <c r="K546" s="3"/>
      <c r="L546" s="3"/>
      <c r="M546" s="3"/>
      <c r="N546" s="3"/>
      <c r="O546" s="3"/>
      <c r="P546" s="3"/>
      <c r="Q546" s="261"/>
      <c r="R546" s="261"/>
    </row>
    <row r="547" spans="1:18" x14ac:dyDescent="0.35">
      <c r="A547" s="3"/>
      <c r="B547" s="3"/>
      <c r="C547" s="3"/>
      <c r="D547" s="3"/>
      <c r="E547" s="3"/>
      <c r="F547" s="3"/>
      <c r="G547" s="3"/>
      <c r="H547" s="3"/>
      <c r="I547" s="3"/>
      <c r="J547" s="3"/>
      <c r="K547" s="3"/>
      <c r="L547" s="3"/>
      <c r="M547" s="3"/>
      <c r="N547" s="3"/>
      <c r="O547" s="3"/>
      <c r="P547" s="3"/>
      <c r="Q547" s="261"/>
      <c r="R547" s="261"/>
    </row>
    <row r="548" spans="1:18" x14ac:dyDescent="0.35">
      <c r="A548" s="3"/>
      <c r="B548" s="3"/>
      <c r="C548" s="3"/>
      <c r="D548" s="3"/>
      <c r="E548" s="3"/>
      <c r="F548" s="3"/>
      <c r="G548" s="3"/>
      <c r="H548" s="3"/>
      <c r="I548" s="3"/>
      <c r="J548" s="3"/>
      <c r="K548" s="3"/>
      <c r="L548" s="3"/>
      <c r="M548" s="3"/>
      <c r="N548" s="3"/>
      <c r="O548" s="3"/>
      <c r="P548" s="3"/>
      <c r="Q548" s="261"/>
      <c r="R548" s="261"/>
    </row>
    <row r="549" spans="1:18" x14ac:dyDescent="0.35">
      <c r="A549" s="3"/>
      <c r="B549" s="3"/>
      <c r="C549" s="3"/>
      <c r="D549" s="3"/>
      <c r="E549" s="3"/>
      <c r="F549" s="3"/>
      <c r="G549" s="3"/>
      <c r="H549" s="3"/>
      <c r="I549" s="3"/>
      <c r="J549" s="3"/>
      <c r="K549" s="3"/>
      <c r="L549" s="3"/>
      <c r="M549" s="3"/>
      <c r="N549" s="3"/>
      <c r="O549" s="3"/>
      <c r="P549" s="3"/>
      <c r="Q549" s="261"/>
      <c r="R549" s="261"/>
    </row>
    <row r="550" spans="1:18" x14ac:dyDescent="0.35">
      <c r="A550" s="3"/>
      <c r="B550" s="3"/>
      <c r="C550" s="3"/>
      <c r="D550" s="3"/>
      <c r="E550" s="3"/>
      <c r="F550" s="3"/>
      <c r="G550" s="3"/>
      <c r="H550" s="3"/>
      <c r="I550" s="3"/>
      <c r="J550" s="3"/>
      <c r="K550" s="3"/>
      <c r="L550" s="3"/>
      <c r="M550" s="3"/>
      <c r="N550" s="3"/>
      <c r="O550" s="3"/>
      <c r="P550" s="3"/>
      <c r="Q550" s="261"/>
      <c r="R550" s="261"/>
    </row>
    <row r="551" spans="1:18" x14ac:dyDescent="0.35">
      <c r="A551" s="3"/>
      <c r="B551" s="3"/>
      <c r="C551" s="3"/>
      <c r="D551" s="3"/>
      <c r="E551" s="3"/>
      <c r="F551" s="3"/>
      <c r="G551" s="3"/>
      <c r="H551" s="3"/>
      <c r="I551" s="3"/>
      <c r="J551" s="3"/>
      <c r="K551" s="3"/>
      <c r="L551" s="3"/>
      <c r="M551" s="3"/>
      <c r="N551" s="3"/>
      <c r="O551" s="3"/>
      <c r="P551" s="3"/>
      <c r="Q551" s="261"/>
      <c r="R551" s="261"/>
    </row>
    <row r="552" spans="1:18" x14ac:dyDescent="0.35">
      <c r="A552" s="3"/>
      <c r="B552" s="3"/>
      <c r="C552" s="3"/>
      <c r="D552" s="3"/>
      <c r="E552" s="3"/>
      <c r="F552" s="3"/>
      <c r="G552" s="3"/>
      <c r="H552" s="3"/>
      <c r="I552" s="3"/>
      <c r="J552" s="3"/>
      <c r="K552" s="3"/>
      <c r="L552" s="3"/>
      <c r="M552" s="3"/>
      <c r="N552" s="3"/>
      <c r="O552" s="3"/>
      <c r="P552" s="3"/>
      <c r="Q552" s="261"/>
      <c r="R552" s="261"/>
    </row>
    <row r="553" spans="1:18" x14ac:dyDescent="0.35">
      <c r="A553" s="3"/>
      <c r="B553" s="3"/>
      <c r="C553" s="3"/>
      <c r="D553" s="3"/>
      <c r="E553" s="3"/>
      <c r="F553" s="3"/>
      <c r="G553" s="3"/>
      <c r="H553" s="3"/>
      <c r="I553" s="3"/>
      <c r="J553" s="3"/>
      <c r="K553" s="3"/>
      <c r="L553" s="3"/>
      <c r="M553" s="3"/>
      <c r="N553" s="3"/>
      <c r="O553" s="3"/>
      <c r="P553" s="3"/>
      <c r="Q553" s="261"/>
      <c r="R553" s="261"/>
    </row>
    <row r="554" spans="1:18" x14ac:dyDescent="0.35">
      <c r="A554" s="3"/>
      <c r="B554" s="3"/>
      <c r="C554" s="3"/>
      <c r="D554" s="3"/>
      <c r="E554" s="3"/>
      <c r="F554" s="3"/>
      <c r="G554" s="3"/>
      <c r="H554" s="3"/>
      <c r="I554" s="3"/>
      <c r="J554" s="3"/>
      <c r="K554" s="3"/>
      <c r="L554" s="3"/>
      <c r="M554" s="3"/>
      <c r="N554" s="3"/>
      <c r="O554" s="3"/>
      <c r="P554" s="3"/>
      <c r="Q554" s="261"/>
      <c r="R554" s="261"/>
    </row>
    <row r="555" spans="1:18" x14ac:dyDescent="0.35">
      <c r="A555" s="3"/>
      <c r="B555" s="3"/>
      <c r="C555" s="3"/>
      <c r="D555" s="3"/>
      <c r="E555" s="3"/>
      <c r="F555" s="3"/>
      <c r="G555" s="3"/>
      <c r="H555" s="3"/>
      <c r="I555" s="3"/>
      <c r="J555" s="3"/>
      <c r="K555" s="3"/>
      <c r="L555" s="3"/>
      <c r="M555" s="3"/>
      <c r="N555" s="3"/>
      <c r="O555" s="3"/>
      <c r="P555" s="3"/>
      <c r="Q555" s="261"/>
      <c r="R555" s="261"/>
    </row>
    <row r="556" spans="1:18" x14ac:dyDescent="0.35">
      <c r="A556" s="3"/>
      <c r="B556" s="3"/>
      <c r="C556" s="3"/>
      <c r="D556" s="3"/>
      <c r="E556" s="3"/>
      <c r="F556" s="3"/>
      <c r="G556" s="3"/>
      <c r="H556" s="3"/>
      <c r="I556" s="3"/>
      <c r="J556" s="3"/>
      <c r="K556" s="3"/>
      <c r="L556" s="3"/>
      <c r="M556" s="3"/>
      <c r="N556" s="3"/>
      <c r="O556" s="3"/>
      <c r="P556" s="3"/>
      <c r="Q556" s="261"/>
      <c r="R556" s="261"/>
    </row>
    <row r="557" spans="1:18" x14ac:dyDescent="0.35">
      <c r="A557" s="3"/>
      <c r="B557" s="3"/>
      <c r="C557" s="3"/>
      <c r="D557" s="3"/>
      <c r="E557" s="3"/>
      <c r="F557" s="3"/>
      <c r="G557" s="3"/>
      <c r="H557" s="3"/>
      <c r="I557" s="3"/>
      <c r="J557" s="3"/>
      <c r="K557" s="3"/>
      <c r="L557" s="3"/>
      <c r="M557" s="3"/>
      <c r="N557" s="3"/>
      <c r="O557" s="3"/>
      <c r="P557" s="3"/>
      <c r="Q557" s="261"/>
      <c r="R557" s="261"/>
    </row>
    <row r="558" spans="1:18" x14ac:dyDescent="0.35">
      <c r="A558" s="3"/>
      <c r="B558" s="3"/>
      <c r="C558" s="3"/>
      <c r="D558" s="3"/>
      <c r="E558" s="3"/>
      <c r="F558" s="3"/>
      <c r="G558" s="3"/>
      <c r="H558" s="3"/>
      <c r="I558" s="3"/>
      <c r="J558" s="3"/>
      <c r="K558" s="3"/>
      <c r="L558" s="3"/>
      <c r="M558" s="3"/>
      <c r="N558" s="3"/>
      <c r="O558" s="3"/>
      <c r="P558" s="3"/>
      <c r="Q558" s="261"/>
      <c r="R558" s="261"/>
    </row>
    <row r="559" spans="1:18" x14ac:dyDescent="0.35">
      <c r="A559" s="3"/>
      <c r="B559" s="3"/>
      <c r="C559" s="3"/>
      <c r="D559" s="3"/>
      <c r="E559" s="3"/>
      <c r="F559" s="3"/>
      <c r="G559" s="3"/>
      <c r="H559" s="3"/>
      <c r="I559" s="3"/>
      <c r="J559" s="3"/>
      <c r="K559" s="3"/>
      <c r="L559" s="3"/>
      <c r="M559" s="3"/>
      <c r="N559" s="3"/>
      <c r="O559" s="3"/>
      <c r="P559" s="3"/>
      <c r="Q559" s="261"/>
      <c r="R559" s="261"/>
    </row>
    <row r="560" spans="1:18" x14ac:dyDescent="0.35">
      <c r="A560" s="3"/>
      <c r="B560" s="3"/>
      <c r="C560" s="3"/>
      <c r="D560" s="3"/>
      <c r="E560" s="3"/>
      <c r="F560" s="3"/>
      <c r="G560" s="3"/>
      <c r="H560" s="3"/>
      <c r="I560" s="3"/>
      <c r="J560" s="3"/>
      <c r="K560" s="3"/>
      <c r="L560" s="3"/>
      <c r="M560" s="3"/>
      <c r="N560" s="3"/>
      <c r="O560" s="3"/>
      <c r="P560" s="3"/>
      <c r="Q560" s="261"/>
      <c r="R560" s="261"/>
    </row>
    <row r="561" spans="1:18" x14ac:dyDescent="0.35">
      <c r="A561" s="3"/>
      <c r="B561" s="3"/>
      <c r="C561" s="3"/>
      <c r="D561" s="3"/>
      <c r="E561" s="3"/>
      <c r="F561" s="3"/>
      <c r="G561" s="3"/>
      <c r="H561" s="3"/>
      <c r="I561" s="3"/>
      <c r="J561" s="3"/>
      <c r="K561" s="3"/>
      <c r="L561" s="3"/>
      <c r="M561" s="3"/>
      <c r="N561" s="3"/>
      <c r="O561" s="3"/>
      <c r="P561" s="3"/>
      <c r="Q561" s="261"/>
      <c r="R561" s="261"/>
    </row>
    <row r="562" spans="1:18" x14ac:dyDescent="0.35">
      <c r="A562" s="3"/>
      <c r="B562" s="3"/>
      <c r="C562" s="3"/>
      <c r="D562" s="3"/>
      <c r="E562" s="3"/>
      <c r="F562" s="3"/>
      <c r="G562" s="3"/>
      <c r="H562" s="3"/>
      <c r="I562" s="3"/>
      <c r="J562" s="3"/>
      <c r="K562" s="3"/>
      <c r="L562" s="3"/>
      <c r="M562" s="3"/>
      <c r="N562" s="3"/>
      <c r="O562" s="3"/>
      <c r="P562" s="3"/>
      <c r="Q562" s="261"/>
      <c r="R562" s="261"/>
    </row>
    <row r="563" spans="1:18" x14ac:dyDescent="0.35">
      <c r="A563" s="3"/>
      <c r="B563" s="3"/>
      <c r="C563" s="3"/>
      <c r="D563" s="3"/>
      <c r="E563" s="3"/>
      <c r="F563" s="3"/>
      <c r="G563" s="3"/>
      <c r="H563" s="3"/>
      <c r="I563" s="3"/>
      <c r="J563" s="3"/>
      <c r="K563" s="3"/>
      <c r="L563" s="3"/>
      <c r="M563" s="3"/>
      <c r="N563" s="3"/>
      <c r="O563" s="3"/>
      <c r="P563" s="3"/>
      <c r="Q563" s="261"/>
      <c r="R563" s="261"/>
    </row>
    <row r="564" spans="1:18" x14ac:dyDescent="0.35">
      <c r="A564" s="3"/>
      <c r="B564" s="3"/>
      <c r="C564" s="3"/>
      <c r="D564" s="3"/>
      <c r="E564" s="3"/>
      <c r="F564" s="3"/>
      <c r="G564" s="3"/>
      <c r="H564" s="3"/>
      <c r="I564" s="3"/>
      <c r="J564" s="3"/>
      <c r="K564" s="3"/>
      <c r="L564" s="3"/>
      <c r="M564" s="3"/>
      <c r="N564" s="3"/>
      <c r="O564" s="3"/>
      <c r="P564" s="3"/>
      <c r="Q564" s="261"/>
      <c r="R564" s="261"/>
    </row>
    <row r="565" spans="1:18" x14ac:dyDescent="0.35">
      <c r="A565" s="3"/>
      <c r="B565" s="3"/>
      <c r="C565" s="3"/>
      <c r="D565" s="3"/>
      <c r="E565" s="3"/>
      <c r="F565" s="3"/>
      <c r="G565" s="3"/>
      <c r="H565" s="3"/>
      <c r="I565" s="3"/>
      <c r="J565" s="3"/>
      <c r="K565" s="3"/>
      <c r="L565" s="3"/>
      <c r="M565" s="3"/>
      <c r="N565" s="3"/>
      <c r="O565" s="3"/>
      <c r="P565" s="3"/>
      <c r="Q565" s="261"/>
      <c r="R565" s="261"/>
    </row>
    <row r="566" spans="1:18" x14ac:dyDescent="0.35">
      <c r="A566" s="3"/>
      <c r="B566" s="3"/>
      <c r="C566" s="3"/>
      <c r="D566" s="3"/>
      <c r="E566" s="3"/>
      <c r="F566" s="3"/>
      <c r="G566" s="3"/>
      <c r="H566" s="3"/>
      <c r="I566" s="3"/>
      <c r="J566" s="3"/>
      <c r="K566" s="3"/>
      <c r="L566" s="3"/>
      <c r="M566" s="3"/>
      <c r="N566" s="3"/>
      <c r="O566" s="3"/>
      <c r="P566" s="3"/>
      <c r="Q566" s="261"/>
      <c r="R566" s="261"/>
    </row>
    <row r="567" spans="1:18" x14ac:dyDescent="0.35">
      <c r="A567" s="3"/>
      <c r="B567" s="3"/>
      <c r="C567" s="3"/>
      <c r="D567" s="3"/>
      <c r="E567" s="3"/>
      <c r="F567" s="3"/>
      <c r="G567" s="3"/>
      <c r="H567" s="3"/>
      <c r="I567" s="3"/>
      <c r="J567" s="3"/>
      <c r="K567" s="3"/>
      <c r="L567" s="3"/>
      <c r="M567" s="3"/>
      <c r="N567" s="3"/>
      <c r="O567" s="3"/>
      <c r="P567" s="3"/>
      <c r="Q567" s="261"/>
      <c r="R567" s="261"/>
    </row>
    <row r="568" spans="1:18" x14ac:dyDescent="0.35">
      <c r="A568" s="3"/>
      <c r="B568" s="3"/>
      <c r="C568" s="3"/>
      <c r="D568" s="3"/>
      <c r="E568" s="3"/>
      <c r="F568" s="3"/>
      <c r="G568" s="3"/>
      <c r="H568" s="3"/>
      <c r="I568" s="3"/>
      <c r="J568" s="3"/>
      <c r="K568" s="3"/>
      <c r="L568" s="3"/>
      <c r="M568" s="3"/>
      <c r="N568" s="3"/>
      <c r="O568" s="3"/>
      <c r="P568" s="3"/>
      <c r="Q568" s="261"/>
      <c r="R568" s="261"/>
    </row>
    <row r="569" spans="1:18" x14ac:dyDescent="0.35">
      <c r="A569" s="3"/>
      <c r="B569" s="3"/>
      <c r="C569" s="3"/>
      <c r="D569" s="3"/>
      <c r="E569" s="3"/>
      <c r="F569" s="3"/>
      <c r="G569" s="3"/>
      <c r="H569" s="3"/>
      <c r="I569" s="3"/>
      <c r="J569" s="3"/>
      <c r="K569" s="3"/>
      <c r="L569" s="3"/>
      <c r="M569" s="3"/>
      <c r="N569" s="3"/>
      <c r="O569" s="3"/>
      <c r="P569" s="3"/>
      <c r="Q569" s="261"/>
      <c r="R569" s="261"/>
    </row>
    <row r="570" spans="1:18" x14ac:dyDescent="0.35">
      <c r="A570" s="3"/>
      <c r="B570" s="3"/>
      <c r="C570" s="3"/>
      <c r="D570" s="3"/>
      <c r="E570" s="3"/>
      <c r="F570" s="3"/>
      <c r="G570" s="3"/>
      <c r="H570" s="3"/>
      <c r="I570" s="3"/>
      <c r="J570" s="3"/>
      <c r="K570" s="3"/>
      <c r="L570" s="3"/>
      <c r="M570" s="3"/>
      <c r="N570" s="3"/>
      <c r="O570" s="3"/>
      <c r="P570" s="3"/>
      <c r="Q570" s="261"/>
      <c r="R570" s="261"/>
    </row>
    <row r="571" spans="1:18" x14ac:dyDescent="0.35">
      <c r="A571" s="3"/>
      <c r="B571" s="3"/>
      <c r="C571" s="3"/>
      <c r="D571" s="3"/>
      <c r="E571" s="3"/>
      <c r="F571" s="3"/>
      <c r="G571" s="3"/>
      <c r="H571" s="3"/>
      <c r="I571" s="3"/>
      <c r="J571" s="3"/>
      <c r="K571" s="3"/>
      <c r="L571" s="3"/>
      <c r="M571" s="3"/>
      <c r="N571" s="3"/>
      <c r="O571" s="3"/>
      <c r="P571" s="3"/>
      <c r="Q571" s="261"/>
      <c r="R571" s="261"/>
    </row>
    <row r="572" spans="1:18" x14ac:dyDescent="0.35">
      <c r="A572" s="3"/>
      <c r="B572" s="3"/>
      <c r="C572" s="3"/>
      <c r="D572" s="3"/>
      <c r="E572" s="3"/>
      <c r="F572" s="3"/>
      <c r="G572" s="3"/>
      <c r="H572" s="3"/>
      <c r="I572" s="3"/>
      <c r="J572" s="3"/>
      <c r="K572" s="3"/>
      <c r="L572" s="3"/>
      <c r="M572" s="3"/>
      <c r="N572" s="3"/>
      <c r="O572" s="3"/>
      <c r="P572" s="3"/>
      <c r="Q572" s="261"/>
      <c r="R572" s="261"/>
    </row>
    <row r="573" spans="1:18" x14ac:dyDescent="0.35">
      <c r="A573" s="3"/>
      <c r="B573" s="3"/>
      <c r="C573" s="3"/>
      <c r="D573" s="3"/>
      <c r="E573" s="3"/>
      <c r="F573" s="3"/>
      <c r="G573" s="3"/>
      <c r="H573" s="3"/>
      <c r="I573" s="3"/>
      <c r="J573" s="3"/>
      <c r="K573" s="3"/>
      <c r="L573" s="3"/>
      <c r="M573" s="3"/>
      <c r="N573" s="3"/>
      <c r="O573" s="3"/>
      <c r="P573" s="3"/>
      <c r="Q573" s="261"/>
      <c r="R573" s="261"/>
    </row>
    <row r="574" spans="1:18" x14ac:dyDescent="0.35">
      <c r="A574" s="3"/>
      <c r="B574" s="3"/>
      <c r="C574" s="3"/>
      <c r="D574" s="3"/>
      <c r="E574" s="3"/>
      <c r="F574" s="3"/>
      <c r="G574" s="3"/>
      <c r="H574" s="3"/>
      <c r="I574" s="3"/>
      <c r="J574" s="3"/>
      <c r="K574" s="3"/>
      <c r="L574" s="3"/>
      <c r="M574" s="3"/>
      <c r="N574" s="3"/>
      <c r="O574" s="3"/>
      <c r="P574" s="3"/>
      <c r="Q574" s="261"/>
      <c r="R574" s="261"/>
    </row>
    <row r="575" spans="1:18" x14ac:dyDescent="0.35">
      <c r="A575" s="3"/>
      <c r="B575" s="3"/>
      <c r="C575" s="3"/>
      <c r="D575" s="3"/>
      <c r="E575" s="3"/>
      <c r="F575" s="3"/>
      <c r="G575" s="3"/>
      <c r="H575" s="3"/>
      <c r="I575" s="3"/>
      <c r="J575" s="3"/>
      <c r="K575" s="3"/>
      <c r="L575" s="3"/>
      <c r="M575" s="3"/>
      <c r="N575" s="3"/>
      <c r="O575" s="3"/>
      <c r="P575" s="3"/>
      <c r="Q575" s="261"/>
      <c r="R575" s="261"/>
    </row>
    <row r="576" spans="1:18" x14ac:dyDescent="0.35">
      <c r="A576" s="3"/>
      <c r="B576" s="3"/>
      <c r="C576" s="3"/>
      <c r="D576" s="3"/>
      <c r="E576" s="3"/>
      <c r="F576" s="3"/>
      <c r="G576" s="3"/>
      <c r="H576" s="3"/>
      <c r="I576" s="3"/>
      <c r="J576" s="3"/>
      <c r="K576" s="3"/>
      <c r="L576" s="3"/>
      <c r="M576" s="3"/>
      <c r="N576" s="3"/>
      <c r="O576" s="3"/>
      <c r="P576" s="3"/>
      <c r="Q576" s="261"/>
      <c r="R576" s="261"/>
    </row>
    <row r="577" spans="1:18" x14ac:dyDescent="0.35">
      <c r="A577" s="3"/>
      <c r="B577" s="3"/>
      <c r="C577" s="3"/>
      <c r="D577" s="3"/>
      <c r="E577" s="3"/>
      <c r="F577" s="3"/>
      <c r="G577" s="3"/>
      <c r="H577" s="3"/>
      <c r="I577" s="3"/>
      <c r="J577" s="3"/>
      <c r="K577" s="3"/>
      <c r="L577" s="3"/>
      <c r="M577" s="3"/>
      <c r="N577" s="3"/>
      <c r="O577" s="3"/>
      <c r="P577" s="3"/>
      <c r="Q577" s="261"/>
      <c r="R577" s="261"/>
    </row>
    <row r="578" spans="1:18" x14ac:dyDescent="0.35">
      <c r="A578" s="3"/>
      <c r="B578" s="3"/>
      <c r="C578" s="3"/>
      <c r="D578" s="3"/>
      <c r="E578" s="3"/>
      <c r="F578" s="3"/>
      <c r="G578" s="3"/>
      <c r="H578" s="3"/>
      <c r="I578" s="3"/>
      <c r="J578" s="3"/>
      <c r="K578" s="3"/>
      <c r="L578" s="3"/>
      <c r="M578" s="3"/>
      <c r="N578" s="3"/>
      <c r="O578" s="3"/>
      <c r="P578" s="3"/>
      <c r="Q578" s="261"/>
      <c r="R578" s="261"/>
    </row>
    <row r="579" spans="1:18" x14ac:dyDescent="0.35">
      <c r="A579" s="3"/>
      <c r="B579" s="3"/>
      <c r="C579" s="3"/>
      <c r="D579" s="3"/>
      <c r="E579" s="3"/>
      <c r="F579" s="3"/>
      <c r="G579" s="3"/>
      <c r="H579" s="3"/>
      <c r="I579" s="3"/>
      <c r="J579" s="3"/>
      <c r="K579" s="3"/>
      <c r="L579" s="3"/>
      <c r="M579" s="3"/>
      <c r="N579" s="3"/>
      <c r="O579" s="3"/>
      <c r="P579" s="3"/>
      <c r="Q579" s="261"/>
      <c r="R579" s="261"/>
    </row>
    <row r="580" spans="1:18" x14ac:dyDescent="0.35">
      <c r="A580" s="3"/>
      <c r="B580" s="3"/>
      <c r="C580" s="3"/>
      <c r="D580" s="3"/>
      <c r="E580" s="3"/>
      <c r="F580" s="3"/>
      <c r="G580" s="3"/>
      <c r="H580" s="3"/>
      <c r="I580" s="3"/>
      <c r="J580" s="3"/>
      <c r="K580" s="3"/>
      <c r="L580" s="3"/>
      <c r="M580" s="3"/>
      <c r="N580" s="3"/>
      <c r="O580" s="3"/>
      <c r="P580" s="3"/>
      <c r="Q580" s="261"/>
      <c r="R580" s="261"/>
    </row>
    <row r="581" spans="1:18" x14ac:dyDescent="0.35">
      <c r="A581" s="3"/>
      <c r="B581" s="3"/>
      <c r="C581" s="3"/>
      <c r="D581" s="3"/>
      <c r="E581" s="3"/>
      <c r="F581" s="3"/>
      <c r="G581" s="3"/>
      <c r="H581" s="3"/>
      <c r="I581" s="3"/>
      <c r="J581" s="3"/>
      <c r="K581" s="3"/>
      <c r="L581" s="3"/>
      <c r="M581" s="3"/>
      <c r="N581" s="3"/>
      <c r="O581" s="3"/>
      <c r="P581" s="3"/>
      <c r="Q581" s="261"/>
      <c r="R581" s="261"/>
    </row>
    <row r="582" spans="1:18" x14ac:dyDescent="0.35">
      <c r="A582" s="3"/>
      <c r="B582" s="3"/>
      <c r="C582" s="3"/>
      <c r="D582" s="3"/>
      <c r="E582" s="3"/>
      <c r="F582" s="3"/>
      <c r="G582" s="3"/>
      <c r="H582" s="3"/>
      <c r="I582" s="3"/>
      <c r="J582" s="3"/>
      <c r="K582" s="3"/>
      <c r="L582" s="3"/>
      <c r="M582" s="3"/>
      <c r="N582" s="3"/>
      <c r="O582" s="3"/>
      <c r="P582" s="3"/>
      <c r="Q582" s="261"/>
      <c r="R582" s="261"/>
    </row>
    <row r="583" spans="1:18" x14ac:dyDescent="0.35">
      <c r="A583" s="3"/>
      <c r="B583" s="3"/>
      <c r="C583" s="3"/>
      <c r="D583" s="3"/>
      <c r="E583" s="3"/>
      <c r="F583" s="3"/>
      <c r="G583" s="3"/>
      <c r="H583" s="3"/>
      <c r="I583" s="3"/>
      <c r="J583" s="3"/>
      <c r="K583" s="3"/>
      <c r="L583" s="3"/>
      <c r="M583" s="3"/>
      <c r="N583" s="3"/>
      <c r="O583" s="3"/>
      <c r="P583" s="3"/>
      <c r="Q583" s="261"/>
      <c r="R583" s="261"/>
    </row>
    <row r="584" spans="1:18" x14ac:dyDescent="0.35">
      <c r="A584" s="3"/>
      <c r="B584" s="3"/>
      <c r="C584" s="3"/>
      <c r="D584" s="3"/>
      <c r="E584" s="3"/>
      <c r="F584" s="3"/>
      <c r="G584" s="3"/>
      <c r="H584" s="3"/>
      <c r="I584" s="3"/>
      <c r="J584" s="3"/>
      <c r="K584" s="3"/>
      <c r="L584" s="3"/>
      <c r="M584" s="3"/>
      <c r="N584" s="3"/>
      <c r="O584" s="3"/>
      <c r="P584" s="3"/>
      <c r="Q584" s="261"/>
      <c r="R584" s="261"/>
    </row>
    <row r="585" spans="1:18" x14ac:dyDescent="0.35">
      <c r="A585" s="3"/>
      <c r="B585" s="3"/>
      <c r="C585" s="3"/>
      <c r="D585" s="3"/>
      <c r="E585" s="3"/>
      <c r="F585" s="3"/>
      <c r="G585" s="3"/>
      <c r="H585" s="3"/>
      <c r="I585" s="3"/>
      <c r="J585" s="3"/>
      <c r="K585" s="3"/>
      <c r="L585" s="3"/>
      <c r="M585" s="3"/>
      <c r="N585" s="3"/>
      <c r="O585" s="3"/>
      <c r="P585" s="3"/>
      <c r="Q585" s="261"/>
      <c r="R585" s="261"/>
    </row>
    <row r="586" spans="1:18" x14ac:dyDescent="0.35">
      <c r="A586" s="3"/>
      <c r="B586" s="3"/>
      <c r="C586" s="3"/>
      <c r="D586" s="3"/>
      <c r="E586" s="3"/>
      <c r="F586" s="3"/>
      <c r="G586" s="3"/>
      <c r="H586" s="3"/>
      <c r="I586" s="3"/>
      <c r="J586" s="3"/>
      <c r="K586" s="3"/>
      <c r="L586" s="3"/>
      <c r="M586" s="3"/>
      <c r="N586" s="3"/>
      <c r="O586" s="3"/>
      <c r="P586" s="3"/>
      <c r="Q586" s="261"/>
      <c r="R586" s="261"/>
    </row>
    <row r="587" spans="1:18" x14ac:dyDescent="0.35">
      <c r="A587" s="3"/>
      <c r="B587" s="3"/>
      <c r="C587" s="3"/>
      <c r="D587" s="3"/>
      <c r="E587" s="3"/>
      <c r="F587" s="3"/>
      <c r="G587" s="3"/>
      <c r="H587" s="3"/>
      <c r="I587" s="3"/>
      <c r="J587" s="3"/>
      <c r="K587" s="3"/>
      <c r="L587" s="3"/>
      <c r="M587" s="3"/>
      <c r="N587" s="3"/>
      <c r="O587" s="3"/>
      <c r="P587" s="3"/>
      <c r="Q587" s="261"/>
      <c r="R587" s="261"/>
    </row>
    <row r="588" spans="1:18" x14ac:dyDescent="0.35">
      <c r="A588" s="3"/>
      <c r="B588" s="3"/>
      <c r="C588" s="3"/>
      <c r="D588" s="3"/>
      <c r="E588" s="3"/>
      <c r="F588" s="3"/>
      <c r="G588" s="3"/>
      <c r="H588" s="3"/>
      <c r="I588" s="3"/>
      <c r="J588" s="3"/>
      <c r="K588" s="3"/>
      <c r="L588" s="3"/>
      <c r="M588" s="3"/>
      <c r="N588" s="3"/>
      <c r="O588" s="3"/>
      <c r="P588" s="3"/>
      <c r="Q588" s="261"/>
      <c r="R588" s="261"/>
    </row>
    <row r="589" spans="1:18" x14ac:dyDescent="0.35">
      <c r="A589" s="3"/>
      <c r="B589" s="3"/>
      <c r="C589" s="3"/>
      <c r="D589" s="3"/>
      <c r="E589" s="3"/>
      <c r="F589" s="3"/>
      <c r="G589" s="3"/>
      <c r="H589" s="3"/>
      <c r="I589" s="3"/>
      <c r="J589" s="3"/>
      <c r="K589" s="3"/>
      <c r="L589" s="3"/>
      <c r="M589" s="3"/>
      <c r="N589" s="3"/>
      <c r="O589" s="3"/>
      <c r="P589" s="3"/>
      <c r="Q589" s="261"/>
      <c r="R589" s="261"/>
    </row>
    <row r="590" spans="1:18" x14ac:dyDescent="0.35">
      <c r="A590" s="3"/>
      <c r="B590" s="3"/>
      <c r="C590" s="3"/>
      <c r="D590" s="3"/>
      <c r="E590" s="3"/>
      <c r="F590" s="3"/>
      <c r="G590" s="3"/>
      <c r="H590" s="3"/>
      <c r="I590" s="3"/>
      <c r="J590" s="3"/>
      <c r="K590" s="3"/>
      <c r="L590" s="3"/>
      <c r="M590" s="3"/>
      <c r="N590" s="3"/>
      <c r="O590" s="3"/>
      <c r="P590" s="3"/>
      <c r="Q590" s="261"/>
      <c r="R590" s="261"/>
    </row>
    <row r="591" spans="1:18" x14ac:dyDescent="0.35">
      <c r="A591" s="3"/>
      <c r="B591" s="3"/>
      <c r="C591" s="3"/>
      <c r="D591" s="3"/>
      <c r="E591" s="3"/>
      <c r="F591" s="3"/>
      <c r="G591" s="3"/>
      <c r="H591" s="3"/>
      <c r="I591" s="3"/>
      <c r="J591" s="3"/>
      <c r="K591" s="3"/>
      <c r="L591" s="3"/>
      <c r="M591" s="3"/>
      <c r="N591" s="3"/>
      <c r="O591" s="3"/>
      <c r="P591" s="3"/>
      <c r="Q591" s="261"/>
      <c r="R591" s="261"/>
    </row>
    <row r="592" spans="1:18" x14ac:dyDescent="0.35">
      <c r="A592" s="3"/>
      <c r="B592" s="3"/>
      <c r="C592" s="3"/>
      <c r="D592" s="3"/>
      <c r="E592" s="3"/>
      <c r="F592" s="3"/>
      <c r="G592" s="3"/>
      <c r="H592" s="3"/>
      <c r="I592" s="3"/>
      <c r="J592" s="3"/>
      <c r="K592" s="3"/>
      <c r="L592" s="3"/>
      <c r="M592" s="3"/>
      <c r="N592" s="3"/>
      <c r="O592" s="3"/>
      <c r="P592" s="3"/>
      <c r="Q592" s="261"/>
      <c r="R592" s="261"/>
    </row>
    <row r="593" spans="1:18" x14ac:dyDescent="0.35">
      <c r="A593" s="3"/>
      <c r="B593" s="3"/>
      <c r="C593" s="3"/>
      <c r="D593" s="3"/>
      <c r="E593" s="3"/>
      <c r="F593" s="3"/>
      <c r="G593" s="3"/>
      <c r="H593" s="3"/>
      <c r="I593" s="3"/>
      <c r="J593" s="3"/>
      <c r="K593" s="3"/>
      <c r="L593" s="3"/>
      <c r="M593" s="3"/>
      <c r="N593" s="3"/>
      <c r="O593" s="3"/>
      <c r="P593" s="3"/>
      <c r="Q593" s="261"/>
      <c r="R593" s="261"/>
    </row>
    <row r="594" spans="1:18" x14ac:dyDescent="0.35">
      <c r="A594" s="3"/>
      <c r="B594" s="3"/>
      <c r="C594" s="3"/>
      <c r="D594" s="3"/>
      <c r="E594" s="3"/>
      <c r="F594" s="3"/>
      <c r="G594" s="3"/>
      <c r="H594" s="3"/>
      <c r="I594" s="3"/>
      <c r="J594" s="3"/>
      <c r="K594" s="3"/>
      <c r="L594" s="3"/>
      <c r="M594" s="3"/>
      <c r="N594" s="3"/>
      <c r="O594" s="3"/>
      <c r="P594" s="3"/>
      <c r="Q594" s="261"/>
      <c r="R594" s="261"/>
    </row>
    <row r="595" spans="1:18" x14ac:dyDescent="0.35">
      <c r="A595" s="3"/>
      <c r="B595" s="3"/>
      <c r="C595" s="3"/>
      <c r="D595" s="3"/>
      <c r="E595" s="3"/>
      <c r="F595" s="3"/>
      <c r="G595" s="3"/>
      <c r="H595" s="3"/>
      <c r="I595" s="3"/>
      <c r="J595" s="3"/>
      <c r="K595" s="3"/>
      <c r="L595" s="3"/>
      <c r="M595" s="3"/>
      <c r="N595" s="3"/>
      <c r="O595" s="3"/>
      <c r="P595" s="3"/>
      <c r="Q595" s="261"/>
      <c r="R595" s="261"/>
    </row>
    <row r="596" spans="1:18" x14ac:dyDescent="0.35">
      <c r="A596" s="3"/>
      <c r="B596" s="3"/>
      <c r="C596" s="3"/>
      <c r="D596" s="3"/>
      <c r="E596" s="3"/>
      <c r="F596" s="3"/>
      <c r="G596" s="3"/>
      <c r="H596" s="3"/>
      <c r="I596" s="3"/>
      <c r="J596" s="3"/>
      <c r="K596" s="3"/>
      <c r="L596" s="3"/>
      <c r="M596" s="3"/>
      <c r="N596" s="3"/>
      <c r="O596" s="3"/>
      <c r="P596" s="3"/>
      <c r="Q596" s="261"/>
      <c r="R596" s="261"/>
    </row>
    <row r="597" spans="1:18" x14ac:dyDescent="0.35">
      <c r="A597" s="3"/>
      <c r="B597" s="3"/>
      <c r="C597" s="3"/>
      <c r="D597" s="3"/>
      <c r="E597" s="3"/>
      <c r="F597" s="3"/>
      <c r="G597" s="3"/>
      <c r="H597" s="3"/>
      <c r="I597" s="3"/>
      <c r="J597" s="3"/>
      <c r="K597" s="3"/>
      <c r="L597" s="3"/>
      <c r="M597" s="3"/>
      <c r="N597" s="3"/>
      <c r="O597" s="3"/>
      <c r="P597" s="3"/>
      <c r="Q597" s="261"/>
      <c r="R597" s="261"/>
    </row>
    <row r="598" spans="1:18" x14ac:dyDescent="0.35">
      <c r="A598" s="3"/>
      <c r="B598" s="3"/>
      <c r="C598" s="3"/>
      <c r="D598" s="3"/>
      <c r="E598" s="3"/>
      <c r="F598" s="3"/>
      <c r="G598" s="3"/>
      <c r="H598" s="3"/>
      <c r="I598" s="3"/>
      <c r="J598" s="3"/>
      <c r="K598" s="3"/>
      <c r="L598" s="3"/>
      <c r="M598" s="3"/>
      <c r="N598" s="3"/>
      <c r="O598" s="3"/>
      <c r="P598" s="3"/>
      <c r="Q598" s="261"/>
      <c r="R598" s="261"/>
    </row>
    <row r="599" spans="1:18" x14ac:dyDescent="0.35">
      <c r="A599" s="3"/>
      <c r="B599" s="3"/>
      <c r="C599" s="3"/>
      <c r="D599" s="3"/>
      <c r="E599" s="3"/>
      <c r="F599" s="3"/>
      <c r="G599" s="3"/>
      <c r="H599" s="3"/>
      <c r="I599" s="3"/>
      <c r="J599" s="3"/>
      <c r="K599" s="3"/>
      <c r="L599" s="3"/>
      <c r="M599" s="3"/>
      <c r="N599" s="3"/>
      <c r="O599" s="3"/>
      <c r="P599" s="3"/>
      <c r="Q599" s="261"/>
      <c r="R599" s="261"/>
    </row>
    <row r="600" spans="1:18" x14ac:dyDescent="0.35">
      <c r="A600" s="3"/>
      <c r="B600" s="3"/>
      <c r="C600" s="3"/>
      <c r="D600" s="3"/>
      <c r="E600" s="3"/>
      <c r="F600" s="3"/>
      <c r="G600" s="3"/>
      <c r="H600" s="3"/>
      <c r="I600" s="3"/>
      <c r="J600" s="3"/>
      <c r="K600" s="3"/>
      <c r="L600" s="3"/>
      <c r="M600" s="3"/>
      <c r="N600" s="3"/>
      <c r="O600" s="3"/>
      <c r="P600" s="3"/>
      <c r="Q600" s="261"/>
      <c r="R600" s="261"/>
    </row>
    <row r="601" spans="1:18" x14ac:dyDescent="0.35">
      <c r="A601" s="3"/>
      <c r="B601" s="3"/>
      <c r="C601" s="3"/>
      <c r="D601" s="3"/>
      <c r="E601" s="3"/>
      <c r="F601" s="3"/>
      <c r="G601" s="3"/>
      <c r="H601" s="3"/>
      <c r="I601" s="3"/>
      <c r="J601" s="3"/>
      <c r="K601" s="3"/>
      <c r="L601" s="3"/>
      <c r="M601" s="3"/>
      <c r="N601" s="3"/>
      <c r="O601" s="3"/>
      <c r="P601" s="3"/>
      <c r="Q601" s="261"/>
      <c r="R601" s="261"/>
    </row>
    <row r="602" spans="1:18" x14ac:dyDescent="0.35">
      <c r="A602" s="3"/>
      <c r="B602" s="3"/>
      <c r="C602" s="3"/>
      <c r="D602" s="3"/>
      <c r="E602" s="3"/>
      <c r="F602" s="3"/>
      <c r="G602" s="3"/>
      <c r="H602" s="3"/>
      <c r="I602" s="3"/>
      <c r="J602" s="3"/>
      <c r="K602" s="3"/>
      <c r="L602" s="3"/>
      <c r="M602" s="3"/>
      <c r="N602" s="3"/>
      <c r="O602" s="3"/>
      <c r="P602" s="3"/>
      <c r="Q602" s="261"/>
      <c r="R602" s="261"/>
    </row>
    <row r="603" spans="1:18" x14ac:dyDescent="0.35">
      <c r="A603" s="3"/>
      <c r="B603" s="3"/>
      <c r="C603" s="3"/>
      <c r="D603" s="3"/>
      <c r="E603" s="3"/>
      <c r="F603" s="3"/>
      <c r="G603" s="3"/>
      <c r="H603" s="3"/>
      <c r="I603" s="3"/>
      <c r="J603" s="3"/>
      <c r="K603" s="3"/>
      <c r="L603" s="3"/>
      <c r="M603" s="3"/>
      <c r="N603" s="3"/>
      <c r="O603" s="3"/>
      <c r="P603" s="3"/>
      <c r="Q603" s="261"/>
      <c r="R603" s="261"/>
    </row>
    <row r="604" spans="1:18" x14ac:dyDescent="0.35">
      <c r="A604" s="3"/>
      <c r="B604" s="3"/>
      <c r="C604" s="3"/>
      <c r="D604" s="3"/>
      <c r="E604" s="3"/>
      <c r="F604" s="3"/>
      <c r="G604" s="3"/>
      <c r="H604" s="3"/>
      <c r="I604" s="3"/>
      <c r="J604" s="3"/>
      <c r="K604" s="3"/>
      <c r="L604" s="3"/>
      <c r="M604" s="3"/>
      <c r="N604" s="3"/>
      <c r="O604" s="3"/>
      <c r="P604" s="3"/>
      <c r="Q604" s="261"/>
      <c r="R604" s="261"/>
    </row>
    <row r="605" spans="1:18" x14ac:dyDescent="0.35">
      <c r="A605" s="3"/>
      <c r="B605" s="3"/>
      <c r="C605" s="3"/>
      <c r="D605" s="3"/>
      <c r="E605" s="3"/>
      <c r="F605" s="3"/>
      <c r="G605" s="3"/>
      <c r="H605" s="3"/>
      <c r="I605" s="3"/>
      <c r="J605" s="3"/>
      <c r="K605" s="3"/>
      <c r="L605" s="3"/>
      <c r="M605" s="3"/>
      <c r="N605" s="3"/>
      <c r="O605" s="3"/>
      <c r="P605" s="3"/>
      <c r="Q605" s="261"/>
      <c r="R605" s="261"/>
    </row>
    <row r="606" spans="1:18" x14ac:dyDescent="0.35">
      <c r="A606" s="3"/>
      <c r="B606" s="3"/>
      <c r="C606" s="3"/>
      <c r="D606" s="3"/>
      <c r="E606" s="3"/>
      <c r="F606" s="3"/>
      <c r="G606" s="3"/>
      <c r="H606" s="3"/>
      <c r="I606" s="3"/>
      <c r="J606" s="3"/>
      <c r="K606" s="3"/>
      <c r="L606" s="3"/>
      <c r="M606" s="3"/>
      <c r="N606" s="3"/>
      <c r="O606" s="3"/>
      <c r="P606" s="3"/>
      <c r="Q606" s="261"/>
      <c r="R606" s="261"/>
    </row>
    <row r="607" spans="1:18" x14ac:dyDescent="0.35">
      <c r="A607" s="3"/>
      <c r="B607" s="3"/>
      <c r="C607" s="3"/>
      <c r="D607" s="3"/>
      <c r="E607" s="3"/>
      <c r="F607" s="3"/>
      <c r="G607" s="3"/>
      <c r="H607" s="3"/>
      <c r="I607" s="3"/>
      <c r="J607" s="3"/>
      <c r="K607" s="3"/>
      <c r="L607" s="3"/>
      <c r="M607" s="3"/>
      <c r="N607" s="3"/>
      <c r="O607" s="3"/>
      <c r="P607" s="3"/>
      <c r="Q607" s="261"/>
      <c r="R607" s="261"/>
    </row>
    <row r="608" spans="1:18" x14ac:dyDescent="0.35">
      <c r="A608" s="3"/>
      <c r="B608" s="3"/>
      <c r="C608" s="3"/>
      <c r="D608" s="3"/>
      <c r="E608" s="3"/>
      <c r="F608" s="3"/>
      <c r="G608" s="3"/>
      <c r="H608" s="3"/>
      <c r="I608" s="3"/>
      <c r="J608" s="3"/>
      <c r="K608" s="3"/>
      <c r="L608" s="3"/>
      <c r="M608" s="3"/>
      <c r="N608" s="3"/>
      <c r="O608" s="3"/>
      <c r="P608" s="3"/>
      <c r="Q608" s="261"/>
      <c r="R608" s="261"/>
    </row>
    <row r="609" spans="1:18" x14ac:dyDescent="0.35">
      <c r="A609" s="3"/>
      <c r="B609" s="3"/>
      <c r="C609" s="3"/>
      <c r="D609" s="3"/>
      <c r="E609" s="3"/>
      <c r="F609" s="3"/>
      <c r="G609" s="3"/>
      <c r="H609" s="3"/>
      <c r="I609" s="3"/>
      <c r="J609" s="3"/>
      <c r="K609" s="3"/>
      <c r="L609" s="3"/>
      <c r="M609" s="3"/>
      <c r="N609" s="3"/>
      <c r="O609" s="3"/>
      <c r="P609" s="3"/>
      <c r="Q609" s="261"/>
      <c r="R609" s="261"/>
    </row>
    <row r="610" spans="1:18" x14ac:dyDescent="0.35">
      <c r="A610" s="3"/>
      <c r="B610" s="3"/>
      <c r="C610" s="3"/>
      <c r="D610" s="3"/>
      <c r="E610" s="3"/>
      <c r="F610" s="3"/>
      <c r="G610" s="3"/>
      <c r="H610" s="3"/>
      <c r="I610" s="3"/>
      <c r="J610" s="3"/>
      <c r="K610" s="3"/>
      <c r="L610" s="3"/>
      <c r="M610" s="3"/>
      <c r="N610" s="3"/>
      <c r="O610" s="3"/>
      <c r="P610" s="3"/>
      <c r="Q610" s="261"/>
      <c r="R610" s="261"/>
    </row>
    <row r="611" spans="1:18" x14ac:dyDescent="0.35">
      <c r="A611" s="3"/>
      <c r="B611" s="3"/>
      <c r="C611" s="3"/>
      <c r="D611" s="3"/>
      <c r="E611" s="3"/>
      <c r="F611" s="3"/>
      <c r="G611" s="3"/>
      <c r="H611" s="3"/>
      <c r="I611" s="3"/>
      <c r="J611" s="3"/>
      <c r="K611" s="3"/>
      <c r="L611" s="3"/>
      <c r="M611" s="3"/>
      <c r="N611" s="3"/>
      <c r="O611" s="3"/>
      <c r="P611" s="3"/>
      <c r="Q611" s="261"/>
      <c r="R611" s="261"/>
    </row>
    <row r="612" spans="1:18" x14ac:dyDescent="0.35">
      <c r="A612" s="3"/>
      <c r="B612" s="3"/>
      <c r="C612" s="3"/>
      <c r="D612" s="3"/>
      <c r="E612" s="3"/>
      <c r="F612" s="3"/>
      <c r="G612" s="3"/>
      <c r="H612" s="3"/>
      <c r="I612" s="3"/>
      <c r="J612" s="3"/>
      <c r="K612" s="3"/>
      <c r="L612" s="3"/>
      <c r="M612" s="3"/>
      <c r="N612" s="3"/>
      <c r="O612" s="3"/>
      <c r="P612" s="3"/>
      <c r="Q612" s="261"/>
      <c r="R612" s="261"/>
    </row>
    <row r="613" spans="1:18" x14ac:dyDescent="0.35">
      <c r="A613" s="3"/>
      <c r="B613" s="3"/>
      <c r="C613" s="3"/>
      <c r="D613" s="3"/>
      <c r="E613" s="3"/>
      <c r="F613" s="3"/>
      <c r="G613" s="3"/>
      <c r="H613" s="3"/>
      <c r="I613" s="3"/>
      <c r="J613" s="3"/>
      <c r="K613" s="3"/>
      <c r="L613" s="3"/>
      <c r="M613" s="3"/>
      <c r="N613" s="3"/>
      <c r="O613" s="3"/>
      <c r="P613" s="3"/>
      <c r="Q613" s="261"/>
      <c r="R613" s="261"/>
    </row>
    <row r="614" spans="1:18" x14ac:dyDescent="0.35">
      <c r="A614" s="3"/>
      <c r="B614" s="3"/>
      <c r="C614" s="3"/>
      <c r="D614" s="3"/>
      <c r="E614" s="3"/>
      <c r="F614" s="3"/>
      <c r="G614" s="3"/>
      <c r="H614" s="3"/>
      <c r="I614" s="3"/>
      <c r="J614" s="3"/>
      <c r="K614" s="3"/>
      <c r="L614" s="3"/>
      <c r="M614" s="3"/>
      <c r="N614" s="3"/>
      <c r="O614" s="3"/>
      <c r="P614" s="3"/>
      <c r="Q614" s="261"/>
      <c r="R614" s="261"/>
    </row>
    <row r="615" spans="1:18" x14ac:dyDescent="0.35">
      <c r="A615" s="3"/>
      <c r="B615" s="3"/>
      <c r="C615" s="3"/>
      <c r="D615" s="3"/>
      <c r="E615" s="3"/>
      <c r="F615" s="3"/>
      <c r="G615" s="3"/>
      <c r="H615" s="3"/>
      <c r="I615" s="3"/>
      <c r="J615" s="3"/>
      <c r="K615" s="3"/>
      <c r="L615" s="3"/>
      <c r="M615" s="3"/>
      <c r="N615" s="3"/>
      <c r="O615" s="3"/>
      <c r="P615" s="3"/>
      <c r="Q615" s="261"/>
      <c r="R615" s="261"/>
    </row>
    <row r="616" spans="1:18" x14ac:dyDescent="0.35">
      <c r="A616" s="3"/>
      <c r="B616" s="3"/>
      <c r="C616" s="3"/>
      <c r="D616" s="3"/>
      <c r="E616" s="3"/>
      <c r="F616" s="3"/>
      <c r="G616" s="3"/>
      <c r="H616" s="3"/>
      <c r="I616" s="3"/>
      <c r="J616" s="3"/>
      <c r="K616" s="3"/>
      <c r="L616" s="3"/>
      <c r="M616" s="3"/>
      <c r="N616" s="3"/>
      <c r="O616" s="3"/>
      <c r="P616" s="3"/>
      <c r="Q616" s="261"/>
      <c r="R616" s="261"/>
    </row>
    <row r="617" spans="1:18" x14ac:dyDescent="0.35">
      <c r="A617" s="3"/>
      <c r="B617" s="3"/>
      <c r="C617" s="3"/>
      <c r="D617" s="3"/>
      <c r="E617" s="3"/>
      <c r="F617" s="3"/>
      <c r="G617" s="3"/>
      <c r="H617" s="3"/>
      <c r="I617" s="3"/>
      <c r="J617" s="3"/>
      <c r="K617" s="3"/>
      <c r="L617" s="3"/>
      <c r="M617" s="3"/>
      <c r="N617" s="3"/>
      <c r="O617" s="3"/>
      <c r="P617" s="3"/>
      <c r="Q617" s="261"/>
      <c r="R617" s="261"/>
    </row>
    <row r="618" spans="1:18" x14ac:dyDescent="0.35">
      <c r="A618" s="3"/>
      <c r="B618" s="3"/>
      <c r="C618" s="3"/>
      <c r="D618" s="3"/>
      <c r="E618" s="3"/>
      <c r="F618" s="3"/>
      <c r="G618" s="3"/>
      <c r="H618" s="3"/>
      <c r="I618" s="3"/>
      <c r="J618" s="3"/>
      <c r="K618" s="3"/>
      <c r="L618" s="3"/>
      <c r="M618" s="3"/>
      <c r="N618" s="3"/>
      <c r="O618" s="3"/>
      <c r="P618" s="3"/>
      <c r="Q618" s="261"/>
      <c r="R618" s="261"/>
    </row>
    <row r="619" spans="1:18" x14ac:dyDescent="0.35">
      <c r="A619" s="3"/>
      <c r="B619" s="3"/>
      <c r="C619" s="3"/>
      <c r="D619" s="3"/>
      <c r="E619" s="3"/>
      <c r="F619" s="3"/>
      <c r="G619" s="3"/>
      <c r="H619" s="3"/>
      <c r="I619" s="3"/>
      <c r="J619" s="3"/>
      <c r="K619" s="3"/>
      <c r="L619" s="3"/>
      <c r="M619" s="3"/>
      <c r="N619" s="3"/>
      <c r="O619" s="3"/>
      <c r="P619" s="3"/>
      <c r="Q619" s="261"/>
      <c r="R619" s="261"/>
    </row>
    <row r="620" spans="1:18" x14ac:dyDescent="0.35">
      <c r="A620" s="3"/>
      <c r="B620" s="3"/>
      <c r="C620" s="3"/>
      <c r="D620" s="3"/>
      <c r="E620" s="3"/>
      <c r="F620" s="3"/>
      <c r="G620" s="3"/>
      <c r="H620" s="3"/>
      <c r="I620" s="3"/>
      <c r="J620" s="3"/>
      <c r="K620" s="3"/>
      <c r="L620" s="3"/>
      <c r="M620" s="3"/>
      <c r="N620" s="3"/>
      <c r="O620" s="3"/>
      <c r="P620" s="3"/>
      <c r="Q620" s="261"/>
      <c r="R620" s="261"/>
    </row>
    <row r="621" spans="1:18" x14ac:dyDescent="0.35">
      <c r="A621" s="3"/>
      <c r="B621" s="3"/>
      <c r="C621" s="3"/>
      <c r="D621" s="3"/>
      <c r="E621" s="3"/>
      <c r="F621" s="3"/>
      <c r="G621" s="3"/>
      <c r="H621" s="3"/>
      <c r="I621" s="3"/>
      <c r="J621" s="3"/>
      <c r="K621" s="3"/>
      <c r="L621" s="3"/>
      <c r="M621" s="3"/>
      <c r="N621" s="3"/>
      <c r="O621" s="3"/>
      <c r="P621" s="3"/>
      <c r="Q621" s="261"/>
      <c r="R621" s="261"/>
    </row>
    <row r="622" spans="1:18" x14ac:dyDescent="0.35">
      <c r="A622" s="3"/>
      <c r="B622" s="3"/>
      <c r="C622" s="3"/>
      <c r="D622" s="3"/>
      <c r="E622" s="3"/>
      <c r="F622" s="3"/>
      <c r="G622" s="3"/>
      <c r="H622" s="3"/>
      <c r="I622" s="3"/>
      <c r="J622" s="3"/>
      <c r="K622" s="3"/>
      <c r="L622" s="3"/>
      <c r="M622" s="3"/>
      <c r="N622" s="3"/>
      <c r="O622" s="3"/>
      <c r="P622" s="3"/>
      <c r="Q622" s="261"/>
      <c r="R622" s="261"/>
    </row>
    <row r="623" spans="1:18" x14ac:dyDescent="0.35">
      <c r="A623" s="3"/>
      <c r="B623" s="3"/>
      <c r="C623" s="3"/>
      <c r="D623" s="3"/>
      <c r="E623" s="3"/>
      <c r="F623" s="3"/>
      <c r="G623" s="3"/>
      <c r="H623" s="3"/>
      <c r="I623" s="3"/>
      <c r="J623" s="3"/>
      <c r="K623" s="3"/>
      <c r="L623" s="3"/>
      <c r="M623" s="3"/>
      <c r="N623" s="3"/>
      <c r="O623" s="3"/>
      <c r="P623" s="3"/>
      <c r="Q623" s="261"/>
      <c r="R623" s="261"/>
    </row>
    <row r="624" spans="1:18" x14ac:dyDescent="0.35">
      <c r="A624" s="3"/>
      <c r="B624" s="3"/>
      <c r="C624" s="3"/>
      <c r="D624" s="3"/>
      <c r="E624" s="3"/>
      <c r="F624" s="3"/>
      <c r="G624" s="3"/>
      <c r="H624" s="3"/>
      <c r="I624" s="3"/>
      <c r="J624" s="3"/>
      <c r="K624" s="3"/>
      <c r="L624" s="3"/>
      <c r="M624" s="3"/>
      <c r="N624" s="3"/>
      <c r="O624" s="3"/>
      <c r="P624" s="3"/>
      <c r="Q624" s="261"/>
      <c r="R624" s="261"/>
    </row>
    <row r="625" spans="1:18" x14ac:dyDescent="0.35">
      <c r="A625" s="3"/>
      <c r="B625" s="3"/>
      <c r="C625" s="3"/>
      <c r="D625" s="3"/>
      <c r="E625" s="3"/>
      <c r="F625" s="3"/>
      <c r="G625" s="3"/>
      <c r="H625" s="3"/>
      <c r="I625" s="3"/>
      <c r="J625" s="3"/>
      <c r="K625" s="3"/>
      <c r="L625" s="3"/>
      <c r="M625" s="3"/>
      <c r="N625" s="3"/>
      <c r="O625" s="3"/>
      <c r="P625" s="3"/>
      <c r="Q625" s="261"/>
      <c r="R625" s="261"/>
    </row>
    <row r="626" spans="1:18" x14ac:dyDescent="0.35">
      <c r="A626" s="3"/>
      <c r="B626" s="3"/>
      <c r="C626" s="3"/>
      <c r="D626" s="3"/>
      <c r="E626" s="3"/>
      <c r="F626" s="3"/>
      <c r="G626" s="3"/>
      <c r="H626" s="3"/>
      <c r="I626" s="3"/>
      <c r="J626" s="3"/>
      <c r="K626" s="3"/>
      <c r="L626" s="3"/>
      <c r="M626" s="3"/>
      <c r="N626" s="3"/>
      <c r="O626" s="3"/>
      <c r="P626" s="3"/>
      <c r="Q626" s="261"/>
      <c r="R626" s="261"/>
    </row>
    <row r="627" spans="1:18" x14ac:dyDescent="0.35">
      <c r="A627" s="3"/>
      <c r="B627" s="3"/>
      <c r="C627" s="3"/>
      <c r="D627" s="3"/>
      <c r="E627" s="3"/>
      <c r="F627" s="3"/>
      <c r="G627" s="3"/>
      <c r="H627" s="3"/>
      <c r="I627" s="3"/>
      <c r="J627" s="3"/>
      <c r="K627" s="3"/>
      <c r="L627" s="3"/>
      <c r="M627" s="3"/>
      <c r="N627" s="3"/>
      <c r="O627" s="3"/>
      <c r="P627" s="3"/>
      <c r="Q627" s="261"/>
      <c r="R627" s="261"/>
    </row>
    <row r="628" spans="1:18" x14ac:dyDescent="0.35">
      <c r="A628" s="3"/>
      <c r="B628" s="3"/>
      <c r="C628" s="3"/>
      <c r="D628" s="3"/>
      <c r="E628" s="3"/>
      <c r="F628" s="3"/>
      <c r="G628" s="3"/>
      <c r="H628" s="3"/>
      <c r="I628" s="3"/>
      <c r="J628" s="3"/>
      <c r="K628" s="3"/>
      <c r="L628" s="3"/>
      <c r="M628" s="3"/>
      <c r="N628" s="3"/>
      <c r="O628" s="3"/>
      <c r="P628" s="3"/>
      <c r="Q628" s="261"/>
      <c r="R628" s="261"/>
    </row>
    <row r="629" spans="1:18" x14ac:dyDescent="0.35">
      <c r="A629" s="3"/>
      <c r="B629" s="3"/>
      <c r="C629" s="3"/>
      <c r="D629" s="3"/>
      <c r="E629" s="3"/>
      <c r="F629" s="3"/>
      <c r="G629" s="3"/>
      <c r="H629" s="3"/>
      <c r="I629" s="3"/>
      <c r="J629" s="3"/>
      <c r="K629" s="3"/>
      <c r="L629" s="3"/>
      <c r="M629" s="3"/>
      <c r="N629" s="3"/>
      <c r="O629" s="3"/>
      <c r="P629" s="3"/>
      <c r="Q629" s="261"/>
      <c r="R629" s="261"/>
    </row>
    <row r="630" spans="1:18" x14ac:dyDescent="0.35">
      <c r="A630" s="3"/>
      <c r="B630" s="3"/>
      <c r="C630" s="3"/>
      <c r="D630" s="3"/>
      <c r="E630" s="3"/>
      <c r="F630" s="3"/>
      <c r="G630" s="3"/>
      <c r="H630" s="3"/>
      <c r="I630" s="3"/>
      <c r="J630" s="3"/>
      <c r="K630" s="3"/>
      <c r="L630" s="3"/>
      <c r="M630" s="3"/>
      <c r="N630" s="3"/>
      <c r="O630" s="3"/>
      <c r="P630" s="3"/>
      <c r="Q630" s="261"/>
      <c r="R630" s="261"/>
    </row>
    <row r="631" spans="1:18" x14ac:dyDescent="0.35">
      <c r="A631" s="3"/>
      <c r="B631" s="3"/>
      <c r="C631" s="3"/>
      <c r="D631" s="3"/>
      <c r="E631" s="3"/>
      <c r="F631" s="3"/>
      <c r="G631" s="3"/>
      <c r="H631" s="3"/>
      <c r="I631" s="3"/>
      <c r="J631" s="3"/>
      <c r="K631" s="3"/>
      <c r="L631" s="3"/>
      <c r="M631" s="3"/>
      <c r="N631" s="3"/>
      <c r="O631" s="3"/>
      <c r="P631" s="3"/>
      <c r="Q631" s="261"/>
      <c r="R631" s="261"/>
    </row>
    <row r="632" spans="1:18" x14ac:dyDescent="0.35">
      <c r="A632" s="3"/>
      <c r="B632" s="3"/>
      <c r="C632" s="3"/>
      <c r="D632" s="3"/>
      <c r="E632" s="3"/>
      <c r="F632" s="3"/>
      <c r="G632" s="3"/>
      <c r="H632" s="3"/>
      <c r="I632" s="3"/>
      <c r="J632" s="3"/>
      <c r="K632" s="3"/>
      <c r="L632" s="3"/>
      <c r="M632" s="3"/>
      <c r="N632" s="3"/>
      <c r="O632" s="3"/>
      <c r="P632" s="3"/>
      <c r="Q632" s="261"/>
      <c r="R632" s="261"/>
    </row>
    <row r="633" spans="1:18" x14ac:dyDescent="0.35">
      <c r="A633" s="3"/>
      <c r="B633" s="3"/>
      <c r="C633" s="3"/>
      <c r="D633" s="3"/>
      <c r="E633" s="3"/>
      <c r="F633" s="3"/>
      <c r="G633" s="3"/>
      <c r="H633" s="3"/>
      <c r="I633" s="3"/>
      <c r="J633" s="3"/>
      <c r="K633" s="3"/>
      <c r="L633" s="3"/>
      <c r="M633" s="3"/>
      <c r="N633" s="3"/>
      <c r="O633" s="3"/>
      <c r="P633" s="3"/>
      <c r="Q633" s="261"/>
      <c r="R633" s="261"/>
    </row>
    <row r="634" spans="1:18" x14ac:dyDescent="0.35">
      <c r="A634" s="3"/>
      <c r="B634" s="3"/>
      <c r="C634" s="3"/>
      <c r="D634" s="3"/>
      <c r="E634" s="3"/>
      <c r="F634" s="3"/>
      <c r="G634" s="3"/>
      <c r="H634" s="3"/>
      <c r="I634" s="3"/>
      <c r="J634" s="3"/>
      <c r="K634" s="3"/>
      <c r="L634" s="3"/>
      <c r="M634" s="3"/>
      <c r="N634" s="3"/>
      <c r="O634" s="3"/>
      <c r="P634" s="3"/>
      <c r="Q634" s="261"/>
      <c r="R634" s="261"/>
    </row>
    <row r="635" spans="1:18" x14ac:dyDescent="0.35">
      <c r="A635" s="3"/>
      <c r="B635" s="3"/>
      <c r="C635" s="3"/>
      <c r="D635" s="3"/>
      <c r="E635" s="3"/>
      <c r="F635" s="3"/>
      <c r="G635" s="3"/>
      <c r="H635" s="3"/>
      <c r="I635" s="3"/>
      <c r="J635" s="3"/>
      <c r="K635" s="3"/>
      <c r="L635" s="3"/>
      <c r="M635" s="3"/>
      <c r="N635" s="3"/>
      <c r="O635" s="3"/>
      <c r="P635" s="3"/>
      <c r="Q635" s="261"/>
      <c r="R635" s="261"/>
    </row>
    <row r="636" spans="1:18" x14ac:dyDescent="0.35">
      <c r="A636" s="3"/>
      <c r="B636" s="3"/>
      <c r="C636" s="3"/>
      <c r="D636" s="3"/>
      <c r="E636" s="3"/>
      <c r="F636" s="3"/>
      <c r="G636" s="3"/>
      <c r="H636" s="3"/>
      <c r="I636" s="3"/>
      <c r="J636" s="3"/>
      <c r="K636" s="3"/>
      <c r="L636" s="3"/>
      <c r="M636" s="3"/>
      <c r="N636" s="3"/>
      <c r="O636" s="3"/>
      <c r="P636" s="3"/>
      <c r="Q636" s="261"/>
      <c r="R636" s="261"/>
    </row>
    <row r="637" spans="1:18" x14ac:dyDescent="0.35">
      <c r="A637" s="3"/>
      <c r="B637" s="3"/>
      <c r="C637" s="3"/>
      <c r="D637" s="3"/>
      <c r="E637" s="3"/>
      <c r="F637" s="3"/>
      <c r="G637" s="3"/>
      <c r="H637" s="3"/>
      <c r="I637" s="3"/>
      <c r="J637" s="3"/>
      <c r="K637" s="3"/>
      <c r="L637" s="3"/>
      <c r="M637" s="3"/>
      <c r="N637" s="3"/>
      <c r="O637" s="3"/>
      <c r="P637" s="3"/>
      <c r="Q637" s="261"/>
      <c r="R637" s="261"/>
    </row>
    <row r="638" spans="1:18" x14ac:dyDescent="0.35">
      <c r="A638" s="3"/>
      <c r="B638" s="3"/>
      <c r="C638" s="3"/>
      <c r="D638" s="3"/>
      <c r="E638" s="3"/>
      <c r="F638" s="3"/>
      <c r="G638" s="3"/>
      <c r="H638" s="3"/>
      <c r="I638" s="3"/>
      <c r="J638" s="3"/>
      <c r="K638" s="3"/>
      <c r="L638" s="3"/>
      <c r="M638" s="3"/>
      <c r="N638" s="3"/>
      <c r="O638" s="3"/>
      <c r="P638" s="3"/>
      <c r="Q638" s="261"/>
      <c r="R638" s="261"/>
    </row>
    <row r="639" spans="1:18" x14ac:dyDescent="0.35">
      <c r="A639" s="3"/>
      <c r="B639" s="3"/>
      <c r="C639" s="3"/>
      <c r="D639" s="3"/>
      <c r="E639" s="3"/>
      <c r="F639" s="3"/>
      <c r="G639" s="3"/>
      <c r="H639" s="3"/>
      <c r="I639" s="3"/>
      <c r="J639" s="3"/>
      <c r="K639" s="3"/>
      <c r="L639" s="3"/>
      <c r="M639" s="3"/>
      <c r="N639" s="3"/>
      <c r="O639" s="3"/>
      <c r="P639" s="3"/>
      <c r="Q639" s="261"/>
      <c r="R639" s="261"/>
    </row>
    <row r="640" spans="1:18" x14ac:dyDescent="0.35">
      <c r="A640" s="3"/>
      <c r="B640" s="3"/>
      <c r="C640" s="3"/>
      <c r="D640" s="3"/>
      <c r="E640" s="3"/>
      <c r="F640" s="3"/>
      <c r="G640" s="3"/>
      <c r="H640" s="3"/>
      <c r="I640" s="3"/>
      <c r="J640" s="3"/>
      <c r="K640" s="3"/>
      <c r="L640" s="3"/>
      <c r="M640" s="3"/>
      <c r="N640" s="3"/>
      <c r="O640" s="3"/>
      <c r="P640" s="3"/>
      <c r="Q640" s="261"/>
      <c r="R640" s="261"/>
    </row>
    <row r="641" spans="1:18" x14ac:dyDescent="0.35">
      <c r="A641" s="3"/>
      <c r="B641" s="3"/>
      <c r="C641" s="3"/>
      <c r="D641" s="3"/>
      <c r="E641" s="3"/>
      <c r="F641" s="3"/>
      <c r="G641" s="3"/>
      <c r="H641" s="3"/>
      <c r="I641" s="3"/>
      <c r="J641" s="3"/>
      <c r="K641" s="3"/>
      <c r="L641" s="3"/>
      <c r="M641" s="3"/>
      <c r="N641" s="3"/>
      <c r="O641" s="3"/>
      <c r="P641" s="3"/>
      <c r="Q641" s="261"/>
      <c r="R641" s="261"/>
    </row>
    <row r="642" spans="1:18" x14ac:dyDescent="0.35">
      <c r="A642" s="3"/>
      <c r="B642" s="3"/>
      <c r="C642" s="3"/>
      <c r="D642" s="3"/>
      <c r="E642" s="3"/>
      <c r="F642" s="3"/>
      <c r="G642" s="3"/>
      <c r="H642" s="3"/>
      <c r="I642" s="3"/>
      <c r="J642" s="3"/>
      <c r="K642" s="3"/>
      <c r="L642" s="3"/>
      <c r="M642" s="3"/>
      <c r="N642" s="3"/>
      <c r="O642" s="3"/>
      <c r="P642" s="3"/>
      <c r="Q642" s="261"/>
      <c r="R642" s="261"/>
    </row>
    <row r="643" spans="1:18" x14ac:dyDescent="0.35">
      <c r="A643" s="3"/>
      <c r="B643" s="3"/>
      <c r="C643" s="3"/>
      <c r="D643" s="3"/>
      <c r="E643" s="3"/>
      <c r="F643" s="3"/>
      <c r="G643" s="3"/>
      <c r="H643" s="3"/>
      <c r="I643" s="3"/>
      <c r="J643" s="3"/>
      <c r="K643" s="3"/>
      <c r="L643" s="3"/>
      <c r="M643" s="3"/>
      <c r="N643" s="3"/>
      <c r="O643" s="3"/>
      <c r="P643" s="3"/>
      <c r="Q643" s="261"/>
      <c r="R643" s="261"/>
    </row>
    <row r="644" spans="1:18" x14ac:dyDescent="0.35">
      <c r="A644" s="3"/>
      <c r="B644" s="3"/>
      <c r="C644" s="3"/>
      <c r="D644" s="3"/>
      <c r="E644" s="3"/>
      <c r="F644" s="3"/>
      <c r="G644" s="3"/>
      <c r="H644" s="3"/>
      <c r="I644" s="3"/>
      <c r="J644" s="3"/>
      <c r="K644" s="3"/>
      <c r="L644" s="3"/>
      <c r="M644" s="3"/>
      <c r="N644" s="3"/>
      <c r="O644" s="3"/>
      <c r="P644" s="3"/>
      <c r="Q644" s="261"/>
      <c r="R644" s="261"/>
    </row>
    <row r="645" spans="1:18" x14ac:dyDescent="0.35">
      <c r="A645" s="3"/>
      <c r="B645" s="3"/>
      <c r="C645" s="3"/>
      <c r="D645" s="3"/>
      <c r="E645" s="3"/>
      <c r="F645" s="3"/>
      <c r="G645" s="3"/>
      <c r="H645" s="3"/>
      <c r="I645" s="3"/>
      <c r="J645" s="3"/>
      <c r="K645" s="3"/>
      <c r="L645" s="3"/>
      <c r="M645" s="3"/>
      <c r="N645" s="3"/>
      <c r="O645" s="3"/>
      <c r="P645" s="3"/>
      <c r="Q645" s="261"/>
      <c r="R645" s="261"/>
    </row>
    <row r="646" spans="1:18" x14ac:dyDescent="0.35">
      <c r="A646" s="3"/>
      <c r="B646" s="3"/>
      <c r="C646" s="3"/>
      <c r="D646" s="3"/>
      <c r="E646" s="3"/>
      <c r="F646" s="3"/>
      <c r="G646" s="3"/>
      <c r="H646" s="3"/>
      <c r="I646" s="3"/>
      <c r="J646" s="3"/>
      <c r="K646" s="3"/>
      <c r="L646" s="3"/>
      <c r="M646" s="3"/>
      <c r="N646" s="3"/>
      <c r="O646" s="3"/>
      <c r="P646" s="3"/>
      <c r="Q646" s="261"/>
      <c r="R646" s="261"/>
    </row>
    <row r="647" spans="1:18" x14ac:dyDescent="0.35">
      <c r="A647" s="3"/>
      <c r="B647" s="3"/>
      <c r="C647" s="3"/>
      <c r="D647" s="3"/>
      <c r="E647" s="3"/>
      <c r="F647" s="3"/>
      <c r="G647" s="3"/>
      <c r="H647" s="3"/>
      <c r="I647" s="3"/>
      <c r="J647" s="3"/>
      <c r="K647" s="3"/>
      <c r="L647" s="3"/>
      <c r="M647" s="3"/>
      <c r="N647" s="3"/>
      <c r="O647" s="3"/>
      <c r="P647" s="3"/>
      <c r="Q647" s="261"/>
      <c r="R647" s="261"/>
    </row>
    <row r="648" spans="1:18" x14ac:dyDescent="0.35">
      <c r="A648" s="3"/>
      <c r="B648" s="3"/>
      <c r="C648" s="3"/>
      <c r="D648" s="3"/>
      <c r="E648" s="3"/>
      <c r="F648" s="3"/>
      <c r="G648" s="3"/>
      <c r="H648" s="3"/>
      <c r="I648" s="3"/>
      <c r="J648" s="3"/>
      <c r="K648" s="3"/>
      <c r="L648" s="3"/>
      <c r="M648" s="3"/>
      <c r="N648" s="3"/>
      <c r="O648" s="3"/>
      <c r="P648" s="3"/>
      <c r="Q648" s="261"/>
      <c r="R648" s="261"/>
    </row>
    <row r="649" spans="1:18" x14ac:dyDescent="0.35">
      <c r="A649" s="3"/>
      <c r="B649" s="3"/>
      <c r="C649" s="3"/>
      <c r="D649" s="3"/>
      <c r="E649" s="3"/>
      <c r="F649" s="3"/>
      <c r="G649" s="3"/>
      <c r="H649" s="3"/>
      <c r="I649" s="3"/>
      <c r="J649" s="3"/>
      <c r="K649" s="3"/>
      <c r="L649" s="3"/>
      <c r="M649" s="3"/>
      <c r="N649" s="3"/>
      <c r="O649" s="3"/>
      <c r="P649" s="3"/>
      <c r="Q649" s="261"/>
      <c r="R649" s="261"/>
    </row>
    <row r="650" spans="1:18" x14ac:dyDescent="0.35">
      <c r="A650" s="3"/>
      <c r="B650" s="3"/>
      <c r="C650" s="3"/>
      <c r="D650" s="3"/>
      <c r="E650" s="3"/>
      <c r="F650" s="3"/>
      <c r="G650" s="3"/>
      <c r="H650" s="3"/>
      <c r="I650" s="3"/>
      <c r="J650" s="3"/>
      <c r="K650" s="3"/>
      <c r="L650" s="3"/>
      <c r="M650" s="3"/>
      <c r="N650" s="3"/>
      <c r="O650" s="3"/>
      <c r="P650" s="3"/>
      <c r="Q650" s="261"/>
      <c r="R650" s="261"/>
    </row>
    <row r="651" spans="1:18" x14ac:dyDescent="0.35">
      <c r="A651" s="3"/>
      <c r="B651" s="3"/>
      <c r="C651" s="3"/>
      <c r="D651" s="3"/>
      <c r="E651" s="3"/>
      <c r="F651" s="3"/>
      <c r="G651" s="3"/>
      <c r="H651" s="3"/>
      <c r="I651" s="3"/>
      <c r="J651" s="3"/>
      <c r="K651" s="3"/>
      <c r="L651" s="3"/>
      <c r="M651" s="3"/>
      <c r="N651" s="3"/>
      <c r="O651" s="3"/>
      <c r="P651" s="3"/>
      <c r="Q651" s="261"/>
      <c r="R651" s="261"/>
    </row>
    <row r="652" spans="1:18" x14ac:dyDescent="0.35">
      <c r="A652" s="3"/>
      <c r="B652" s="3"/>
      <c r="C652" s="3"/>
      <c r="D652" s="3"/>
      <c r="E652" s="3"/>
      <c r="F652" s="3"/>
      <c r="G652" s="3"/>
      <c r="H652" s="3"/>
      <c r="I652" s="3"/>
      <c r="J652" s="3"/>
      <c r="K652" s="3"/>
      <c r="L652" s="3"/>
      <c r="M652" s="3"/>
      <c r="N652" s="3"/>
      <c r="O652" s="3"/>
      <c r="P652" s="3"/>
      <c r="Q652" s="261"/>
      <c r="R652" s="261"/>
    </row>
    <row r="653" spans="1:18" x14ac:dyDescent="0.35">
      <c r="A653" s="3"/>
      <c r="B653" s="3"/>
      <c r="C653" s="3"/>
      <c r="D653" s="3"/>
      <c r="E653" s="3"/>
      <c r="F653" s="3"/>
      <c r="G653" s="3"/>
      <c r="H653" s="3"/>
      <c r="I653" s="3"/>
      <c r="J653" s="3"/>
      <c r="K653" s="3"/>
      <c r="L653" s="3"/>
      <c r="M653" s="3"/>
      <c r="N653" s="3"/>
      <c r="O653" s="3"/>
      <c r="P653" s="3"/>
      <c r="Q653" s="261"/>
      <c r="R653" s="261"/>
    </row>
    <row r="654" spans="1:18" x14ac:dyDescent="0.35">
      <c r="A654" s="3"/>
      <c r="B654" s="3"/>
      <c r="C654" s="3"/>
      <c r="D654" s="3"/>
      <c r="E654" s="3"/>
      <c r="F654" s="3"/>
      <c r="G654" s="3"/>
      <c r="H654" s="3"/>
      <c r="I654" s="3"/>
      <c r="J654" s="3"/>
      <c r="K654" s="3"/>
      <c r="L654" s="3"/>
      <c r="M654" s="3"/>
      <c r="N654" s="3"/>
      <c r="O654" s="3"/>
      <c r="P654" s="3"/>
      <c r="Q654" s="261"/>
      <c r="R654" s="261"/>
    </row>
    <row r="655" spans="1:18" x14ac:dyDescent="0.35">
      <c r="A655" s="3"/>
      <c r="B655" s="3"/>
      <c r="C655" s="3"/>
      <c r="D655" s="3"/>
      <c r="E655" s="3"/>
      <c r="F655" s="3"/>
      <c r="G655" s="3"/>
      <c r="H655" s="3"/>
      <c r="I655" s="3"/>
      <c r="J655" s="3"/>
      <c r="K655" s="3"/>
      <c r="L655" s="3"/>
      <c r="M655" s="3"/>
      <c r="N655" s="3"/>
      <c r="O655" s="3"/>
      <c r="P655" s="3"/>
      <c r="Q655" s="261"/>
      <c r="R655" s="261"/>
    </row>
    <row r="656" spans="1:18" x14ac:dyDescent="0.35">
      <c r="A656" s="3"/>
      <c r="B656" s="3"/>
      <c r="C656" s="3"/>
      <c r="D656" s="3"/>
      <c r="E656" s="3"/>
      <c r="F656" s="3"/>
      <c r="G656" s="3"/>
      <c r="H656" s="3"/>
      <c r="I656" s="3"/>
      <c r="J656" s="3"/>
      <c r="K656" s="3"/>
      <c r="L656" s="3"/>
      <c r="M656" s="3"/>
      <c r="N656" s="3"/>
      <c r="O656" s="3"/>
      <c r="P656" s="3"/>
      <c r="Q656" s="261"/>
      <c r="R656" s="261"/>
    </row>
    <row r="657" spans="1:18" x14ac:dyDescent="0.35">
      <c r="A657" s="3"/>
      <c r="B657" s="3"/>
      <c r="C657" s="3"/>
      <c r="D657" s="3"/>
      <c r="E657" s="3"/>
      <c r="F657" s="3"/>
      <c r="G657" s="3"/>
      <c r="H657" s="3"/>
      <c r="I657" s="3"/>
      <c r="J657" s="3"/>
      <c r="K657" s="3"/>
      <c r="L657" s="3"/>
      <c r="M657" s="3"/>
      <c r="N657" s="3"/>
      <c r="O657" s="3"/>
      <c r="P657" s="3"/>
      <c r="Q657" s="261"/>
      <c r="R657" s="261"/>
    </row>
    <row r="658" spans="1:18" x14ac:dyDescent="0.35">
      <c r="A658" s="3"/>
      <c r="B658" s="3"/>
      <c r="C658" s="3"/>
      <c r="D658" s="3"/>
      <c r="E658" s="3"/>
      <c r="F658" s="3"/>
      <c r="G658" s="3"/>
      <c r="H658" s="3"/>
      <c r="I658" s="3"/>
      <c r="J658" s="3"/>
      <c r="K658" s="3"/>
      <c r="L658" s="3"/>
      <c r="M658" s="3"/>
      <c r="N658" s="3"/>
      <c r="O658" s="3"/>
      <c r="P658" s="3"/>
      <c r="Q658" s="261"/>
      <c r="R658" s="261"/>
    </row>
    <row r="659" spans="1:18" x14ac:dyDescent="0.35">
      <c r="A659" s="3"/>
      <c r="B659" s="3"/>
      <c r="C659" s="3"/>
      <c r="D659" s="3"/>
      <c r="E659" s="3"/>
      <c r="F659" s="3"/>
      <c r="G659" s="3"/>
      <c r="H659" s="3"/>
      <c r="I659" s="3"/>
      <c r="J659" s="3"/>
      <c r="K659" s="3"/>
      <c r="L659" s="3"/>
      <c r="M659" s="3"/>
      <c r="N659" s="3"/>
      <c r="O659" s="3"/>
      <c r="P659" s="3"/>
      <c r="Q659" s="261"/>
      <c r="R659" s="261"/>
    </row>
    <row r="660" spans="1:18" x14ac:dyDescent="0.35">
      <c r="A660" s="3"/>
      <c r="B660" s="3"/>
      <c r="C660" s="3"/>
      <c r="D660" s="3"/>
      <c r="E660" s="3"/>
      <c r="F660" s="3"/>
      <c r="G660" s="3"/>
      <c r="H660" s="3"/>
      <c r="I660" s="3"/>
      <c r="J660" s="3"/>
      <c r="K660" s="3"/>
      <c r="L660" s="3"/>
      <c r="M660" s="3"/>
      <c r="N660" s="3"/>
      <c r="O660" s="3"/>
      <c r="P660" s="3"/>
      <c r="Q660" s="261"/>
      <c r="R660" s="261"/>
    </row>
    <row r="661" spans="1:18" x14ac:dyDescent="0.35">
      <c r="A661" s="3"/>
      <c r="B661" s="3"/>
      <c r="C661" s="3"/>
      <c r="D661" s="3"/>
      <c r="E661" s="3"/>
      <c r="F661" s="3"/>
      <c r="G661" s="3"/>
      <c r="H661" s="3"/>
      <c r="I661" s="3"/>
      <c r="J661" s="3"/>
      <c r="K661" s="3"/>
      <c r="L661" s="3"/>
      <c r="M661" s="3"/>
      <c r="N661" s="3"/>
      <c r="O661" s="3"/>
      <c r="P661" s="3"/>
      <c r="Q661" s="261"/>
      <c r="R661" s="261"/>
    </row>
    <row r="662" spans="1:18" x14ac:dyDescent="0.35">
      <c r="A662" s="3"/>
      <c r="B662" s="3"/>
      <c r="C662" s="3"/>
      <c r="D662" s="3"/>
      <c r="E662" s="3"/>
      <c r="F662" s="3"/>
      <c r="G662" s="3"/>
      <c r="H662" s="3"/>
      <c r="I662" s="3"/>
      <c r="J662" s="3"/>
      <c r="K662" s="3"/>
      <c r="L662" s="3"/>
      <c r="M662" s="3"/>
      <c r="N662" s="3"/>
      <c r="O662" s="3"/>
      <c r="P662" s="3"/>
      <c r="Q662" s="261"/>
      <c r="R662" s="261"/>
    </row>
    <row r="663" spans="1:18" x14ac:dyDescent="0.35">
      <c r="A663" s="3"/>
      <c r="B663" s="3"/>
      <c r="C663" s="3"/>
      <c r="D663" s="3"/>
      <c r="E663" s="3"/>
      <c r="F663" s="3"/>
      <c r="G663" s="3"/>
      <c r="H663" s="3"/>
      <c r="I663" s="3"/>
      <c r="J663" s="3"/>
      <c r="K663" s="3"/>
      <c r="L663" s="3"/>
      <c r="M663" s="3"/>
      <c r="N663" s="3"/>
      <c r="O663" s="3"/>
      <c r="P663" s="3"/>
      <c r="Q663" s="261"/>
      <c r="R663" s="261"/>
    </row>
    <row r="664" spans="1:18" x14ac:dyDescent="0.35">
      <c r="A664" s="3"/>
      <c r="B664" s="3"/>
      <c r="C664" s="3"/>
      <c r="D664" s="3"/>
      <c r="E664" s="3"/>
      <c r="F664" s="3"/>
      <c r="G664" s="3"/>
      <c r="H664" s="3"/>
      <c r="I664" s="3"/>
      <c r="J664" s="3"/>
      <c r="K664" s="3"/>
      <c r="L664" s="3"/>
      <c r="M664" s="3"/>
      <c r="N664" s="3"/>
      <c r="O664" s="3"/>
      <c r="P664" s="3"/>
      <c r="Q664" s="261"/>
      <c r="R664" s="261"/>
    </row>
    <row r="665" spans="1:18" x14ac:dyDescent="0.35">
      <c r="A665" s="3"/>
      <c r="B665" s="3"/>
      <c r="C665" s="3"/>
      <c r="D665" s="3"/>
      <c r="E665" s="3"/>
      <c r="F665" s="3"/>
      <c r="G665" s="3"/>
      <c r="H665" s="3"/>
      <c r="I665" s="3"/>
      <c r="J665" s="3"/>
      <c r="K665" s="3"/>
      <c r="L665" s="3"/>
      <c r="M665" s="3"/>
      <c r="N665" s="3"/>
      <c r="O665" s="3"/>
      <c r="P665" s="3"/>
      <c r="Q665" s="261"/>
      <c r="R665" s="261"/>
    </row>
    <row r="666" spans="1:18" x14ac:dyDescent="0.35">
      <c r="A666" s="3"/>
      <c r="B666" s="3"/>
      <c r="C666" s="3"/>
      <c r="D666" s="3"/>
      <c r="E666" s="3"/>
      <c r="F666" s="3"/>
      <c r="G666" s="3"/>
      <c r="H666" s="3"/>
      <c r="I666" s="3"/>
      <c r="J666" s="3"/>
      <c r="K666" s="3"/>
      <c r="L666" s="3"/>
      <c r="M666" s="3"/>
      <c r="N666" s="3"/>
      <c r="O666" s="3"/>
      <c r="P666" s="3"/>
      <c r="Q666" s="261"/>
      <c r="R666" s="261"/>
    </row>
    <row r="667" spans="1:18" x14ac:dyDescent="0.35">
      <c r="A667" s="3"/>
      <c r="B667" s="3"/>
      <c r="C667" s="3"/>
      <c r="D667" s="3"/>
      <c r="E667" s="3"/>
      <c r="F667" s="3"/>
      <c r="G667" s="3"/>
      <c r="H667" s="3"/>
      <c r="I667" s="3"/>
      <c r="J667" s="3"/>
      <c r="K667" s="3"/>
      <c r="L667" s="3"/>
      <c r="M667" s="3"/>
      <c r="N667" s="3"/>
      <c r="O667" s="3"/>
      <c r="P667" s="3"/>
      <c r="Q667" s="261"/>
      <c r="R667" s="261"/>
    </row>
    <row r="668" spans="1:18" x14ac:dyDescent="0.35">
      <c r="A668" s="3"/>
      <c r="B668" s="3"/>
      <c r="C668" s="3"/>
      <c r="D668" s="3"/>
      <c r="E668" s="3"/>
      <c r="F668" s="3"/>
      <c r="G668" s="3"/>
      <c r="H668" s="3"/>
      <c r="I668" s="3"/>
      <c r="J668" s="3"/>
      <c r="K668" s="3"/>
      <c r="L668" s="3"/>
      <c r="M668" s="3"/>
      <c r="N668" s="3"/>
      <c r="O668" s="3"/>
      <c r="P668" s="3"/>
      <c r="Q668" s="261"/>
      <c r="R668" s="261"/>
    </row>
    <row r="669" spans="1:18" x14ac:dyDescent="0.35">
      <c r="A669" s="3"/>
      <c r="B669" s="3"/>
      <c r="C669" s="3"/>
      <c r="D669" s="3"/>
      <c r="E669" s="3"/>
      <c r="F669" s="3"/>
      <c r="G669" s="3"/>
      <c r="H669" s="3"/>
      <c r="I669" s="3"/>
      <c r="J669" s="3"/>
      <c r="K669" s="3"/>
      <c r="L669" s="3"/>
      <c r="M669" s="3"/>
      <c r="N669" s="3"/>
      <c r="O669" s="3"/>
      <c r="P669" s="3"/>
      <c r="Q669" s="261"/>
      <c r="R669" s="261"/>
    </row>
    <row r="670" spans="1:18" x14ac:dyDescent="0.35">
      <c r="A670" s="3"/>
      <c r="B670" s="3"/>
      <c r="C670" s="3"/>
      <c r="D670" s="3"/>
      <c r="E670" s="3"/>
      <c r="F670" s="3"/>
      <c r="G670" s="3"/>
      <c r="H670" s="3"/>
      <c r="I670" s="3"/>
      <c r="J670" s="3"/>
      <c r="K670" s="3"/>
      <c r="L670" s="3"/>
      <c r="M670" s="3"/>
      <c r="N670" s="3"/>
      <c r="O670" s="3"/>
      <c r="P670" s="3"/>
      <c r="Q670" s="261"/>
      <c r="R670" s="261"/>
    </row>
    <row r="671" spans="1:18" x14ac:dyDescent="0.35">
      <c r="A671" s="3"/>
      <c r="B671" s="3"/>
      <c r="C671" s="3"/>
      <c r="D671" s="3"/>
      <c r="E671" s="3"/>
      <c r="F671" s="3"/>
      <c r="G671" s="3"/>
      <c r="H671" s="3"/>
      <c r="I671" s="3"/>
      <c r="J671" s="3"/>
      <c r="K671" s="3"/>
      <c r="L671" s="3"/>
      <c r="M671" s="3"/>
      <c r="N671" s="3"/>
      <c r="O671" s="3"/>
      <c r="P671" s="3"/>
      <c r="Q671" s="261"/>
      <c r="R671" s="261"/>
    </row>
    <row r="672" spans="1:18" x14ac:dyDescent="0.35">
      <c r="A672" s="3"/>
      <c r="B672" s="3"/>
      <c r="C672" s="3"/>
      <c r="D672" s="3"/>
      <c r="E672" s="3"/>
      <c r="F672" s="3"/>
      <c r="G672" s="3"/>
      <c r="H672" s="3"/>
      <c r="I672" s="3"/>
      <c r="J672" s="3"/>
      <c r="K672" s="3"/>
      <c r="L672" s="3"/>
      <c r="M672" s="3"/>
      <c r="N672" s="3"/>
      <c r="O672" s="3"/>
      <c r="P672" s="3"/>
      <c r="Q672" s="261"/>
      <c r="R672" s="261"/>
    </row>
    <row r="673" spans="1:18" x14ac:dyDescent="0.35">
      <c r="A673" s="3"/>
      <c r="B673" s="3"/>
      <c r="C673" s="3"/>
      <c r="D673" s="3"/>
      <c r="E673" s="3"/>
      <c r="F673" s="3"/>
      <c r="G673" s="3"/>
      <c r="H673" s="3"/>
      <c r="I673" s="3"/>
      <c r="J673" s="3"/>
      <c r="K673" s="3"/>
      <c r="L673" s="3"/>
      <c r="M673" s="3"/>
      <c r="N673" s="3"/>
      <c r="O673" s="3"/>
      <c r="P673" s="3"/>
      <c r="Q673" s="261"/>
      <c r="R673" s="261"/>
    </row>
    <row r="674" spans="1:18" x14ac:dyDescent="0.35">
      <c r="A674" s="3"/>
      <c r="B674" s="3"/>
      <c r="C674" s="3"/>
      <c r="D674" s="3"/>
      <c r="E674" s="3"/>
      <c r="F674" s="3"/>
      <c r="G674" s="3"/>
      <c r="H674" s="3"/>
      <c r="I674" s="3"/>
      <c r="J674" s="3"/>
      <c r="K674" s="3"/>
      <c r="L674" s="3"/>
      <c r="M674" s="3"/>
      <c r="N674" s="3"/>
      <c r="O674" s="3"/>
      <c r="P674" s="3"/>
      <c r="Q674" s="261"/>
      <c r="R674" s="261"/>
    </row>
    <row r="675" spans="1:18" x14ac:dyDescent="0.35">
      <c r="A675" s="3"/>
      <c r="B675" s="3"/>
      <c r="C675" s="3"/>
      <c r="D675" s="3"/>
      <c r="E675" s="3"/>
      <c r="F675" s="3"/>
      <c r="G675" s="3"/>
      <c r="H675" s="3"/>
      <c r="I675" s="3"/>
      <c r="J675" s="3"/>
      <c r="K675" s="3"/>
      <c r="L675" s="3"/>
      <c r="M675" s="3"/>
      <c r="N675" s="3"/>
      <c r="O675" s="3"/>
      <c r="P675" s="3"/>
      <c r="Q675" s="261"/>
      <c r="R675" s="261"/>
    </row>
    <row r="676" spans="1:18" x14ac:dyDescent="0.35">
      <c r="A676" s="3"/>
      <c r="B676" s="3"/>
      <c r="C676" s="3"/>
      <c r="D676" s="3"/>
      <c r="E676" s="3"/>
      <c r="F676" s="3"/>
      <c r="G676" s="3"/>
      <c r="H676" s="3"/>
      <c r="I676" s="3"/>
      <c r="J676" s="3"/>
      <c r="K676" s="3"/>
      <c r="L676" s="3"/>
      <c r="M676" s="3"/>
      <c r="N676" s="3"/>
      <c r="O676" s="3"/>
      <c r="P676" s="3"/>
      <c r="Q676" s="261"/>
      <c r="R676" s="261"/>
    </row>
    <row r="677" spans="1:18" x14ac:dyDescent="0.35">
      <c r="A677" s="3"/>
      <c r="B677" s="3"/>
      <c r="C677" s="3"/>
      <c r="D677" s="3"/>
      <c r="E677" s="3"/>
      <c r="F677" s="3"/>
      <c r="G677" s="3"/>
      <c r="H677" s="3"/>
      <c r="I677" s="3"/>
      <c r="J677" s="3"/>
      <c r="K677" s="3"/>
      <c r="L677" s="3"/>
      <c r="M677" s="3"/>
      <c r="N677" s="3"/>
      <c r="O677" s="3"/>
      <c r="P677" s="3"/>
      <c r="Q677" s="261"/>
      <c r="R677" s="261"/>
    </row>
    <row r="678" spans="1:18" x14ac:dyDescent="0.35">
      <c r="A678" s="3"/>
      <c r="B678" s="3"/>
      <c r="C678" s="3"/>
      <c r="D678" s="3"/>
      <c r="E678" s="3"/>
      <c r="F678" s="3"/>
      <c r="G678" s="3"/>
      <c r="H678" s="3"/>
      <c r="I678" s="3"/>
      <c r="J678" s="3"/>
      <c r="K678" s="3"/>
      <c r="L678" s="3"/>
      <c r="M678" s="3"/>
      <c r="N678" s="3"/>
      <c r="O678" s="3"/>
      <c r="P678" s="3"/>
      <c r="Q678" s="261"/>
      <c r="R678" s="261"/>
    </row>
    <row r="679" spans="1:18" x14ac:dyDescent="0.35">
      <c r="A679" s="3"/>
      <c r="B679" s="3"/>
      <c r="C679" s="3"/>
      <c r="D679" s="3"/>
      <c r="E679" s="3"/>
      <c r="F679" s="3"/>
      <c r="G679" s="3"/>
      <c r="H679" s="3"/>
      <c r="I679" s="3"/>
      <c r="J679" s="3"/>
      <c r="K679" s="3"/>
      <c r="L679" s="3"/>
      <c r="M679" s="3"/>
      <c r="N679" s="3"/>
      <c r="O679" s="3"/>
      <c r="P679" s="3"/>
      <c r="Q679" s="261"/>
      <c r="R679" s="261"/>
    </row>
    <row r="680" spans="1:18" x14ac:dyDescent="0.35">
      <c r="A680" s="3"/>
      <c r="B680" s="3"/>
      <c r="C680" s="3"/>
      <c r="D680" s="3"/>
      <c r="E680" s="3"/>
      <c r="F680" s="3"/>
      <c r="G680" s="3"/>
      <c r="H680" s="3"/>
      <c r="I680" s="3"/>
      <c r="J680" s="3"/>
      <c r="K680" s="3"/>
      <c r="L680" s="3"/>
      <c r="M680" s="3"/>
      <c r="N680" s="3"/>
      <c r="O680" s="3"/>
      <c r="P680" s="3"/>
      <c r="Q680" s="261"/>
      <c r="R680" s="261"/>
    </row>
    <row r="681" spans="1:18" x14ac:dyDescent="0.35">
      <c r="A681" s="3"/>
      <c r="B681" s="3"/>
      <c r="C681" s="3"/>
      <c r="D681" s="3"/>
      <c r="E681" s="3"/>
      <c r="F681" s="3"/>
      <c r="G681" s="3"/>
      <c r="H681" s="3"/>
      <c r="I681" s="3"/>
      <c r="J681" s="3"/>
      <c r="K681" s="3"/>
      <c r="L681" s="3"/>
      <c r="M681" s="3"/>
      <c r="N681" s="3"/>
      <c r="O681" s="3"/>
      <c r="P681" s="3"/>
      <c r="Q681" s="261"/>
      <c r="R681" s="261"/>
    </row>
    <row r="682" spans="1:18" x14ac:dyDescent="0.35">
      <c r="A682" s="3"/>
      <c r="B682" s="3"/>
      <c r="C682" s="3"/>
      <c r="D682" s="3"/>
      <c r="E682" s="3"/>
      <c r="F682" s="3"/>
      <c r="G682" s="3"/>
      <c r="H682" s="3"/>
      <c r="I682" s="3"/>
      <c r="J682" s="3"/>
      <c r="K682" s="3"/>
      <c r="L682" s="3"/>
      <c r="M682" s="3"/>
      <c r="N682" s="3"/>
      <c r="O682" s="3"/>
      <c r="P682" s="3"/>
      <c r="Q682" s="261"/>
      <c r="R682" s="261"/>
    </row>
    <row r="683" spans="1:18" x14ac:dyDescent="0.35">
      <c r="A683" s="3"/>
      <c r="B683" s="3"/>
      <c r="C683" s="3"/>
      <c r="D683" s="3"/>
      <c r="E683" s="3"/>
      <c r="F683" s="3"/>
      <c r="G683" s="3"/>
      <c r="H683" s="3"/>
      <c r="I683" s="3"/>
      <c r="J683" s="3"/>
      <c r="K683" s="3"/>
      <c r="L683" s="3"/>
      <c r="M683" s="3"/>
      <c r="N683" s="3"/>
      <c r="O683" s="3"/>
      <c r="P683" s="3"/>
      <c r="Q683" s="261"/>
      <c r="R683" s="261"/>
    </row>
    <row r="684" spans="1:18" x14ac:dyDescent="0.35">
      <c r="A684" s="3"/>
      <c r="B684" s="3"/>
      <c r="C684" s="3"/>
      <c r="D684" s="3"/>
      <c r="E684" s="3"/>
      <c r="F684" s="3"/>
      <c r="G684" s="3"/>
      <c r="H684" s="3"/>
      <c r="I684" s="3"/>
      <c r="J684" s="3"/>
      <c r="K684" s="3"/>
      <c r="L684" s="3"/>
      <c r="M684" s="3"/>
      <c r="N684" s="3"/>
      <c r="O684" s="3"/>
      <c r="P684" s="3"/>
      <c r="Q684" s="261"/>
      <c r="R684" s="261"/>
    </row>
    <row r="685" spans="1:18" x14ac:dyDescent="0.35">
      <c r="A685" s="3"/>
      <c r="B685" s="3"/>
      <c r="C685" s="3"/>
      <c r="D685" s="3"/>
      <c r="E685" s="3"/>
      <c r="F685" s="3"/>
      <c r="G685" s="3"/>
      <c r="H685" s="3"/>
      <c r="I685" s="3"/>
      <c r="J685" s="3"/>
      <c r="K685" s="3"/>
      <c r="L685" s="3"/>
      <c r="M685" s="3"/>
      <c r="N685" s="3"/>
      <c r="O685" s="3"/>
      <c r="P685" s="3"/>
      <c r="Q685" s="261"/>
      <c r="R685" s="261"/>
    </row>
    <row r="686" spans="1:18" x14ac:dyDescent="0.35">
      <c r="A686" s="3"/>
      <c r="B686" s="3"/>
      <c r="C686" s="3"/>
      <c r="D686" s="3"/>
      <c r="E686" s="3"/>
      <c r="F686" s="3"/>
      <c r="G686" s="3"/>
      <c r="H686" s="3"/>
      <c r="I686" s="3"/>
      <c r="J686" s="3"/>
      <c r="K686" s="3"/>
      <c r="L686" s="3"/>
      <c r="M686" s="3"/>
      <c r="N686" s="3"/>
      <c r="O686" s="3"/>
      <c r="P686" s="3"/>
      <c r="Q686" s="261"/>
      <c r="R686" s="261"/>
    </row>
    <row r="687" spans="1:18" x14ac:dyDescent="0.35">
      <c r="A687" s="3"/>
      <c r="B687" s="3"/>
      <c r="C687" s="3"/>
      <c r="D687" s="3"/>
      <c r="E687" s="3"/>
      <c r="F687" s="3"/>
      <c r="G687" s="3"/>
      <c r="H687" s="3"/>
      <c r="I687" s="3"/>
      <c r="J687" s="3"/>
      <c r="K687" s="3"/>
      <c r="L687" s="3"/>
      <c r="M687" s="3"/>
      <c r="N687" s="3"/>
      <c r="O687" s="3"/>
      <c r="P687" s="3"/>
      <c r="Q687" s="261"/>
      <c r="R687" s="261"/>
    </row>
    <row r="688" spans="1:18" x14ac:dyDescent="0.35">
      <c r="A688" s="3"/>
      <c r="B688" s="3"/>
      <c r="C688" s="3"/>
      <c r="D688" s="3"/>
      <c r="E688" s="3"/>
      <c r="F688" s="3"/>
      <c r="G688" s="3"/>
      <c r="H688" s="3"/>
      <c r="I688" s="3"/>
      <c r="J688" s="3"/>
      <c r="K688" s="3"/>
      <c r="L688" s="3"/>
      <c r="M688" s="3"/>
      <c r="N688" s="3"/>
      <c r="O688" s="3"/>
      <c r="P688" s="3"/>
      <c r="Q688" s="261"/>
      <c r="R688" s="261"/>
    </row>
    <row r="689" spans="1:18" x14ac:dyDescent="0.35">
      <c r="A689" s="3"/>
      <c r="B689" s="3"/>
      <c r="C689" s="3"/>
      <c r="D689" s="3"/>
      <c r="E689" s="3"/>
      <c r="F689" s="3"/>
      <c r="G689" s="3"/>
      <c r="H689" s="3"/>
      <c r="I689" s="3"/>
      <c r="J689" s="3"/>
      <c r="K689" s="3"/>
      <c r="L689" s="3"/>
      <c r="M689" s="3"/>
      <c r="N689" s="3"/>
      <c r="O689" s="3"/>
      <c r="P689" s="3"/>
      <c r="Q689" s="261"/>
      <c r="R689" s="261"/>
    </row>
    <row r="690" spans="1:18" x14ac:dyDescent="0.35">
      <c r="A690" s="3"/>
      <c r="B690" s="3"/>
      <c r="C690" s="3"/>
      <c r="D690" s="3"/>
      <c r="E690" s="3"/>
      <c r="F690" s="3"/>
      <c r="G690" s="3"/>
      <c r="H690" s="3"/>
      <c r="I690" s="3"/>
      <c r="J690" s="3"/>
      <c r="K690" s="3"/>
      <c r="L690" s="3"/>
      <c r="M690" s="3"/>
      <c r="N690" s="3"/>
      <c r="O690" s="3"/>
      <c r="P690" s="3"/>
      <c r="Q690" s="261"/>
      <c r="R690" s="261"/>
    </row>
    <row r="691" spans="1:18" x14ac:dyDescent="0.35">
      <c r="A691" s="3"/>
      <c r="B691" s="3"/>
      <c r="C691" s="3"/>
      <c r="D691" s="3"/>
      <c r="E691" s="3"/>
      <c r="F691" s="3"/>
      <c r="G691" s="3"/>
      <c r="H691" s="3"/>
      <c r="I691" s="3"/>
      <c r="J691" s="3"/>
      <c r="K691" s="3"/>
      <c r="L691" s="3"/>
      <c r="M691" s="3"/>
      <c r="N691" s="3"/>
      <c r="O691" s="3"/>
      <c r="P691" s="3"/>
      <c r="Q691" s="261"/>
      <c r="R691" s="261"/>
    </row>
    <row r="692" spans="1:18" x14ac:dyDescent="0.35">
      <c r="A692" s="3"/>
      <c r="B692" s="3"/>
      <c r="C692" s="3"/>
      <c r="D692" s="3"/>
      <c r="E692" s="3"/>
      <c r="F692" s="3"/>
      <c r="G692" s="3"/>
      <c r="H692" s="3"/>
      <c r="I692" s="3"/>
      <c r="J692" s="3"/>
      <c r="K692" s="3"/>
      <c r="L692" s="3"/>
      <c r="M692" s="3"/>
      <c r="N692" s="3"/>
      <c r="O692" s="3"/>
      <c r="P692" s="3"/>
      <c r="Q692" s="261"/>
      <c r="R692" s="261"/>
    </row>
    <row r="693" spans="1:18" x14ac:dyDescent="0.35">
      <c r="A693" s="3"/>
      <c r="B693" s="3"/>
      <c r="C693" s="3"/>
      <c r="D693" s="3"/>
      <c r="E693" s="3"/>
      <c r="F693" s="3"/>
      <c r="G693" s="3"/>
      <c r="H693" s="3"/>
      <c r="I693" s="3"/>
      <c r="J693" s="3"/>
      <c r="K693" s="3"/>
      <c r="L693" s="3"/>
      <c r="M693" s="3"/>
      <c r="N693" s="3"/>
      <c r="O693" s="3"/>
      <c r="P693" s="3"/>
      <c r="Q693" s="261"/>
      <c r="R693" s="261"/>
    </row>
    <row r="694" spans="1:18" x14ac:dyDescent="0.35">
      <c r="A694" s="3"/>
      <c r="B694" s="3"/>
      <c r="C694" s="3"/>
      <c r="D694" s="3"/>
      <c r="E694" s="3"/>
      <c r="F694" s="3"/>
      <c r="G694" s="3"/>
      <c r="H694" s="3"/>
      <c r="I694" s="3"/>
      <c r="J694" s="3"/>
      <c r="K694" s="3"/>
      <c r="L694" s="3"/>
      <c r="M694" s="3"/>
      <c r="N694" s="3"/>
      <c r="O694" s="3"/>
      <c r="P694" s="3"/>
      <c r="Q694" s="261"/>
      <c r="R694" s="261"/>
    </row>
    <row r="695" spans="1:18" x14ac:dyDescent="0.35">
      <c r="A695" s="3"/>
      <c r="B695" s="3"/>
      <c r="C695" s="3"/>
      <c r="D695" s="3"/>
      <c r="E695" s="3"/>
      <c r="F695" s="3"/>
      <c r="G695" s="3"/>
      <c r="H695" s="3"/>
      <c r="I695" s="3"/>
      <c r="J695" s="3"/>
      <c r="K695" s="3"/>
      <c r="L695" s="3"/>
      <c r="M695" s="3"/>
      <c r="N695" s="3"/>
      <c r="O695" s="3"/>
      <c r="P695" s="3"/>
      <c r="Q695" s="261"/>
      <c r="R695" s="261"/>
    </row>
    <row r="696" spans="1:18" x14ac:dyDescent="0.35">
      <c r="A696" s="3"/>
      <c r="B696" s="3"/>
      <c r="C696" s="3"/>
      <c r="D696" s="3"/>
      <c r="E696" s="3"/>
      <c r="F696" s="3"/>
      <c r="G696" s="3"/>
      <c r="H696" s="3"/>
      <c r="I696" s="3"/>
      <c r="J696" s="3"/>
      <c r="K696" s="3"/>
      <c r="L696" s="3"/>
      <c r="M696" s="3"/>
      <c r="N696" s="3"/>
      <c r="O696" s="3"/>
      <c r="P696" s="3"/>
      <c r="Q696" s="261"/>
      <c r="R696" s="261"/>
    </row>
    <row r="697" spans="1:18" x14ac:dyDescent="0.35">
      <c r="A697" s="3"/>
      <c r="B697" s="3"/>
      <c r="C697" s="3"/>
      <c r="D697" s="3"/>
      <c r="E697" s="3"/>
      <c r="F697" s="3"/>
      <c r="G697" s="3"/>
      <c r="H697" s="3"/>
      <c r="I697" s="3"/>
      <c r="J697" s="3"/>
      <c r="K697" s="3"/>
      <c r="L697" s="3"/>
      <c r="M697" s="3"/>
      <c r="N697" s="3"/>
      <c r="O697" s="3"/>
      <c r="P697" s="3"/>
      <c r="Q697" s="261"/>
      <c r="R697" s="261"/>
    </row>
    <row r="698" spans="1:18" x14ac:dyDescent="0.35">
      <c r="A698" s="3"/>
      <c r="B698" s="3"/>
      <c r="C698" s="3"/>
      <c r="D698" s="3"/>
      <c r="E698" s="3"/>
      <c r="F698" s="3"/>
      <c r="G698" s="3"/>
      <c r="H698" s="3"/>
      <c r="I698" s="3"/>
      <c r="J698" s="3"/>
      <c r="K698" s="3"/>
      <c r="L698" s="3"/>
      <c r="M698" s="3"/>
      <c r="N698" s="3"/>
      <c r="O698" s="3"/>
      <c r="P698" s="3"/>
      <c r="Q698" s="261"/>
      <c r="R698" s="261"/>
    </row>
    <row r="699" spans="1:18" x14ac:dyDescent="0.35">
      <c r="A699" s="3"/>
      <c r="B699" s="3"/>
      <c r="C699" s="3"/>
      <c r="D699" s="3"/>
      <c r="E699" s="3"/>
      <c r="F699" s="3"/>
      <c r="G699" s="3"/>
      <c r="H699" s="3"/>
      <c r="I699" s="3"/>
      <c r="J699" s="3"/>
      <c r="K699" s="3"/>
      <c r="L699" s="3"/>
      <c r="M699" s="3"/>
      <c r="N699" s="3"/>
      <c r="O699" s="3"/>
      <c r="P699" s="3"/>
      <c r="Q699" s="261"/>
      <c r="R699" s="261"/>
    </row>
    <row r="700" spans="1:18" x14ac:dyDescent="0.35">
      <c r="A700" s="3"/>
      <c r="B700" s="3"/>
      <c r="C700" s="3"/>
      <c r="D700" s="3"/>
      <c r="E700" s="3"/>
      <c r="F700" s="3"/>
      <c r="G700" s="3"/>
      <c r="H700" s="3"/>
      <c r="I700" s="3"/>
      <c r="J700" s="3"/>
      <c r="K700" s="3"/>
      <c r="L700" s="3"/>
      <c r="M700" s="3"/>
      <c r="N700" s="3"/>
      <c r="O700" s="3"/>
      <c r="P700" s="3"/>
      <c r="Q700" s="261"/>
      <c r="R700" s="261"/>
    </row>
    <row r="701" spans="1:18" x14ac:dyDescent="0.35">
      <c r="A701" s="3"/>
      <c r="B701" s="3"/>
      <c r="C701" s="3"/>
      <c r="D701" s="3"/>
      <c r="E701" s="3"/>
      <c r="F701" s="3"/>
      <c r="G701" s="3"/>
      <c r="H701" s="3"/>
      <c r="I701" s="3"/>
      <c r="J701" s="3"/>
      <c r="K701" s="3"/>
      <c r="L701" s="3"/>
      <c r="M701" s="3"/>
      <c r="N701" s="3"/>
      <c r="O701" s="3"/>
      <c r="P701" s="3"/>
      <c r="Q701" s="261"/>
      <c r="R701" s="261"/>
    </row>
    <row r="702" spans="1:18" x14ac:dyDescent="0.35">
      <c r="A702" s="3"/>
      <c r="B702" s="3"/>
      <c r="C702" s="3"/>
      <c r="D702" s="3"/>
      <c r="E702" s="3"/>
      <c r="F702" s="3"/>
      <c r="G702" s="3"/>
      <c r="H702" s="3"/>
      <c r="I702" s="3"/>
      <c r="J702" s="3"/>
      <c r="K702" s="3"/>
      <c r="L702" s="3"/>
      <c r="M702" s="3"/>
      <c r="N702" s="3"/>
      <c r="O702" s="3"/>
      <c r="P702" s="3"/>
      <c r="Q702" s="261"/>
      <c r="R702" s="261"/>
    </row>
    <row r="703" spans="1:18" x14ac:dyDescent="0.35">
      <c r="A703" s="3"/>
      <c r="B703" s="3"/>
      <c r="C703" s="3"/>
      <c r="D703" s="3"/>
      <c r="E703" s="3"/>
      <c r="F703" s="3"/>
      <c r="G703" s="3"/>
      <c r="H703" s="3"/>
      <c r="I703" s="3"/>
      <c r="J703" s="3"/>
      <c r="K703" s="3"/>
      <c r="L703" s="3"/>
      <c r="M703" s="3"/>
      <c r="N703" s="3"/>
      <c r="O703" s="3"/>
      <c r="P703" s="3"/>
      <c r="Q703" s="261"/>
      <c r="R703" s="261"/>
    </row>
    <row r="704" spans="1:18" x14ac:dyDescent="0.35">
      <c r="A704" s="3"/>
      <c r="B704" s="3"/>
      <c r="C704" s="3"/>
      <c r="D704" s="3"/>
      <c r="E704" s="3"/>
      <c r="F704" s="3"/>
      <c r="G704" s="3"/>
      <c r="H704" s="3"/>
      <c r="I704" s="3"/>
      <c r="J704" s="3"/>
      <c r="K704" s="3"/>
      <c r="L704" s="3"/>
      <c r="M704" s="3"/>
      <c r="N704" s="3"/>
      <c r="O704" s="3"/>
      <c r="P704" s="3"/>
      <c r="Q704" s="261"/>
      <c r="R704" s="261"/>
    </row>
    <row r="705" spans="1:18" x14ac:dyDescent="0.35">
      <c r="A705" s="3"/>
      <c r="B705" s="3"/>
      <c r="C705" s="3"/>
      <c r="D705" s="3"/>
      <c r="E705" s="3"/>
      <c r="F705" s="3"/>
      <c r="G705" s="3"/>
      <c r="H705" s="3"/>
      <c r="I705" s="3"/>
      <c r="J705" s="3"/>
      <c r="K705" s="3"/>
      <c r="L705" s="3"/>
      <c r="M705" s="3"/>
      <c r="N705" s="3"/>
      <c r="O705" s="3"/>
      <c r="P705" s="3"/>
      <c r="Q705" s="261"/>
      <c r="R705" s="261"/>
    </row>
    <row r="706" spans="1:18" x14ac:dyDescent="0.35">
      <c r="A706" s="3"/>
      <c r="B706" s="3"/>
      <c r="C706" s="3"/>
      <c r="D706" s="3"/>
      <c r="E706" s="3"/>
      <c r="F706" s="3"/>
      <c r="G706" s="3"/>
      <c r="H706" s="3"/>
      <c r="I706" s="3"/>
      <c r="J706" s="3"/>
      <c r="K706" s="3"/>
      <c r="L706" s="3"/>
      <c r="M706" s="3"/>
      <c r="N706" s="3"/>
      <c r="O706" s="3"/>
      <c r="P706" s="3"/>
      <c r="Q706" s="261"/>
      <c r="R706" s="261"/>
    </row>
    <row r="707" spans="1:18" x14ac:dyDescent="0.35">
      <c r="A707" s="3"/>
      <c r="B707" s="3"/>
      <c r="C707" s="3"/>
      <c r="D707" s="3"/>
      <c r="E707" s="3"/>
      <c r="F707" s="3"/>
      <c r="G707" s="3"/>
      <c r="H707" s="3"/>
      <c r="I707" s="3"/>
      <c r="J707" s="3"/>
      <c r="K707" s="3"/>
      <c r="L707" s="3"/>
      <c r="M707" s="3"/>
      <c r="N707" s="3"/>
      <c r="O707" s="3"/>
      <c r="P707" s="3"/>
      <c r="Q707" s="261"/>
      <c r="R707" s="261"/>
    </row>
    <row r="708" spans="1:18" x14ac:dyDescent="0.35">
      <c r="A708" s="3"/>
      <c r="B708" s="3"/>
      <c r="C708" s="3"/>
      <c r="D708" s="3"/>
      <c r="E708" s="3"/>
      <c r="F708" s="3"/>
      <c r="G708" s="3"/>
      <c r="H708" s="3"/>
      <c r="I708" s="3"/>
      <c r="J708" s="3"/>
      <c r="K708" s="3"/>
      <c r="L708" s="3"/>
      <c r="M708" s="3"/>
      <c r="N708" s="3"/>
      <c r="O708" s="3"/>
      <c r="P708" s="3"/>
      <c r="Q708" s="261"/>
      <c r="R708" s="261"/>
    </row>
    <row r="709" spans="1:18" x14ac:dyDescent="0.35">
      <c r="A709" s="3"/>
      <c r="B709" s="3"/>
      <c r="C709" s="3"/>
      <c r="D709" s="3"/>
      <c r="E709" s="3"/>
      <c r="F709" s="3"/>
      <c r="G709" s="3"/>
      <c r="H709" s="3"/>
      <c r="I709" s="3"/>
      <c r="J709" s="3"/>
      <c r="K709" s="3"/>
      <c r="L709" s="3"/>
      <c r="M709" s="3"/>
      <c r="N709" s="3"/>
      <c r="O709" s="3"/>
      <c r="P709" s="3"/>
      <c r="Q709" s="261"/>
      <c r="R709" s="261"/>
    </row>
    <row r="710" spans="1:18" x14ac:dyDescent="0.35">
      <c r="A710" s="3"/>
      <c r="B710" s="3"/>
      <c r="C710" s="3"/>
      <c r="D710" s="3"/>
      <c r="E710" s="3"/>
      <c r="F710" s="3"/>
      <c r="G710" s="3"/>
      <c r="H710" s="3"/>
      <c r="I710" s="3"/>
      <c r="J710" s="3"/>
      <c r="K710" s="3"/>
      <c r="L710" s="3"/>
      <c r="M710" s="3"/>
      <c r="N710" s="3"/>
      <c r="O710" s="3"/>
      <c r="P710" s="3"/>
      <c r="Q710" s="261"/>
      <c r="R710" s="261"/>
    </row>
    <row r="711" spans="1:18" x14ac:dyDescent="0.35">
      <c r="A711" s="3"/>
      <c r="B711" s="3"/>
      <c r="C711" s="3"/>
      <c r="D711" s="3"/>
      <c r="E711" s="3"/>
      <c r="F711" s="3"/>
      <c r="G711" s="3"/>
      <c r="H711" s="3"/>
      <c r="I711" s="3"/>
      <c r="J711" s="3"/>
      <c r="K711" s="3"/>
      <c r="L711" s="3"/>
      <c r="M711" s="3"/>
      <c r="N711" s="3"/>
      <c r="O711" s="3"/>
      <c r="P711" s="3"/>
      <c r="Q711" s="261"/>
      <c r="R711" s="261"/>
    </row>
    <row r="712" spans="1:18" x14ac:dyDescent="0.35">
      <c r="A712" s="3"/>
      <c r="B712" s="3"/>
      <c r="C712" s="3"/>
      <c r="D712" s="3"/>
      <c r="E712" s="3"/>
      <c r="F712" s="3"/>
      <c r="G712" s="3"/>
      <c r="H712" s="3"/>
      <c r="I712" s="3"/>
      <c r="J712" s="3"/>
      <c r="K712" s="3"/>
      <c r="L712" s="3"/>
      <c r="M712" s="3"/>
      <c r="N712" s="3"/>
      <c r="O712" s="3"/>
      <c r="P712" s="3"/>
      <c r="Q712" s="261"/>
      <c r="R712" s="261"/>
    </row>
    <row r="713" spans="1:18" x14ac:dyDescent="0.35">
      <c r="A713" s="3"/>
      <c r="B713" s="3"/>
      <c r="C713" s="3"/>
      <c r="D713" s="3"/>
      <c r="E713" s="3"/>
      <c r="F713" s="3"/>
      <c r="G713" s="3"/>
      <c r="H713" s="3"/>
      <c r="I713" s="3"/>
      <c r="J713" s="3"/>
      <c r="K713" s="3"/>
      <c r="L713" s="3"/>
      <c r="M713" s="3"/>
      <c r="N713" s="3"/>
      <c r="O713" s="3"/>
      <c r="P713" s="3"/>
      <c r="Q713" s="261"/>
      <c r="R713" s="261"/>
    </row>
    <row r="714" spans="1:18" x14ac:dyDescent="0.35">
      <c r="A714" s="3"/>
      <c r="B714" s="3"/>
      <c r="C714" s="3"/>
      <c r="D714" s="3"/>
      <c r="E714" s="3"/>
      <c r="F714" s="3"/>
      <c r="G714" s="3"/>
      <c r="H714" s="3"/>
      <c r="I714" s="3"/>
      <c r="J714" s="3"/>
      <c r="K714" s="3"/>
      <c r="L714" s="3"/>
      <c r="M714" s="3"/>
      <c r="N714" s="3"/>
      <c r="O714" s="3"/>
      <c r="P714" s="3"/>
      <c r="Q714" s="261"/>
      <c r="R714" s="261"/>
    </row>
    <row r="715" spans="1:18" x14ac:dyDescent="0.35">
      <c r="A715" s="3"/>
      <c r="B715" s="3"/>
      <c r="C715" s="3"/>
      <c r="D715" s="3"/>
      <c r="E715" s="3"/>
      <c r="F715" s="3"/>
      <c r="G715" s="3"/>
      <c r="H715" s="3"/>
      <c r="I715" s="3"/>
      <c r="J715" s="3"/>
      <c r="K715" s="3"/>
      <c r="L715" s="3"/>
      <c r="M715" s="3"/>
      <c r="N715" s="3"/>
      <c r="O715" s="3"/>
      <c r="P715" s="3"/>
      <c r="Q715" s="261"/>
      <c r="R715" s="261"/>
    </row>
    <row r="716" spans="1:18" x14ac:dyDescent="0.35">
      <c r="A716" s="3"/>
      <c r="B716" s="3"/>
      <c r="C716" s="3"/>
      <c r="D716" s="3"/>
      <c r="E716" s="3"/>
      <c r="F716" s="3"/>
      <c r="G716" s="3"/>
      <c r="H716" s="3"/>
      <c r="I716" s="3"/>
      <c r="J716" s="3"/>
      <c r="K716" s="3"/>
      <c r="L716" s="3"/>
      <c r="M716" s="3"/>
      <c r="N716" s="3"/>
      <c r="O716" s="3"/>
      <c r="P716" s="3"/>
      <c r="Q716" s="261"/>
      <c r="R716" s="261"/>
    </row>
    <row r="717" spans="1:18" x14ac:dyDescent="0.35">
      <c r="A717" s="3"/>
      <c r="B717" s="3"/>
      <c r="C717" s="3"/>
      <c r="D717" s="3"/>
      <c r="E717" s="3"/>
      <c r="F717" s="3"/>
      <c r="G717" s="3"/>
      <c r="H717" s="3"/>
      <c r="I717" s="3"/>
      <c r="J717" s="3"/>
      <c r="K717" s="3"/>
      <c r="L717" s="3"/>
      <c r="M717" s="3"/>
      <c r="N717" s="3"/>
      <c r="O717" s="3"/>
      <c r="P717" s="3"/>
      <c r="Q717" s="261"/>
      <c r="R717" s="261"/>
    </row>
    <row r="718" spans="1:18" x14ac:dyDescent="0.35">
      <c r="A718" s="3"/>
      <c r="B718" s="3"/>
      <c r="C718" s="3"/>
      <c r="D718" s="3"/>
      <c r="E718" s="3"/>
      <c r="F718" s="3"/>
      <c r="G718" s="3"/>
      <c r="H718" s="3"/>
      <c r="I718" s="3"/>
      <c r="J718" s="3"/>
      <c r="K718" s="3"/>
      <c r="L718" s="3"/>
      <c r="M718" s="3"/>
      <c r="N718" s="3"/>
      <c r="O718" s="3"/>
      <c r="P718" s="3"/>
      <c r="Q718" s="261"/>
      <c r="R718" s="261"/>
    </row>
    <row r="719" spans="1:18" x14ac:dyDescent="0.35">
      <c r="A719" s="3"/>
      <c r="B719" s="3"/>
      <c r="C719" s="3"/>
      <c r="D719" s="3"/>
      <c r="E719" s="3"/>
      <c r="F719" s="3"/>
      <c r="G719" s="3"/>
      <c r="H719" s="3"/>
      <c r="I719" s="3"/>
      <c r="J719" s="3"/>
      <c r="K719" s="3"/>
      <c r="L719" s="3"/>
      <c r="M719" s="3"/>
      <c r="N719" s="3"/>
      <c r="O719" s="3"/>
      <c r="P719" s="3"/>
      <c r="Q719" s="261"/>
      <c r="R719" s="261"/>
    </row>
    <row r="720" spans="1:18" x14ac:dyDescent="0.35">
      <c r="A720" s="3"/>
      <c r="B720" s="3"/>
      <c r="C720" s="3"/>
      <c r="D720" s="3"/>
      <c r="E720" s="3"/>
      <c r="F720" s="3"/>
      <c r="G720" s="3"/>
      <c r="H720" s="3"/>
      <c r="I720" s="3"/>
      <c r="J720" s="3"/>
      <c r="K720" s="3"/>
      <c r="L720" s="3"/>
      <c r="M720" s="3"/>
      <c r="N720" s="3"/>
      <c r="O720" s="3"/>
      <c r="P720" s="3"/>
      <c r="Q720" s="261"/>
      <c r="R720" s="261"/>
    </row>
    <row r="721" spans="1:18" x14ac:dyDescent="0.35">
      <c r="A721" s="3"/>
      <c r="B721" s="3"/>
      <c r="C721" s="3"/>
      <c r="D721" s="3"/>
      <c r="E721" s="3"/>
      <c r="F721" s="3"/>
      <c r="G721" s="3"/>
      <c r="H721" s="3"/>
      <c r="I721" s="3"/>
      <c r="J721" s="3"/>
      <c r="K721" s="3"/>
      <c r="L721" s="3"/>
      <c r="M721" s="3"/>
      <c r="N721" s="3"/>
      <c r="O721" s="3"/>
      <c r="P721" s="3"/>
      <c r="Q721" s="261"/>
      <c r="R721" s="261"/>
    </row>
    <row r="722" spans="1:18" x14ac:dyDescent="0.35">
      <c r="A722" s="3"/>
      <c r="B722" s="3"/>
      <c r="C722" s="3"/>
      <c r="D722" s="3"/>
      <c r="E722" s="3"/>
      <c r="F722" s="3"/>
      <c r="G722" s="3"/>
      <c r="H722" s="3"/>
      <c r="I722" s="3"/>
      <c r="J722" s="3"/>
      <c r="K722" s="3"/>
      <c r="L722" s="3"/>
      <c r="M722" s="3"/>
      <c r="N722" s="3"/>
      <c r="O722" s="3"/>
      <c r="P722" s="3"/>
      <c r="Q722" s="261"/>
      <c r="R722" s="261"/>
    </row>
    <row r="723" spans="1:18" x14ac:dyDescent="0.35">
      <c r="A723" s="3"/>
      <c r="B723" s="3"/>
      <c r="C723" s="3"/>
      <c r="D723" s="3"/>
      <c r="E723" s="3"/>
      <c r="F723" s="3"/>
      <c r="G723" s="3"/>
      <c r="H723" s="3"/>
      <c r="I723" s="3"/>
      <c r="J723" s="3"/>
      <c r="K723" s="3"/>
      <c r="L723" s="3"/>
      <c r="M723" s="3"/>
      <c r="N723" s="3"/>
      <c r="O723" s="3"/>
      <c r="P723" s="3"/>
      <c r="Q723" s="261"/>
      <c r="R723" s="261"/>
    </row>
    <row r="724" spans="1:18" x14ac:dyDescent="0.35">
      <c r="A724" s="3"/>
      <c r="B724" s="3"/>
      <c r="C724" s="3"/>
      <c r="D724" s="3"/>
      <c r="E724" s="3"/>
      <c r="F724" s="3"/>
      <c r="G724" s="3"/>
      <c r="H724" s="3"/>
      <c r="I724" s="3"/>
      <c r="J724" s="3"/>
      <c r="K724" s="3"/>
      <c r="L724" s="3"/>
      <c r="M724" s="3"/>
      <c r="N724" s="3"/>
      <c r="O724" s="3"/>
      <c r="P724" s="3"/>
      <c r="Q724" s="261"/>
      <c r="R724" s="261"/>
    </row>
    <row r="725" spans="1:18" x14ac:dyDescent="0.35">
      <c r="A725" s="3"/>
      <c r="B725" s="3"/>
      <c r="C725" s="3"/>
      <c r="D725" s="3"/>
      <c r="E725" s="3"/>
      <c r="F725" s="3"/>
      <c r="G725" s="3"/>
      <c r="H725" s="3"/>
      <c r="I725" s="3"/>
      <c r="J725" s="3"/>
      <c r="K725" s="3"/>
      <c r="L725" s="3"/>
      <c r="M725" s="3"/>
      <c r="N725" s="3"/>
      <c r="O725" s="3"/>
      <c r="P725" s="3"/>
      <c r="Q725" s="261"/>
      <c r="R725" s="261"/>
    </row>
    <row r="726" spans="1:18" x14ac:dyDescent="0.35">
      <c r="A726" s="3"/>
      <c r="B726" s="3"/>
      <c r="C726" s="3"/>
      <c r="D726" s="3"/>
      <c r="E726" s="3"/>
      <c r="F726" s="3"/>
      <c r="G726" s="3"/>
      <c r="H726" s="3"/>
      <c r="I726" s="3"/>
      <c r="J726" s="3"/>
      <c r="K726" s="3"/>
      <c r="L726" s="3"/>
      <c r="M726" s="3"/>
      <c r="N726" s="3"/>
      <c r="O726" s="3"/>
      <c r="P726" s="3"/>
      <c r="Q726" s="261"/>
      <c r="R726" s="261"/>
    </row>
    <row r="727" spans="1:18" x14ac:dyDescent="0.35">
      <c r="A727" s="3"/>
      <c r="B727" s="3"/>
      <c r="C727" s="3"/>
      <c r="D727" s="3"/>
      <c r="E727" s="3"/>
      <c r="F727" s="3"/>
      <c r="G727" s="3"/>
      <c r="H727" s="3"/>
      <c r="I727" s="3"/>
      <c r="J727" s="3"/>
      <c r="K727" s="3"/>
      <c r="L727" s="3"/>
      <c r="M727" s="3"/>
      <c r="N727" s="3"/>
      <c r="O727" s="3"/>
      <c r="P727" s="3"/>
      <c r="Q727" s="261"/>
      <c r="R727" s="261"/>
    </row>
    <row r="728" spans="1:18" x14ac:dyDescent="0.35">
      <c r="A728" s="3"/>
      <c r="B728" s="3"/>
      <c r="C728" s="3"/>
      <c r="D728" s="3"/>
      <c r="E728" s="3"/>
      <c r="F728" s="3"/>
      <c r="G728" s="3"/>
      <c r="H728" s="3"/>
      <c r="I728" s="3"/>
      <c r="J728" s="3"/>
      <c r="K728" s="3"/>
      <c r="L728" s="3"/>
      <c r="M728" s="3"/>
      <c r="N728" s="3"/>
      <c r="O728" s="3"/>
      <c r="P728" s="3"/>
      <c r="Q728" s="261"/>
      <c r="R728" s="261"/>
    </row>
    <row r="729" spans="1:18" x14ac:dyDescent="0.35">
      <c r="A729" s="3"/>
      <c r="B729" s="3"/>
      <c r="C729" s="3"/>
      <c r="D729" s="3"/>
      <c r="E729" s="3"/>
      <c r="F729" s="3"/>
      <c r="G729" s="3"/>
      <c r="H729" s="3"/>
      <c r="I729" s="3"/>
      <c r="J729" s="3"/>
      <c r="K729" s="3"/>
      <c r="L729" s="3"/>
      <c r="M729" s="3"/>
      <c r="N729" s="3"/>
      <c r="O729" s="3"/>
      <c r="P729" s="3"/>
      <c r="Q729" s="261"/>
      <c r="R729" s="261"/>
    </row>
    <row r="730" spans="1:18" x14ac:dyDescent="0.35">
      <c r="A730" s="3"/>
      <c r="B730" s="3"/>
      <c r="C730" s="3"/>
      <c r="D730" s="3"/>
      <c r="E730" s="3"/>
      <c r="F730" s="3"/>
      <c r="G730" s="3"/>
      <c r="H730" s="3"/>
      <c r="I730" s="3"/>
      <c r="J730" s="3"/>
      <c r="K730" s="3"/>
      <c r="L730" s="3"/>
      <c r="M730" s="3"/>
      <c r="N730" s="3"/>
      <c r="O730" s="3"/>
      <c r="P730" s="3"/>
      <c r="Q730" s="261"/>
      <c r="R730" s="261"/>
    </row>
    <row r="731" spans="1:18" x14ac:dyDescent="0.35">
      <c r="A731" s="3"/>
      <c r="B731" s="3"/>
      <c r="C731" s="3"/>
      <c r="D731" s="3"/>
      <c r="E731" s="3"/>
      <c r="F731" s="3"/>
      <c r="G731" s="3"/>
      <c r="H731" s="3"/>
      <c r="I731" s="3"/>
      <c r="J731" s="3"/>
      <c r="K731" s="3"/>
      <c r="L731" s="3"/>
      <c r="M731" s="3"/>
      <c r="N731" s="3"/>
      <c r="O731" s="3"/>
      <c r="P731" s="3"/>
      <c r="Q731" s="261"/>
      <c r="R731" s="261"/>
    </row>
    <row r="732" spans="1:18" x14ac:dyDescent="0.35">
      <c r="A732" s="3"/>
      <c r="B732" s="3"/>
      <c r="C732" s="3"/>
      <c r="D732" s="3"/>
      <c r="E732" s="3"/>
      <c r="F732" s="3"/>
      <c r="G732" s="3"/>
      <c r="H732" s="3"/>
      <c r="I732" s="3"/>
      <c r="J732" s="3"/>
      <c r="K732" s="3"/>
      <c r="L732" s="3"/>
      <c r="M732" s="3"/>
      <c r="N732" s="3"/>
      <c r="O732" s="3"/>
      <c r="P732" s="3"/>
      <c r="Q732" s="261"/>
      <c r="R732" s="261"/>
    </row>
    <row r="733" spans="1:18" x14ac:dyDescent="0.35">
      <c r="A733" s="3"/>
      <c r="B733" s="3"/>
      <c r="C733" s="3"/>
      <c r="D733" s="3"/>
      <c r="E733" s="3"/>
      <c r="F733" s="3"/>
      <c r="G733" s="3"/>
      <c r="H733" s="3"/>
      <c r="I733" s="3"/>
      <c r="J733" s="3"/>
      <c r="K733" s="3"/>
      <c r="L733" s="3"/>
      <c r="M733" s="3"/>
      <c r="N733" s="3"/>
      <c r="O733" s="3"/>
      <c r="P733" s="3"/>
      <c r="Q733" s="261"/>
      <c r="R733" s="261"/>
    </row>
    <row r="734" spans="1:18" x14ac:dyDescent="0.35">
      <c r="A734" s="3"/>
      <c r="B734" s="3"/>
      <c r="C734" s="3"/>
      <c r="D734" s="3"/>
      <c r="E734" s="3"/>
      <c r="F734" s="3"/>
      <c r="G734" s="3"/>
      <c r="H734" s="3"/>
      <c r="I734" s="3"/>
      <c r="J734" s="3"/>
      <c r="K734" s="3"/>
      <c r="L734" s="3"/>
      <c r="M734" s="3"/>
      <c r="N734" s="3"/>
      <c r="O734" s="3"/>
      <c r="P734" s="3"/>
      <c r="Q734" s="261"/>
      <c r="R734" s="261"/>
    </row>
    <row r="735" spans="1:18" x14ac:dyDescent="0.35">
      <c r="A735" s="3"/>
      <c r="B735" s="3"/>
      <c r="C735" s="3"/>
      <c r="D735" s="3"/>
      <c r="E735" s="3"/>
      <c r="F735" s="3"/>
      <c r="G735" s="3"/>
      <c r="H735" s="3"/>
      <c r="I735" s="3"/>
      <c r="J735" s="3"/>
      <c r="K735" s="3"/>
      <c r="L735" s="3"/>
      <c r="M735" s="3"/>
      <c r="N735" s="3"/>
      <c r="O735" s="3"/>
      <c r="P735" s="3"/>
      <c r="Q735" s="261"/>
      <c r="R735" s="261"/>
    </row>
    <row r="736" spans="1:18" x14ac:dyDescent="0.35">
      <c r="A736" s="3"/>
      <c r="B736" s="3"/>
      <c r="C736" s="3"/>
      <c r="D736" s="3"/>
      <c r="E736" s="3"/>
      <c r="F736" s="3"/>
      <c r="G736" s="3"/>
      <c r="H736" s="3"/>
      <c r="I736" s="3"/>
      <c r="J736" s="3"/>
      <c r="K736" s="3"/>
      <c r="L736" s="3"/>
      <c r="M736" s="3"/>
      <c r="N736" s="3"/>
      <c r="O736" s="3"/>
      <c r="P736" s="3"/>
      <c r="Q736" s="261"/>
      <c r="R736" s="261"/>
    </row>
    <row r="737" spans="1:18" x14ac:dyDescent="0.35">
      <c r="A737" s="3"/>
      <c r="B737" s="3"/>
      <c r="C737" s="3"/>
      <c r="D737" s="3"/>
      <c r="E737" s="3"/>
      <c r="F737" s="3"/>
      <c r="G737" s="3"/>
      <c r="H737" s="3"/>
      <c r="I737" s="3"/>
      <c r="J737" s="3"/>
      <c r="K737" s="3"/>
      <c r="L737" s="3"/>
      <c r="M737" s="3"/>
      <c r="N737" s="3"/>
      <c r="O737" s="3"/>
      <c r="P737" s="3"/>
      <c r="Q737" s="261"/>
      <c r="R737" s="261"/>
    </row>
    <row r="738" spans="1:18" x14ac:dyDescent="0.35">
      <c r="A738" s="3"/>
      <c r="B738" s="3"/>
      <c r="C738" s="3"/>
      <c r="D738" s="3"/>
      <c r="E738" s="3"/>
      <c r="F738" s="3"/>
      <c r="G738" s="3"/>
      <c r="H738" s="3"/>
      <c r="I738" s="3"/>
      <c r="J738" s="3"/>
      <c r="K738" s="3"/>
      <c r="L738" s="3"/>
      <c r="M738" s="3"/>
      <c r="N738" s="3"/>
      <c r="O738" s="3"/>
      <c r="P738" s="3"/>
      <c r="Q738" s="261"/>
      <c r="R738" s="261"/>
    </row>
    <row r="739" spans="1:18" x14ac:dyDescent="0.35">
      <c r="A739" s="3"/>
      <c r="B739" s="3"/>
      <c r="C739" s="3"/>
      <c r="D739" s="3"/>
      <c r="E739" s="3"/>
      <c r="F739" s="3"/>
      <c r="G739" s="3"/>
      <c r="H739" s="3"/>
      <c r="I739" s="3"/>
      <c r="J739" s="3"/>
      <c r="K739" s="3"/>
      <c r="L739" s="3"/>
      <c r="M739" s="3"/>
      <c r="N739" s="3"/>
      <c r="O739" s="3"/>
      <c r="P739" s="3"/>
      <c r="Q739" s="261"/>
      <c r="R739" s="261"/>
    </row>
    <row r="740" spans="1:18" x14ac:dyDescent="0.35">
      <c r="A740" s="3"/>
      <c r="B740" s="3"/>
      <c r="C740" s="3"/>
      <c r="D740" s="3"/>
      <c r="E740" s="3"/>
      <c r="F740" s="3"/>
      <c r="G740" s="3"/>
      <c r="H740" s="3"/>
      <c r="I740" s="3"/>
      <c r="J740" s="3"/>
      <c r="K740" s="3"/>
      <c r="L740" s="3"/>
      <c r="M740" s="3"/>
      <c r="N740" s="3"/>
      <c r="O740" s="3"/>
      <c r="P740" s="3"/>
      <c r="Q740" s="261"/>
      <c r="R740" s="261"/>
    </row>
    <row r="741" spans="1:18" x14ac:dyDescent="0.35">
      <c r="A741" s="3"/>
      <c r="B741" s="3"/>
      <c r="C741" s="3"/>
      <c r="D741" s="3"/>
      <c r="E741" s="3"/>
      <c r="F741" s="3"/>
      <c r="G741" s="3"/>
      <c r="H741" s="3"/>
      <c r="I741" s="3"/>
      <c r="J741" s="3"/>
      <c r="K741" s="3"/>
      <c r="L741" s="3"/>
      <c r="M741" s="3"/>
      <c r="N741" s="3"/>
      <c r="O741" s="3"/>
      <c r="P741" s="3"/>
      <c r="Q741" s="261"/>
      <c r="R741" s="261"/>
    </row>
    <row r="742" spans="1:18" x14ac:dyDescent="0.35">
      <c r="A742" s="3"/>
      <c r="B742" s="3"/>
      <c r="C742" s="3"/>
      <c r="D742" s="3"/>
      <c r="E742" s="3"/>
      <c r="F742" s="3"/>
      <c r="G742" s="3"/>
      <c r="H742" s="3"/>
      <c r="I742" s="3"/>
      <c r="J742" s="3"/>
      <c r="K742" s="3"/>
      <c r="L742" s="3"/>
      <c r="M742" s="3"/>
      <c r="N742" s="3"/>
      <c r="O742" s="3"/>
      <c r="P742" s="3"/>
      <c r="Q742" s="261"/>
      <c r="R742" s="261"/>
    </row>
    <row r="743" spans="1:18" x14ac:dyDescent="0.35">
      <c r="A743" s="3"/>
      <c r="B743" s="3"/>
      <c r="C743" s="3"/>
      <c r="D743" s="3"/>
      <c r="E743" s="3"/>
      <c r="F743" s="3"/>
      <c r="G743" s="3"/>
      <c r="H743" s="3"/>
      <c r="I743" s="3"/>
      <c r="J743" s="3"/>
      <c r="K743" s="3"/>
      <c r="L743" s="3"/>
      <c r="M743" s="3"/>
      <c r="N743" s="3"/>
      <c r="O743" s="3"/>
      <c r="P743" s="3"/>
      <c r="Q743" s="261"/>
      <c r="R743" s="261"/>
    </row>
    <row r="744" spans="1:18" x14ac:dyDescent="0.35">
      <c r="A744" s="3"/>
      <c r="B744" s="3"/>
      <c r="C744" s="3"/>
      <c r="D744" s="3"/>
      <c r="E744" s="3"/>
      <c r="F744" s="3"/>
      <c r="G744" s="3"/>
      <c r="H744" s="3"/>
      <c r="I744" s="3"/>
      <c r="J744" s="3"/>
      <c r="K744" s="3"/>
      <c r="L744" s="3"/>
      <c r="M744" s="3"/>
      <c r="N744" s="3"/>
      <c r="O744" s="3"/>
      <c r="P744" s="3"/>
      <c r="Q744" s="261"/>
      <c r="R744" s="261"/>
    </row>
    <row r="745" spans="1:18" x14ac:dyDescent="0.35">
      <c r="A745" s="3"/>
      <c r="B745" s="3"/>
      <c r="C745" s="3"/>
      <c r="D745" s="3"/>
      <c r="E745" s="3"/>
      <c r="F745" s="3"/>
      <c r="G745" s="3"/>
      <c r="H745" s="3"/>
      <c r="I745" s="3"/>
      <c r="J745" s="3"/>
      <c r="K745" s="3"/>
      <c r="L745" s="3"/>
      <c r="M745" s="3"/>
      <c r="N745" s="3"/>
      <c r="O745" s="3"/>
      <c r="P745" s="3"/>
      <c r="Q745" s="261"/>
      <c r="R745" s="261"/>
    </row>
    <row r="746" spans="1:18" x14ac:dyDescent="0.35">
      <c r="A746" s="3"/>
      <c r="B746" s="3"/>
      <c r="C746" s="3"/>
      <c r="D746" s="3"/>
      <c r="E746" s="3"/>
      <c r="F746" s="3"/>
      <c r="G746" s="3"/>
      <c r="H746" s="3"/>
      <c r="I746" s="3"/>
      <c r="J746" s="3"/>
      <c r="K746" s="3"/>
      <c r="L746" s="3"/>
      <c r="M746" s="3"/>
      <c r="N746" s="3"/>
      <c r="O746" s="3"/>
      <c r="P746" s="3"/>
      <c r="Q746" s="261"/>
      <c r="R746" s="261"/>
    </row>
    <row r="747" spans="1:18" x14ac:dyDescent="0.35">
      <c r="A747" s="3"/>
      <c r="B747" s="3"/>
      <c r="C747" s="3"/>
      <c r="D747" s="3"/>
      <c r="E747" s="3"/>
      <c r="F747" s="3"/>
      <c r="G747" s="3"/>
      <c r="H747" s="3"/>
      <c r="I747" s="3"/>
      <c r="J747" s="3"/>
      <c r="K747" s="3"/>
      <c r="L747" s="3"/>
      <c r="M747" s="3"/>
      <c r="N747" s="3"/>
      <c r="O747" s="3"/>
      <c r="P747" s="3"/>
      <c r="Q747" s="261"/>
      <c r="R747" s="261"/>
    </row>
    <row r="748" spans="1:18" x14ac:dyDescent="0.35">
      <c r="A748" s="3"/>
      <c r="B748" s="3"/>
      <c r="C748" s="3"/>
      <c r="D748" s="3"/>
      <c r="E748" s="3"/>
      <c r="F748" s="3"/>
      <c r="G748" s="3"/>
      <c r="H748" s="3"/>
      <c r="I748" s="3"/>
      <c r="J748" s="3"/>
      <c r="K748" s="3"/>
      <c r="L748" s="3"/>
      <c r="M748" s="3"/>
      <c r="N748" s="3"/>
      <c r="O748" s="3"/>
      <c r="P748" s="3"/>
      <c r="Q748" s="261"/>
      <c r="R748" s="261"/>
    </row>
    <row r="749" spans="1:18" x14ac:dyDescent="0.35">
      <c r="A749" s="3"/>
      <c r="B749" s="3"/>
      <c r="C749" s="3"/>
      <c r="D749" s="3"/>
      <c r="E749" s="3"/>
      <c r="F749" s="3"/>
      <c r="G749" s="3"/>
      <c r="H749" s="3"/>
      <c r="I749" s="3"/>
      <c r="J749" s="3"/>
      <c r="K749" s="3"/>
      <c r="L749" s="3"/>
      <c r="M749" s="3"/>
      <c r="N749" s="3"/>
      <c r="O749" s="3"/>
      <c r="P749" s="3"/>
      <c r="Q749" s="261"/>
      <c r="R749" s="261"/>
    </row>
    <row r="750" spans="1:18" x14ac:dyDescent="0.35">
      <c r="A750" s="3"/>
      <c r="B750" s="3"/>
      <c r="C750" s="3"/>
      <c r="D750" s="3"/>
      <c r="E750" s="3"/>
      <c r="F750" s="3"/>
      <c r="G750" s="3"/>
      <c r="H750" s="3"/>
      <c r="I750" s="3"/>
      <c r="J750" s="3"/>
      <c r="K750" s="3"/>
      <c r="L750" s="3"/>
      <c r="M750" s="3"/>
      <c r="N750" s="3"/>
      <c r="O750" s="3"/>
      <c r="P750" s="3"/>
      <c r="Q750" s="261"/>
      <c r="R750" s="261"/>
    </row>
    <row r="751" spans="1:18" x14ac:dyDescent="0.35">
      <c r="A751" s="3"/>
      <c r="B751" s="3"/>
      <c r="C751" s="3"/>
      <c r="D751" s="3"/>
      <c r="E751" s="3"/>
      <c r="F751" s="3"/>
      <c r="G751" s="3"/>
      <c r="H751" s="3"/>
      <c r="I751" s="3"/>
      <c r="J751" s="3"/>
      <c r="K751" s="3"/>
      <c r="L751" s="3"/>
      <c r="M751" s="3"/>
      <c r="N751" s="3"/>
      <c r="O751" s="3"/>
      <c r="P751" s="3"/>
      <c r="Q751" s="261"/>
      <c r="R751" s="261"/>
    </row>
    <row r="752" spans="1:18" x14ac:dyDescent="0.35">
      <c r="A752" s="3"/>
      <c r="B752" s="3"/>
      <c r="C752" s="3"/>
      <c r="D752" s="3"/>
      <c r="E752" s="3"/>
      <c r="F752" s="3"/>
      <c r="G752" s="3"/>
      <c r="H752" s="3"/>
      <c r="I752" s="3"/>
      <c r="J752" s="3"/>
      <c r="K752" s="3"/>
      <c r="L752" s="3"/>
      <c r="M752" s="3"/>
      <c r="N752" s="3"/>
      <c r="O752" s="3"/>
      <c r="P752" s="3"/>
      <c r="Q752" s="261"/>
      <c r="R752" s="261"/>
    </row>
    <row r="753" spans="1:18" x14ac:dyDescent="0.35">
      <c r="A753" s="3"/>
      <c r="B753" s="3"/>
      <c r="C753" s="3"/>
      <c r="D753" s="3"/>
      <c r="E753" s="3"/>
      <c r="F753" s="3"/>
      <c r="G753" s="3"/>
      <c r="H753" s="3"/>
      <c r="I753" s="3"/>
      <c r="J753" s="3"/>
      <c r="K753" s="3"/>
      <c r="L753" s="3"/>
      <c r="M753" s="3"/>
      <c r="N753" s="3"/>
      <c r="O753" s="3"/>
      <c r="P753" s="3"/>
      <c r="Q753" s="261"/>
      <c r="R753" s="261"/>
    </row>
    <row r="754" spans="1:18" x14ac:dyDescent="0.35">
      <c r="A754" s="3"/>
      <c r="B754" s="3"/>
      <c r="C754" s="3"/>
      <c r="D754" s="3"/>
      <c r="E754" s="3"/>
      <c r="F754" s="3"/>
      <c r="G754" s="3"/>
      <c r="H754" s="3"/>
      <c r="I754" s="3"/>
      <c r="J754" s="3"/>
      <c r="K754" s="3"/>
      <c r="L754" s="3"/>
      <c r="M754" s="3"/>
      <c r="N754" s="3"/>
      <c r="O754" s="3"/>
      <c r="P754" s="3"/>
      <c r="Q754" s="261"/>
      <c r="R754" s="261"/>
    </row>
    <row r="755" spans="1:18" x14ac:dyDescent="0.35">
      <c r="A755" s="3"/>
      <c r="B755" s="3"/>
      <c r="C755" s="3"/>
      <c r="D755" s="3"/>
      <c r="E755" s="3"/>
      <c r="F755" s="3"/>
      <c r="G755" s="3"/>
      <c r="H755" s="3"/>
      <c r="I755" s="3"/>
      <c r="J755" s="3"/>
      <c r="K755" s="3"/>
      <c r="L755" s="3"/>
      <c r="M755" s="3"/>
      <c r="N755" s="3"/>
      <c r="O755" s="3"/>
      <c r="P755" s="3"/>
      <c r="Q755" s="261"/>
      <c r="R755" s="261"/>
    </row>
    <row r="756" spans="1:18" x14ac:dyDescent="0.35">
      <c r="A756" s="3"/>
      <c r="B756" s="3"/>
      <c r="C756" s="3"/>
      <c r="D756" s="3"/>
      <c r="E756" s="3"/>
      <c r="F756" s="3"/>
      <c r="G756" s="3"/>
      <c r="H756" s="3"/>
      <c r="I756" s="3"/>
      <c r="J756" s="3"/>
      <c r="K756" s="3"/>
      <c r="L756" s="3"/>
      <c r="M756" s="3"/>
      <c r="N756" s="3"/>
      <c r="O756" s="3"/>
      <c r="P756" s="3"/>
      <c r="Q756" s="261"/>
      <c r="R756" s="261"/>
    </row>
    <row r="757" spans="1:18" x14ac:dyDescent="0.35">
      <c r="A757" s="3"/>
      <c r="B757" s="3"/>
      <c r="C757" s="3"/>
      <c r="D757" s="3"/>
      <c r="E757" s="3"/>
      <c r="F757" s="3"/>
      <c r="G757" s="3"/>
      <c r="H757" s="3"/>
      <c r="I757" s="3"/>
      <c r="J757" s="3"/>
      <c r="K757" s="3"/>
      <c r="L757" s="3"/>
      <c r="M757" s="3"/>
      <c r="N757" s="3"/>
      <c r="O757" s="3"/>
      <c r="P757" s="3"/>
      <c r="Q757" s="261"/>
      <c r="R757" s="261"/>
    </row>
    <row r="758" spans="1:18" x14ac:dyDescent="0.35">
      <c r="A758" s="3"/>
      <c r="B758" s="3"/>
      <c r="C758" s="3"/>
      <c r="D758" s="3"/>
      <c r="E758" s="3"/>
      <c r="F758" s="3"/>
      <c r="G758" s="3"/>
      <c r="H758" s="3"/>
      <c r="I758" s="3"/>
      <c r="J758" s="3"/>
      <c r="K758" s="3"/>
      <c r="L758" s="3"/>
      <c r="M758" s="3"/>
      <c r="N758" s="3"/>
      <c r="O758" s="3"/>
      <c r="P758" s="3"/>
      <c r="Q758" s="261"/>
      <c r="R758" s="261"/>
    </row>
    <row r="759" spans="1:18" x14ac:dyDescent="0.35">
      <c r="A759" s="3"/>
      <c r="B759" s="3"/>
      <c r="C759" s="3"/>
      <c r="D759" s="3"/>
      <c r="E759" s="3"/>
      <c r="F759" s="3"/>
      <c r="G759" s="3"/>
      <c r="H759" s="3"/>
      <c r="I759" s="3"/>
      <c r="J759" s="3"/>
      <c r="K759" s="3"/>
      <c r="L759" s="3"/>
      <c r="M759" s="3"/>
      <c r="N759" s="3"/>
      <c r="O759" s="3"/>
      <c r="P759" s="3"/>
      <c r="Q759" s="261"/>
      <c r="R759" s="261"/>
    </row>
    <row r="760" spans="1:18" x14ac:dyDescent="0.35">
      <c r="A760" s="3"/>
      <c r="B760" s="3"/>
      <c r="C760" s="3"/>
      <c r="D760" s="3"/>
      <c r="E760" s="3"/>
      <c r="F760" s="3"/>
      <c r="G760" s="3"/>
      <c r="H760" s="3"/>
      <c r="I760" s="3"/>
      <c r="J760" s="3"/>
      <c r="K760" s="3"/>
      <c r="L760" s="3"/>
      <c r="M760" s="3"/>
      <c r="N760" s="3"/>
      <c r="O760" s="3"/>
      <c r="P760" s="3"/>
      <c r="Q760" s="261"/>
      <c r="R760" s="261"/>
    </row>
    <row r="761" spans="1:18" x14ac:dyDescent="0.35">
      <c r="A761" s="3"/>
      <c r="B761" s="3"/>
      <c r="C761" s="3"/>
      <c r="D761" s="3"/>
      <c r="E761" s="3"/>
      <c r="F761" s="3"/>
      <c r="G761" s="3"/>
      <c r="H761" s="3"/>
      <c r="I761" s="3"/>
      <c r="J761" s="3"/>
      <c r="K761" s="3"/>
      <c r="L761" s="3"/>
      <c r="M761" s="3"/>
      <c r="N761" s="3"/>
      <c r="O761" s="3"/>
      <c r="P761" s="3"/>
      <c r="Q761" s="261"/>
      <c r="R761" s="261"/>
    </row>
    <row r="762" spans="1:18" x14ac:dyDescent="0.35">
      <c r="A762" s="3"/>
      <c r="B762" s="3"/>
      <c r="C762" s="3"/>
      <c r="D762" s="3"/>
      <c r="E762" s="3"/>
      <c r="F762" s="3"/>
      <c r="G762" s="3"/>
      <c r="H762" s="3"/>
      <c r="I762" s="3"/>
      <c r="J762" s="3"/>
      <c r="K762" s="3"/>
      <c r="L762" s="3"/>
      <c r="M762" s="3"/>
      <c r="N762" s="3"/>
      <c r="O762" s="3"/>
      <c r="P762" s="3"/>
      <c r="Q762" s="261"/>
      <c r="R762" s="261"/>
    </row>
    <row r="763" spans="1:18" x14ac:dyDescent="0.35">
      <c r="A763" s="3"/>
      <c r="B763" s="3"/>
      <c r="C763" s="3"/>
      <c r="D763" s="3"/>
      <c r="E763" s="3"/>
      <c r="F763" s="3"/>
      <c r="G763" s="3"/>
      <c r="H763" s="3"/>
      <c r="I763" s="3"/>
      <c r="J763" s="3"/>
      <c r="K763" s="3"/>
      <c r="L763" s="3"/>
      <c r="M763" s="3"/>
      <c r="N763" s="3"/>
      <c r="O763" s="3"/>
      <c r="P763" s="3"/>
      <c r="Q763" s="261"/>
      <c r="R763" s="261"/>
    </row>
    <row r="764" spans="1:18" x14ac:dyDescent="0.35">
      <c r="A764" s="3"/>
      <c r="B764" s="3"/>
      <c r="C764" s="3"/>
      <c r="D764" s="3"/>
      <c r="E764" s="3"/>
      <c r="F764" s="3"/>
      <c r="G764" s="3"/>
      <c r="H764" s="3"/>
      <c r="I764" s="3"/>
      <c r="J764" s="3"/>
      <c r="K764" s="3"/>
      <c r="L764" s="3"/>
      <c r="M764" s="3"/>
      <c r="N764" s="3"/>
      <c r="O764" s="3"/>
      <c r="P764" s="3"/>
      <c r="Q764" s="261"/>
      <c r="R764" s="261"/>
    </row>
    <row r="765" spans="1:18" x14ac:dyDescent="0.35">
      <c r="A765" s="3"/>
      <c r="B765" s="3"/>
      <c r="C765" s="3"/>
      <c r="D765" s="3"/>
      <c r="E765" s="3"/>
      <c r="F765" s="3"/>
      <c r="G765" s="3"/>
      <c r="H765" s="3"/>
      <c r="I765" s="3"/>
      <c r="J765" s="3"/>
      <c r="K765" s="3"/>
      <c r="L765" s="3"/>
      <c r="M765" s="3"/>
      <c r="N765" s="3"/>
      <c r="O765" s="3"/>
      <c r="P765" s="3"/>
      <c r="Q765" s="261"/>
      <c r="R765" s="261"/>
    </row>
    <row r="766" spans="1:18" x14ac:dyDescent="0.35">
      <c r="A766" s="3"/>
      <c r="B766" s="3"/>
      <c r="C766" s="3"/>
      <c r="D766" s="3"/>
      <c r="E766" s="3"/>
      <c r="F766" s="3"/>
      <c r="G766" s="3"/>
      <c r="H766" s="3"/>
      <c r="I766" s="3"/>
      <c r="J766" s="3"/>
      <c r="K766" s="3"/>
      <c r="L766" s="3"/>
      <c r="M766" s="3"/>
      <c r="N766" s="3"/>
      <c r="O766" s="3"/>
      <c r="P766" s="3"/>
      <c r="Q766" s="261"/>
      <c r="R766" s="261"/>
    </row>
    <row r="767" spans="1:18" x14ac:dyDescent="0.35">
      <c r="A767" s="3"/>
      <c r="B767" s="3"/>
      <c r="C767" s="3"/>
      <c r="D767" s="3"/>
      <c r="E767" s="3"/>
      <c r="F767" s="3"/>
      <c r="G767" s="3"/>
      <c r="H767" s="3"/>
      <c r="I767" s="3"/>
      <c r="J767" s="3"/>
      <c r="K767" s="3"/>
      <c r="L767" s="3"/>
      <c r="M767" s="3"/>
      <c r="N767" s="3"/>
      <c r="O767" s="3"/>
      <c r="P767" s="3"/>
      <c r="Q767" s="261"/>
      <c r="R767" s="261"/>
    </row>
    <row r="768" spans="1:18" x14ac:dyDescent="0.35">
      <c r="A768" s="3"/>
      <c r="B768" s="3"/>
      <c r="C768" s="3"/>
      <c r="D768" s="3"/>
      <c r="E768" s="3"/>
      <c r="F768" s="3"/>
      <c r="G768" s="3"/>
      <c r="H768" s="3"/>
      <c r="I768" s="3"/>
      <c r="J768" s="3"/>
      <c r="K768" s="3"/>
      <c r="L768" s="3"/>
      <c r="M768" s="3"/>
      <c r="N768" s="3"/>
      <c r="O768" s="3"/>
      <c r="P768" s="3"/>
      <c r="Q768" s="261"/>
      <c r="R768" s="261"/>
    </row>
    <row r="769" spans="1:18" x14ac:dyDescent="0.35">
      <c r="A769" s="3"/>
      <c r="B769" s="3"/>
      <c r="C769" s="3"/>
      <c r="D769" s="3"/>
      <c r="E769" s="3"/>
      <c r="F769" s="3"/>
      <c r="G769" s="3"/>
      <c r="H769" s="3"/>
      <c r="I769" s="3"/>
      <c r="J769" s="3"/>
      <c r="K769" s="3"/>
      <c r="L769" s="3"/>
      <c r="M769" s="3"/>
      <c r="N769" s="3"/>
      <c r="O769" s="3"/>
      <c r="P769" s="3"/>
      <c r="Q769" s="261"/>
      <c r="R769" s="261"/>
    </row>
    <row r="770" spans="1:18" x14ac:dyDescent="0.35">
      <c r="A770" s="3"/>
      <c r="B770" s="3"/>
      <c r="C770" s="3"/>
      <c r="D770" s="3"/>
      <c r="E770" s="3"/>
      <c r="F770" s="3"/>
      <c r="G770" s="3"/>
      <c r="H770" s="3"/>
      <c r="I770" s="3"/>
      <c r="J770" s="3"/>
      <c r="K770" s="3"/>
      <c r="L770" s="3"/>
      <c r="M770" s="3"/>
      <c r="N770" s="3"/>
      <c r="O770" s="3"/>
      <c r="P770" s="3"/>
      <c r="Q770" s="261"/>
      <c r="R770" s="261"/>
    </row>
    <row r="771" spans="1:18" x14ac:dyDescent="0.35">
      <c r="A771" s="3"/>
      <c r="B771" s="3"/>
      <c r="C771" s="3"/>
      <c r="D771" s="3"/>
      <c r="E771" s="3"/>
      <c r="F771" s="3"/>
      <c r="G771" s="3"/>
      <c r="H771" s="3"/>
      <c r="I771" s="3"/>
      <c r="J771" s="3"/>
      <c r="K771" s="3"/>
      <c r="L771" s="3"/>
      <c r="M771" s="3"/>
      <c r="N771" s="3"/>
      <c r="O771" s="3"/>
      <c r="P771" s="3"/>
      <c r="Q771" s="261"/>
      <c r="R771" s="261"/>
    </row>
    <row r="772" spans="1:18" x14ac:dyDescent="0.35">
      <c r="A772" s="3"/>
      <c r="B772" s="3"/>
      <c r="C772" s="3"/>
      <c r="D772" s="3"/>
      <c r="E772" s="3"/>
      <c r="F772" s="3"/>
      <c r="G772" s="3"/>
      <c r="H772" s="3"/>
      <c r="I772" s="3"/>
      <c r="J772" s="3"/>
      <c r="K772" s="3"/>
      <c r="L772" s="3"/>
      <c r="M772" s="3"/>
      <c r="N772" s="3"/>
      <c r="O772" s="3"/>
      <c r="P772" s="3"/>
      <c r="Q772" s="261"/>
      <c r="R772" s="261"/>
    </row>
    <row r="773" spans="1:18" x14ac:dyDescent="0.35">
      <c r="A773" s="3"/>
      <c r="B773" s="3"/>
      <c r="C773" s="3"/>
      <c r="D773" s="3"/>
      <c r="E773" s="3"/>
      <c r="F773" s="3"/>
      <c r="G773" s="3"/>
      <c r="H773" s="3"/>
      <c r="I773" s="3"/>
      <c r="J773" s="3"/>
      <c r="K773" s="3"/>
      <c r="L773" s="3"/>
      <c r="M773" s="3"/>
      <c r="N773" s="3"/>
      <c r="O773" s="3"/>
      <c r="P773" s="3"/>
      <c r="Q773" s="261"/>
      <c r="R773" s="261"/>
    </row>
    <row r="774" spans="1:18" x14ac:dyDescent="0.35">
      <c r="A774" s="3"/>
      <c r="B774" s="3"/>
      <c r="C774" s="3"/>
      <c r="D774" s="3"/>
      <c r="E774" s="3"/>
      <c r="F774" s="3"/>
      <c r="G774" s="3"/>
      <c r="H774" s="3"/>
      <c r="I774" s="3"/>
      <c r="J774" s="3"/>
      <c r="K774" s="3"/>
      <c r="L774" s="3"/>
      <c r="M774" s="3"/>
      <c r="N774" s="3"/>
      <c r="O774" s="3"/>
      <c r="P774" s="3"/>
      <c r="Q774" s="261"/>
      <c r="R774" s="261"/>
    </row>
    <row r="775" spans="1:18" x14ac:dyDescent="0.35">
      <c r="A775" s="3"/>
      <c r="B775" s="3"/>
      <c r="C775" s="3"/>
      <c r="D775" s="3"/>
      <c r="E775" s="3"/>
      <c r="F775" s="3"/>
      <c r="G775" s="3"/>
      <c r="H775" s="3"/>
      <c r="I775" s="3"/>
      <c r="J775" s="3"/>
      <c r="K775" s="3"/>
      <c r="L775" s="3"/>
      <c r="M775" s="3"/>
      <c r="N775" s="3"/>
      <c r="O775" s="3"/>
      <c r="P775" s="3"/>
      <c r="Q775" s="261"/>
      <c r="R775" s="261"/>
    </row>
    <row r="776" spans="1:18" x14ac:dyDescent="0.35">
      <c r="A776" s="3"/>
      <c r="B776" s="3"/>
      <c r="C776" s="3"/>
      <c r="D776" s="3"/>
      <c r="E776" s="3"/>
      <c r="F776" s="3"/>
      <c r="G776" s="3"/>
      <c r="H776" s="3"/>
      <c r="I776" s="3"/>
      <c r="J776" s="3"/>
      <c r="K776" s="3"/>
      <c r="L776" s="3"/>
      <c r="M776" s="3"/>
      <c r="N776" s="3"/>
      <c r="O776" s="3"/>
      <c r="P776" s="3"/>
      <c r="Q776" s="261"/>
      <c r="R776" s="261"/>
    </row>
    <row r="777" spans="1:18" x14ac:dyDescent="0.35">
      <c r="A777" s="3"/>
      <c r="B777" s="3"/>
      <c r="C777" s="3"/>
      <c r="D777" s="3"/>
      <c r="E777" s="3"/>
      <c r="F777" s="3"/>
      <c r="G777" s="3"/>
      <c r="H777" s="3"/>
      <c r="I777" s="3"/>
      <c r="J777" s="3"/>
      <c r="K777" s="3"/>
      <c r="L777" s="3"/>
      <c r="M777" s="3"/>
      <c r="N777" s="3"/>
      <c r="O777" s="3"/>
      <c r="P777" s="3"/>
      <c r="Q777" s="261"/>
      <c r="R777" s="261"/>
    </row>
    <row r="778" spans="1:18" x14ac:dyDescent="0.35">
      <c r="A778" s="3"/>
      <c r="B778" s="3"/>
      <c r="C778" s="3"/>
      <c r="D778" s="3"/>
      <c r="E778" s="3"/>
      <c r="F778" s="3"/>
      <c r="G778" s="3"/>
      <c r="H778" s="3"/>
      <c r="I778" s="3"/>
      <c r="J778" s="3"/>
      <c r="K778" s="3"/>
      <c r="L778" s="3"/>
      <c r="M778" s="3"/>
      <c r="N778" s="3"/>
      <c r="O778" s="3"/>
      <c r="P778" s="3"/>
      <c r="Q778" s="261"/>
      <c r="R778" s="261"/>
    </row>
    <row r="779" spans="1:18" x14ac:dyDescent="0.35">
      <c r="A779" s="3"/>
      <c r="B779" s="3"/>
      <c r="C779" s="3"/>
      <c r="D779" s="3"/>
      <c r="E779" s="3"/>
      <c r="F779" s="3"/>
      <c r="G779" s="3"/>
      <c r="H779" s="3"/>
      <c r="I779" s="3"/>
      <c r="J779" s="3"/>
      <c r="K779" s="3"/>
      <c r="L779" s="3"/>
      <c r="M779" s="3"/>
      <c r="N779" s="3"/>
      <c r="O779" s="3"/>
      <c r="P779" s="3"/>
      <c r="Q779" s="261"/>
      <c r="R779" s="261"/>
    </row>
    <row r="780" spans="1:18" x14ac:dyDescent="0.35">
      <c r="A780" s="3"/>
      <c r="B780" s="3"/>
      <c r="C780" s="3"/>
      <c r="D780" s="3"/>
      <c r="E780" s="3"/>
      <c r="F780" s="3"/>
      <c r="G780" s="3"/>
      <c r="H780" s="3"/>
      <c r="I780" s="3"/>
      <c r="J780" s="3"/>
      <c r="K780" s="3"/>
      <c r="L780" s="3"/>
      <c r="M780" s="3"/>
      <c r="N780" s="3"/>
      <c r="O780" s="3"/>
      <c r="P780" s="3"/>
      <c r="Q780" s="261"/>
      <c r="R780" s="261"/>
    </row>
    <row r="781" spans="1:18" x14ac:dyDescent="0.35">
      <c r="A781" s="3"/>
      <c r="B781" s="3"/>
      <c r="C781" s="3"/>
      <c r="D781" s="3"/>
      <c r="E781" s="3"/>
      <c r="F781" s="3"/>
      <c r="G781" s="3"/>
      <c r="H781" s="3"/>
      <c r="I781" s="3"/>
      <c r="J781" s="3"/>
      <c r="K781" s="3"/>
      <c r="L781" s="3"/>
      <c r="M781" s="3"/>
      <c r="N781" s="3"/>
      <c r="O781" s="3"/>
      <c r="P781" s="3"/>
      <c r="Q781" s="261"/>
      <c r="R781" s="261"/>
    </row>
    <row r="782" spans="1:18" x14ac:dyDescent="0.35">
      <c r="A782" s="3"/>
      <c r="B782" s="3"/>
      <c r="C782" s="3"/>
      <c r="D782" s="3"/>
      <c r="E782" s="3"/>
      <c r="F782" s="3"/>
      <c r="G782" s="3"/>
      <c r="H782" s="3"/>
      <c r="I782" s="3"/>
      <c r="J782" s="3"/>
      <c r="K782" s="3"/>
      <c r="L782" s="3"/>
      <c r="M782" s="3"/>
      <c r="N782" s="3"/>
      <c r="O782" s="3"/>
      <c r="P782" s="3"/>
      <c r="Q782" s="261"/>
      <c r="R782" s="261"/>
    </row>
    <row r="783" spans="1:18" x14ac:dyDescent="0.35">
      <c r="A783" s="3"/>
      <c r="B783" s="3"/>
      <c r="C783" s="3"/>
      <c r="D783" s="3"/>
      <c r="E783" s="3"/>
      <c r="F783" s="3"/>
      <c r="G783" s="3"/>
      <c r="H783" s="3"/>
      <c r="I783" s="3"/>
      <c r="J783" s="3"/>
      <c r="K783" s="3"/>
      <c r="L783" s="3"/>
      <c r="M783" s="3"/>
      <c r="N783" s="3"/>
      <c r="O783" s="3"/>
      <c r="P783" s="3"/>
      <c r="Q783" s="261"/>
      <c r="R783" s="261"/>
    </row>
    <row r="784" spans="1:18" x14ac:dyDescent="0.35">
      <c r="A784" s="3"/>
      <c r="B784" s="3"/>
      <c r="C784" s="3"/>
      <c r="D784" s="3"/>
      <c r="E784" s="3"/>
      <c r="F784" s="3"/>
      <c r="G784" s="3"/>
      <c r="H784" s="3"/>
      <c r="I784" s="3"/>
      <c r="J784" s="3"/>
      <c r="K784" s="3"/>
      <c r="L784" s="3"/>
      <c r="M784" s="3"/>
      <c r="N784" s="3"/>
      <c r="O784" s="3"/>
      <c r="P784" s="3"/>
      <c r="Q784" s="261"/>
      <c r="R784" s="261"/>
    </row>
    <row r="785" spans="1:18" x14ac:dyDescent="0.35">
      <c r="A785" s="3"/>
      <c r="B785" s="3"/>
      <c r="C785" s="3"/>
      <c r="D785" s="3"/>
      <c r="E785" s="3"/>
      <c r="F785" s="3"/>
      <c r="G785" s="3"/>
      <c r="H785" s="3"/>
      <c r="I785" s="3"/>
      <c r="J785" s="3"/>
      <c r="K785" s="3"/>
      <c r="L785" s="3"/>
      <c r="M785" s="3"/>
      <c r="N785" s="3"/>
      <c r="O785" s="3"/>
      <c r="P785" s="3"/>
      <c r="Q785" s="261"/>
      <c r="R785" s="261"/>
    </row>
    <row r="786" spans="1:18" x14ac:dyDescent="0.35">
      <c r="A786" s="3"/>
      <c r="B786" s="3"/>
      <c r="C786" s="3"/>
      <c r="D786" s="3"/>
      <c r="E786" s="3"/>
      <c r="F786" s="3"/>
      <c r="G786" s="3"/>
      <c r="H786" s="3"/>
      <c r="I786" s="3"/>
      <c r="J786" s="3"/>
      <c r="K786" s="3"/>
      <c r="L786" s="3"/>
      <c r="M786" s="3"/>
      <c r="N786" s="3"/>
      <c r="O786" s="3"/>
      <c r="P786" s="3"/>
      <c r="Q786" s="261"/>
      <c r="R786" s="261"/>
    </row>
    <row r="787" spans="1:18" x14ac:dyDescent="0.35">
      <c r="A787" s="3"/>
      <c r="B787" s="3"/>
      <c r="C787" s="3"/>
      <c r="D787" s="3"/>
      <c r="E787" s="3"/>
      <c r="F787" s="3"/>
      <c r="G787" s="3"/>
      <c r="H787" s="3"/>
      <c r="I787" s="3"/>
      <c r="J787" s="3"/>
      <c r="K787" s="3"/>
      <c r="L787" s="3"/>
      <c r="M787" s="3"/>
      <c r="N787" s="3"/>
      <c r="O787" s="3"/>
      <c r="P787" s="3"/>
      <c r="Q787" s="261"/>
      <c r="R787" s="261"/>
    </row>
    <row r="788" spans="1:18" x14ac:dyDescent="0.35">
      <c r="A788" s="3"/>
      <c r="B788" s="3"/>
      <c r="C788" s="3"/>
      <c r="D788" s="3"/>
      <c r="E788" s="3"/>
      <c r="F788" s="3"/>
      <c r="G788" s="3"/>
      <c r="H788" s="3"/>
      <c r="I788" s="3"/>
      <c r="J788" s="3"/>
      <c r="K788" s="3"/>
      <c r="L788" s="3"/>
      <c r="M788" s="3"/>
      <c r="N788" s="3"/>
      <c r="O788" s="3"/>
      <c r="P788" s="3"/>
      <c r="Q788" s="261"/>
      <c r="R788" s="261"/>
    </row>
    <row r="789" spans="1:18" x14ac:dyDescent="0.35">
      <c r="A789" s="3"/>
      <c r="B789" s="3"/>
      <c r="C789" s="3"/>
      <c r="D789" s="3"/>
      <c r="E789" s="3"/>
      <c r="F789" s="3"/>
      <c r="G789" s="3"/>
      <c r="H789" s="3"/>
      <c r="I789" s="3"/>
      <c r="J789" s="3"/>
      <c r="K789" s="3"/>
      <c r="L789" s="3"/>
      <c r="M789" s="3"/>
      <c r="N789" s="3"/>
      <c r="O789" s="3"/>
      <c r="P789" s="3"/>
      <c r="Q789" s="261"/>
      <c r="R789" s="261"/>
    </row>
    <row r="790" spans="1:18" x14ac:dyDescent="0.35">
      <c r="A790" s="3"/>
      <c r="B790" s="3"/>
      <c r="C790" s="3"/>
      <c r="D790" s="3"/>
      <c r="E790" s="3"/>
      <c r="F790" s="3"/>
      <c r="G790" s="3"/>
      <c r="H790" s="3"/>
      <c r="I790" s="3"/>
      <c r="J790" s="3"/>
      <c r="K790" s="3"/>
      <c r="L790" s="3"/>
      <c r="M790" s="3"/>
      <c r="N790" s="3"/>
      <c r="O790" s="3"/>
      <c r="P790" s="3"/>
      <c r="Q790" s="261"/>
      <c r="R790" s="261"/>
    </row>
    <row r="791" spans="1:18" x14ac:dyDescent="0.35">
      <c r="A791" s="3"/>
      <c r="B791" s="3"/>
      <c r="C791" s="3"/>
      <c r="D791" s="3"/>
      <c r="E791" s="3"/>
      <c r="F791" s="3"/>
      <c r="G791" s="3"/>
      <c r="H791" s="3"/>
      <c r="I791" s="3"/>
      <c r="J791" s="3"/>
      <c r="K791" s="3"/>
      <c r="L791" s="3"/>
      <c r="M791" s="3"/>
      <c r="N791" s="3"/>
      <c r="O791" s="3"/>
      <c r="P791" s="3"/>
      <c r="Q791" s="261"/>
      <c r="R791" s="261"/>
    </row>
    <row r="792" spans="1:18" x14ac:dyDescent="0.35">
      <c r="A792" s="3"/>
      <c r="B792" s="3"/>
      <c r="C792" s="3"/>
      <c r="D792" s="3"/>
      <c r="E792" s="3"/>
      <c r="F792" s="3"/>
      <c r="G792" s="3"/>
      <c r="H792" s="3"/>
      <c r="I792" s="3"/>
      <c r="J792" s="3"/>
      <c r="K792" s="3"/>
      <c r="L792" s="3"/>
      <c r="M792" s="3"/>
      <c r="N792" s="3"/>
      <c r="O792" s="3"/>
      <c r="P792" s="3"/>
      <c r="Q792" s="261"/>
      <c r="R792" s="261"/>
    </row>
    <row r="793" spans="1:18" x14ac:dyDescent="0.35">
      <c r="A793" s="3"/>
      <c r="B793" s="3"/>
      <c r="C793" s="3"/>
      <c r="D793" s="3"/>
      <c r="E793" s="3"/>
      <c r="F793" s="3"/>
      <c r="G793" s="3"/>
      <c r="H793" s="3"/>
      <c r="I793" s="3"/>
      <c r="J793" s="3"/>
      <c r="K793" s="3"/>
      <c r="L793" s="3"/>
      <c r="M793" s="3"/>
      <c r="N793" s="3"/>
      <c r="O793" s="3"/>
      <c r="P793" s="3"/>
      <c r="Q793" s="261"/>
      <c r="R793" s="261"/>
    </row>
    <row r="794" spans="1:18" x14ac:dyDescent="0.35">
      <c r="A794" s="3"/>
      <c r="B794" s="3"/>
      <c r="C794" s="3"/>
      <c r="D794" s="3"/>
      <c r="E794" s="3"/>
      <c r="F794" s="3"/>
      <c r="G794" s="3"/>
      <c r="H794" s="3"/>
      <c r="I794" s="3"/>
      <c r="J794" s="3"/>
      <c r="K794" s="3"/>
      <c r="L794" s="3"/>
      <c r="M794" s="3"/>
      <c r="N794" s="3"/>
      <c r="O794" s="3"/>
      <c r="P794" s="3"/>
      <c r="Q794" s="261"/>
      <c r="R794" s="261"/>
    </row>
    <row r="795" spans="1:18" x14ac:dyDescent="0.35">
      <c r="A795" s="3"/>
      <c r="B795" s="3"/>
      <c r="C795" s="3"/>
      <c r="D795" s="3"/>
      <c r="E795" s="3"/>
      <c r="F795" s="3"/>
      <c r="G795" s="3"/>
      <c r="H795" s="3"/>
      <c r="I795" s="3"/>
      <c r="J795" s="3"/>
      <c r="K795" s="3"/>
      <c r="L795" s="3"/>
      <c r="M795" s="3"/>
      <c r="N795" s="3"/>
      <c r="O795" s="3"/>
      <c r="P795" s="3"/>
      <c r="Q795" s="261"/>
      <c r="R795" s="261"/>
    </row>
    <row r="796" spans="1:18" x14ac:dyDescent="0.35">
      <c r="A796" s="3"/>
      <c r="B796" s="3"/>
      <c r="C796" s="3"/>
      <c r="D796" s="3"/>
      <c r="E796" s="3"/>
      <c r="F796" s="3"/>
      <c r="G796" s="3"/>
      <c r="H796" s="3"/>
      <c r="I796" s="3"/>
      <c r="J796" s="3"/>
      <c r="K796" s="3"/>
      <c r="L796" s="3"/>
      <c r="M796" s="3"/>
      <c r="N796" s="3"/>
      <c r="O796" s="3"/>
      <c r="P796" s="3"/>
      <c r="Q796" s="261"/>
      <c r="R796" s="261"/>
    </row>
    <row r="797" spans="1:18" x14ac:dyDescent="0.35">
      <c r="A797" s="3"/>
      <c r="B797" s="3"/>
      <c r="C797" s="3"/>
      <c r="D797" s="3"/>
      <c r="E797" s="3"/>
      <c r="F797" s="3"/>
      <c r="G797" s="3"/>
      <c r="H797" s="3"/>
      <c r="I797" s="3"/>
      <c r="J797" s="3"/>
      <c r="K797" s="3"/>
      <c r="L797" s="3"/>
      <c r="M797" s="3"/>
      <c r="N797" s="3"/>
      <c r="O797" s="3"/>
      <c r="P797" s="3"/>
      <c r="Q797" s="261"/>
      <c r="R797" s="261"/>
    </row>
    <row r="798" spans="1:18" x14ac:dyDescent="0.35">
      <c r="A798" s="3"/>
      <c r="B798" s="3"/>
      <c r="C798" s="3"/>
      <c r="D798" s="3"/>
      <c r="E798" s="3"/>
      <c r="F798" s="3"/>
      <c r="G798" s="3"/>
      <c r="H798" s="3"/>
      <c r="I798" s="3"/>
      <c r="J798" s="3"/>
      <c r="K798" s="3"/>
      <c r="L798" s="3"/>
      <c r="M798" s="3"/>
      <c r="N798" s="3"/>
      <c r="O798" s="3"/>
      <c r="P798" s="3"/>
      <c r="Q798" s="261"/>
      <c r="R798" s="261"/>
    </row>
    <row r="799" spans="1:18" x14ac:dyDescent="0.35">
      <c r="A799" s="3"/>
      <c r="B799" s="3"/>
      <c r="C799" s="3"/>
      <c r="D799" s="3"/>
      <c r="E799" s="3"/>
      <c r="F799" s="3"/>
      <c r="G799" s="3"/>
      <c r="H799" s="3"/>
      <c r="I799" s="3"/>
      <c r="J799" s="3"/>
      <c r="K799" s="3"/>
      <c r="L799" s="3"/>
      <c r="M799" s="3"/>
      <c r="N799" s="3"/>
      <c r="O799" s="3"/>
      <c r="P799" s="3"/>
      <c r="Q799" s="261"/>
      <c r="R799" s="261"/>
    </row>
    <row r="800" spans="1:18" x14ac:dyDescent="0.35">
      <c r="A800" s="3"/>
      <c r="B800" s="3"/>
      <c r="C800" s="3"/>
      <c r="D800" s="3"/>
      <c r="E800" s="3"/>
      <c r="F800" s="3"/>
      <c r="G800" s="3"/>
      <c r="H800" s="3"/>
      <c r="I800" s="3"/>
      <c r="J800" s="3"/>
      <c r="K800" s="3"/>
      <c r="L800" s="3"/>
      <c r="M800" s="3"/>
      <c r="N800" s="3"/>
      <c r="O800" s="3"/>
      <c r="P800" s="3"/>
      <c r="Q800" s="261"/>
      <c r="R800" s="261"/>
    </row>
    <row r="801" spans="1:18" x14ac:dyDescent="0.35">
      <c r="A801" s="3"/>
      <c r="B801" s="3"/>
      <c r="C801" s="3"/>
      <c r="D801" s="3"/>
      <c r="E801" s="3"/>
      <c r="F801" s="3"/>
      <c r="G801" s="3"/>
      <c r="H801" s="3"/>
      <c r="I801" s="3"/>
      <c r="J801" s="3"/>
      <c r="K801" s="3"/>
      <c r="L801" s="3"/>
      <c r="M801" s="3"/>
      <c r="N801" s="3"/>
      <c r="O801" s="3"/>
      <c r="P801" s="3"/>
      <c r="Q801" s="261"/>
      <c r="R801" s="261"/>
    </row>
    <row r="802" spans="1:18" x14ac:dyDescent="0.35">
      <c r="A802" s="3"/>
      <c r="B802" s="3"/>
      <c r="C802" s="3"/>
      <c r="D802" s="3"/>
      <c r="E802" s="3"/>
      <c r="F802" s="3"/>
      <c r="G802" s="3"/>
      <c r="H802" s="3"/>
      <c r="I802" s="3"/>
      <c r="J802" s="3"/>
      <c r="K802" s="3"/>
      <c r="L802" s="3"/>
      <c r="M802" s="3"/>
      <c r="N802" s="3"/>
      <c r="O802" s="3"/>
      <c r="P802" s="3"/>
      <c r="Q802" s="261"/>
      <c r="R802" s="261"/>
    </row>
    <row r="803" spans="1:18" x14ac:dyDescent="0.35">
      <c r="A803" s="3"/>
      <c r="B803" s="3"/>
      <c r="C803" s="3"/>
      <c r="D803" s="3"/>
      <c r="E803" s="3"/>
      <c r="F803" s="3"/>
      <c r="G803" s="3"/>
      <c r="H803" s="3"/>
      <c r="I803" s="3"/>
      <c r="J803" s="3"/>
      <c r="K803" s="3"/>
      <c r="L803" s="3"/>
      <c r="M803" s="3"/>
      <c r="N803" s="3"/>
      <c r="O803" s="3"/>
      <c r="P803" s="3"/>
      <c r="Q803" s="261"/>
      <c r="R803" s="261"/>
    </row>
    <row r="804" spans="1:18" x14ac:dyDescent="0.35">
      <c r="A804" s="3"/>
      <c r="B804" s="3"/>
      <c r="C804" s="3"/>
      <c r="D804" s="3"/>
      <c r="E804" s="3"/>
      <c r="F804" s="3"/>
      <c r="G804" s="3"/>
      <c r="H804" s="3"/>
      <c r="I804" s="3"/>
      <c r="J804" s="3"/>
      <c r="K804" s="3"/>
      <c r="L804" s="3"/>
      <c r="M804" s="3"/>
      <c r="N804" s="3"/>
      <c r="O804" s="3"/>
      <c r="P804" s="3"/>
      <c r="Q804" s="261"/>
      <c r="R804" s="261"/>
    </row>
    <row r="805" spans="1:18" x14ac:dyDescent="0.35">
      <c r="A805" s="3"/>
      <c r="B805" s="3"/>
      <c r="C805" s="3"/>
      <c r="D805" s="3"/>
      <c r="E805" s="3"/>
      <c r="F805" s="3"/>
      <c r="G805" s="3"/>
      <c r="H805" s="3"/>
      <c r="I805" s="3"/>
      <c r="J805" s="3"/>
      <c r="K805" s="3"/>
      <c r="L805" s="3"/>
      <c r="M805" s="3"/>
      <c r="N805" s="3"/>
      <c r="O805" s="3"/>
      <c r="P805" s="3"/>
      <c r="Q805" s="261"/>
      <c r="R805" s="261"/>
    </row>
    <row r="806" spans="1:18" x14ac:dyDescent="0.35">
      <c r="A806" s="3"/>
      <c r="B806" s="3"/>
      <c r="C806" s="3"/>
      <c r="D806" s="3"/>
      <c r="E806" s="3"/>
      <c r="F806" s="3"/>
      <c r="G806" s="3"/>
      <c r="H806" s="3"/>
      <c r="I806" s="3"/>
      <c r="J806" s="3"/>
      <c r="K806" s="3"/>
      <c r="L806" s="3"/>
      <c r="M806" s="3"/>
      <c r="N806" s="3"/>
      <c r="O806" s="3"/>
      <c r="P806" s="3"/>
      <c r="Q806" s="261"/>
      <c r="R806" s="261"/>
    </row>
    <row r="807" spans="1:18" x14ac:dyDescent="0.35">
      <c r="A807" s="3"/>
      <c r="B807" s="3"/>
      <c r="C807" s="3"/>
      <c r="D807" s="3"/>
      <c r="E807" s="3"/>
      <c r="F807" s="3"/>
      <c r="G807" s="3"/>
      <c r="H807" s="3"/>
      <c r="I807" s="3"/>
      <c r="J807" s="3"/>
      <c r="K807" s="3"/>
      <c r="L807" s="3"/>
      <c r="M807" s="3"/>
      <c r="N807" s="3"/>
      <c r="O807" s="3"/>
      <c r="P807" s="3"/>
      <c r="Q807" s="261"/>
      <c r="R807" s="261"/>
    </row>
    <row r="808" spans="1:18" x14ac:dyDescent="0.35">
      <c r="A808" s="3"/>
      <c r="B808" s="3"/>
      <c r="C808" s="3"/>
      <c r="D808" s="3"/>
      <c r="E808" s="3"/>
      <c r="F808" s="3"/>
      <c r="G808" s="3"/>
      <c r="H808" s="3"/>
      <c r="I808" s="3"/>
      <c r="J808" s="3"/>
      <c r="K808" s="3"/>
      <c r="L808" s="3"/>
      <c r="M808" s="3"/>
      <c r="N808" s="3"/>
      <c r="O808" s="3"/>
      <c r="P808" s="3"/>
      <c r="Q808" s="261"/>
      <c r="R808" s="261"/>
    </row>
    <row r="809" spans="1:18" x14ac:dyDescent="0.35">
      <c r="A809" s="3"/>
      <c r="B809" s="3"/>
      <c r="C809" s="3"/>
      <c r="D809" s="3"/>
      <c r="E809" s="3"/>
      <c r="F809" s="3"/>
      <c r="G809" s="3"/>
      <c r="H809" s="3"/>
      <c r="I809" s="3"/>
      <c r="J809" s="3"/>
      <c r="K809" s="3"/>
      <c r="L809" s="3"/>
      <c r="M809" s="3"/>
      <c r="N809" s="3"/>
      <c r="O809" s="3"/>
      <c r="P809" s="3"/>
      <c r="Q809" s="261"/>
      <c r="R809" s="261"/>
    </row>
    <row r="810" spans="1:18" x14ac:dyDescent="0.35">
      <c r="A810" s="3"/>
      <c r="B810" s="3"/>
      <c r="C810" s="3"/>
      <c r="D810" s="3"/>
      <c r="E810" s="3"/>
      <c r="F810" s="3"/>
      <c r="G810" s="3"/>
      <c r="H810" s="3"/>
      <c r="I810" s="3"/>
      <c r="J810" s="3"/>
      <c r="K810" s="3"/>
      <c r="L810" s="3"/>
      <c r="M810" s="3"/>
      <c r="N810" s="3"/>
      <c r="O810" s="3"/>
      <c r="P810" s="3"/>
      <c r="Q810" s="261"/>
      <c r="R810" s="261"/>
    </row>
    <row r="811" spans="1:18" x14ac:dyDescent="0.35">
      <c r="A811" s="3"/>
      <c r="B811" s="3"/>
      <c r="C811" s="3"/>
      <c r="D811" s="3"/>
      <c r="E811" s="3"/>
      <c r="F811" s="3"/>
      <c r="G811" s="3"/>
      <c r="H811" s="3"/>
      <c r="I811" s="3"/>
      <c r="J811" s="3"/>
      <c r="K811" s="3"/>
      <c r="L811" s="3"/>
      <c r="M811" s="3"/>
      <c r="N811" s="3"/>
      <c r="O811" s="3"/>
      <c r="P811" s="3"/>
      <c r="Q811" s="261"/>
      <c r="R811" s="261"/>
    </row>
    <row r="812" spans="1:18" x14ac:dyDescent="0.35">
      <c r="A812" s="3"/>
      <c r="B812" s="3"/>
      <c r="C812" s="3"/>
      <c r="D812" s="3"/>
      <c r="E812" s="3"/>
      <c r="F812" s="3"/>
      <c r="G812" s="3"/>
      <c r="H812" s="3"/>
      <c r="I812" s="3"/>
      <c r="J812" s="3"/>
      <c r="K812" s="3"/>
      <c r="L812" s="3"/>
      <c r="M812" s="3"/>
      <c r="N812" s="3"/>
      <c r="O812" s="3"/>
      <c r="P812" s="3"/>
      <c r="Q812" s="261"/>
      <c r="R812" s="261"/>
    </row>
    <row r="813" spans="1:18" x14ac:dyDescent="0.35">
      <c r="A813" s="3"/>
      <c r="B813" s="3"/>
      <c r="C813" s="3"/>
      <c r="D813" s="3"/>
      <c r="E813" s="3"/>
      <c r="F813" s="3"/>
      <c r="G813" s="3"/>
      <c r="H813" s="3"/>
      <c r="I813" s="3"/>
      <c r="J813" s="3"/>
      <c r="K813" s="3"/>
      <c r="L813" s="3"/>
      <c r="M813" s="3"/>
      <c r="N813" s="3"/>
      <c r="O813" s="3"/>
      <c r="P813" s="3"/>
      <c r="Q813" s="261"/>
      <c r="R813" s="261"/>
    </row>
    <row r="814" spans="1:18" x14ac:dyDescent="0.35">
      <c r="A814" s="3"/>
      <c r="B814" s="3"/>
      <c r="C814" s="3"/>
      <c r="D814" s="3"/>
      <c r="E814" s="3"/>
      <c r="F814" s="3"/>
      <c r="G814" s="3"/>
      <c r="H814" s="3"/>
      <c r="I814" s="3"/>
      <c r="J814" s="3"/>
      <c r="K814" s="3"/>
      <c r="L814" s="3"/>
      <c r="M814" s="3"/>
      <c r="N814" s="3"/>
      <c r="O814" s="3"/>
      <c r="P814" s="3"/>
      <c r="Q814" s="261"/>
      <c r="R814" s="261"/>
    </row>
    <row r="815" spans="1:18" x14ac:dyDescent="0.35">
      <c r="A815" s="3"/>
      <c r="B815" s="3"/>
      <c r="C815" s="3"/>
      <c r="D815" s="3"/>
      <c r="E815" s="3"/>
      <c r="F815" s="3"/>
      <c r="G815" s="3"/>
      <c r="H815" s="3"/>
      <c r="I815" s="3"/>
      <c r="J815" s="3"/>
      <c r="K815" s="3"/>
      <c r="L815" s="3"/>
      <c r="M815" s="3"/>
      <c r="N815" s="3"/>
      <c r="O815" s="3"/>
      <c r="P815" s="3"/>
      <c r="Q815" s="261"/>
      <c r="R815" s="261"/>
    </row>
    <row r="816" spans="1:18" x14ac:dyDescent="0.35">
      <c r="A816" s="3"/>
      <c r="B816" s="3"/>
      <c r="C816" s="3"/>
      <c r="D816" s="3"/>
      <c r="E816" s="3"/>
      <c r="F816" s="3"/>
      <c r="G816" s="3"/>
      <c r="H816" s="3"/>
      <c r="I816" s="3"/>
      <c r="J816" s="3"/>
      <c r="K816" s="3"/>
      <c r="L816" s="3"/>
      <c r="M816" s="3"/>
      <c r="N816" s="3"/>
      <c r="O816" s="3"/>
      <c r="P816" s="3"/>
      <c r="Q816" s="261"/>
      <c r="R816" s="261"/>
    </row>
    <row r="817" spans="1:18" x14ac:dyDescent="0.35">
      <c r="A817" s="3"/>
      <c r="B817" s="3"/>
      <c r="C817" s="3"/>
      <c r="D817" s="3"/>
      <c r="E817" s="3"/>
      <c r="F817" s="3"/>
      <c r="G817" s="3"/>
      <c r="H817" s="3"/>
      <c r="I817" s="3"/>
      <c r="J817" s="3"/>
      <c r="K817" s="3"/>
      <c r="L817" s="3"/>
      <c r="M817" s="3"/>
      <c r="N817" s="3"/>
      <c r="O817" s="3"/>
      <c r="P817" s="3"/>
      <c r="Q817" s="261"/>
      <c r="R817" s="261"/>
    </row>
    <row r="818" spans="1:18" x14ac:dyDescent="0.35">
      <c r="A818" s="3"/>
      <c r="B818" s="3"/>
      <c r="C818" s="3"/>
      <c r="D818" s="3"/>
      <c r="E818" s="3"/>
      <c r="F818" s="3"/>
      <c r="G818" s="3"/>
      <c r="H818" s="3"/>
      <c r="I818" s="3"/>
      <c r="J818" s="3"/>
      <c r="K818" s="3"/>
      <c r="L818" s="3"/>
      <c r="M818" s="3"/>
      <c r="N818" s="3"/>
      <c r="O818" s="3"/>
      <c r="P818" s="3"/>
      <c r="Q818" s="261"/>
      <c r="R818" s="261"/>
    </row>
    <row r="819" spans="1:18" x14ac:dyDescent="0.35">
      <c r="A819" s="3"/>
      <c r="B819" s="3"/>
      <c r="C819" s="3"/>
      <c r="D819" s="3"/>
      <c r="E819" s="3"/>
      <c r="F819" s="3"/>
      <c r="G819" s="3"/>
      <c r="H819" s="3"/>
      <c r="I819" s="3"/>
      <c r="J819" s="3"/>
      <c r="K819" s="3"/>
      <c r="L819" s="3"/>
      <c r="M819" s="3"/>
      <c r="N819" s="3"/>
      <c r="O819" s="3"/>
      <c r="P819" s="3"/>
      <c r="Q819" s="261"/>
      <c r="R819" s="261"/>
    </row>
    <row r="820" spans="1:18" x14ac:dyDescent="0.35">
      <c r="A820" s="3"/>
      <c r="B820" s="3"/>
      <c r="C820" s="3"/>
      <c r="D820" s="3"/>
      <c r="E820" s="3"/>
      <c r="F820" s="3"/>
      <c r="G820" s="3"/>
      <c r="H820" s="3"/>
      <c r="I820" s="3"/>
      <c r="J820" s="3"/>
      <c r="K820" s="3"/>
      <c r="L820" s="3"/>
      <c r="M820" s="3"/>
      <c r="N820" s="3"/>
      <c r="O820" s="3"/>
      <c r="P820" s="3"/>
      <c r="Q820" s="261"/>
      <c r="R820" s="261"/>
    </row>
    <row r="821" spans="1:18" x14ac:dyDescent="0.35">
      <c r="A821" s="3"/>
      <c r="B821" s="3"/>
      <c r="C821" s="3"/>
      <c r="D821" s="3"/>
      <c r="E821" s="3"/>
      <c r="F821" s="3"/>
      <c r="G821" s="3"/>
      <c r="H821" s="3"/>
      <c r="I821" s="3"/>
      <c r="J821" s="3"/>
      <c r="K821" s="3"/>
      <c r="L821" s="3"/>
      <c r="M821" s="3"/>
      <c r="N821" s="3"/>
      <c r="O821" s="3"/>
      <c r="P821" s="3"/>
      <c r="Q821" s="261"/>
      <c r="R821" s="261"/>
    </row>
    <row r="822" spans="1:18" x14ac:dyDescent="0.35">
      <c r="A822" s="3"/>
      <c r="B822" s="3"/>
      <c r="C822" s="3"/>
      <c r="D822" s="3"/>
      <c r="E822" s="3"/>
      <c r="F822" s="3"/>
      <c r="G822" s="3"/>
      <c r="H822" s="3"/>
      <c r="I822" s="3"/>
      <c r="J822" s="3"/>
      <c r="K822" s="3"/>
      <c r="L822" s="3"/>
      <c r="M822" s="3"/>
      <c r="N822" s="3"/>
      <c r="O822" s="3"/>
      <c r="P822" s="3"/>
      <c r="Q822" s="261"/>
      <c r="R822" s="261"/>
    </row>
    <row r="823" spans="1:18" x14ac:dyDescent="0.35">
      <c r="A823" s="3"/>
      <c r="B823" s="3"/>
      <c r="C823" s="3"/>
      <c r="D823" s="3"/>
      <c r="E823" s="3"/>
      <c r="F823" s="3"/>
      <c r="G823" s="3"/>
      <c r="H823" s="3"/>
      <c r="I823" s="3"/>
      <c r="J823" s="3"/>
      <c r="K823" s="3"/>
      <c r="L823" s="3"/>
      <c r="M823" s="3"/>
      <c r="N823" s="3"/>
      <c r="O823" s="3"/>
      <c r="P823" s="3"/>
      <c r="Q823" s="261"/>
      <c r="R823" s="261"/>
    </row>
    <row r="824" spans="1:18" x14ac:dyDescent="0.35">
      <c r="A824" s="3"/>
      <c r="B824" s="3"/>
      <c r="C824" s="3"/>
      <c r="D824" s="3"/>
      <c r="E824" s="3"/>
      <c r="F824" s="3"/>
      <c r="G824" s="3"/>
      <c r="H824" s="3"/>
      <c r="I824" s="3"/>
      <c r="J824" s="3"/>
      <c r="K824" s="3"/>
      <c r="L824" s="3"/>
      <c r="M824" s="3"/>
      <c r="N824" s="3"/>
      <c r="O824" s="3"/>
      <c r="P824" s="3"/>
      <c r="Q824" s="261"/>
      <c r="R824" s="261"/>
    </row>
    <row r="825" spans="1:18" x14ac:dyDescent="0.35">
      <c r="A825" s="3"/>
      <c r="B825" s="3"/>
      <c r="C825" s="3"/>
      <c r="D825" s="3"/>
      <c r="E825" s="3"/>
      <c r="F825" s="3"/>
      <c r="G825" s="3"/>
      <c r="H825" s="3"/>
      <c r="I825" s="3"/>
      <c r="J825" s="3"/>
      <c r="K825" s="3"/>
      <c r="L825" s="3"/>
      <c r="M825" s="3"/>
      <c r="N825" s="3"/>
      <c r="O825" s="3"/>
      <c r="P825" s="3"/>
      <c r="Q825" s="261"/>
      <c r="R825" s="261"/>
    </row>
    <row r="826" spans="1:18" x14ac:dyDescent="0.35">
      <c r="A826" s="3"/>
      <c r="B826" s="3"/>
      <c r="C826" s="3"/>
      <c r="D826" s="3"/>
      <c r="E826" s="3"/>
      <c r="F826" s="3"/>
      <c r="G826" s="3"/>
      <c r="H826" s="3"/>
      <c r="I826" s="3"/>
      <c r="J826" s="3"/>
      <c r="K826" s="3"/>
      <c r="L826" s="3"/>
      <c r="M826" s="3"/>
      <c r="N826" s="3"/>
      <c r="O826" s="3"/>
      <c r="P826" s="3"/>
      <c r="Q826" s="261"/>
      <c r="R826" s="261"/>
    </row>
    <row r="827" spans="1:18" x14ac:dyDescent="0.35">
      <c r="A827" s="3"/>
      <c r="B827" s="3"/>
      <c r="C827" s="3"/>
      <c r="D827" s="3"/>
      <c r="E827" s="3"/>
      <c r="F827" s="3"/>
      <c r="G827" s="3"/>
      <c r="H827" s="3"/>
      <c r="I827" s="3"/>
      <c r="J827" s="3"/>
      <c r="K827" s="3"/>
      <c r="L827" s="3"/>
      <c r="M827" s="3"/>
      <c r="N827" s="3"/>
      <c r="O827" s="3"/>
      <c r="P827" s="3"/>
      <c r="Q827" s="261"/>
      <c r="R827" s="261"/>
    </row>
    <row r="828" spans="1:18" x14ac:dyDescent="0.35">
      <c r="A828" s="3"/>
      <c r="B828" s="3"/>
      <c r="C828" s="3"/>
      <c r="D828" s="3"/>
      <c r="E828" s="3"/>
      <c r="F828" s="3"/>
      <c r="G828" s="3"/>
      <c r="H828" s="3"/>
      <c r="I828" s="3"/>
      <c r="J828" s="3"/>
      <c r="K828" s="3"/>
      <c r="L828" s="3"/>
      <c r="M828" s="3"/>
      <c r="N828" s="3"/>
      <c r="O828" s="3"/>
      <c r="P828" s="3"/>
      <c r="Q828" s="261"/>
      <c r="R828" s="261"/>
    </row>
    <row r="829" spans="1:18" x14ac:dyDescent="0.35">
      <c r="A829" s="3"/>
      <c r="B829" s="3"/>
      <c r="C829" s="3"/>
      <c r="D829" s="3"/>
      <c r="E829" s="3"/>
      <c r="F829" s="3"/>
      <c r="G829" s="3"/>
      <c r="H829" s="3"/>
      <c r="I829" s="3"/>
      <c r="J829" s="3"/>
      <c r="K829" s="3"/>
      <c r="L829" s="3"/>
      <c r="M829" s="3"/>
      <c r="N829" s="3"/>
      <c r="O829" s="3"/>
      <c r="P829" s="3"/>
      <c r="Q829" s="261"/>
      <c r="R829" s="261"/>
    </row>
    <row r="830" spans="1:18" x14ac:dyDescent="0.35">
      <c r="A830" s="3"/>
      <c r="B830" s="3"/>
      <c r="C830" s="3"/>
      <c r="D830" s="3"/>
      <c r="E830" s="3"/>
      <c r="F830" s="3"/>
      <c r="G830" s="3"/>
      <c r="H830" s="3"/>
      <c r="I830" s="3"/>
      <c r="J830" s="3"/>
      <c r="K830" s="3"/>
      <c r="L830" s="3"/>
      <c r="M830" s="3"/>
      <c r="N830" s="3"/>
      <c r="O830" s="3"/>
      <c r="P830" s="3"/>
      <c r="Q830" s="261"/>
      <c r="R830" s="261"/>
    </row>
    <row r="831" spans="1:18" x14ac:dyDescent="0.35">
      <c r="A831" s="3"/>
      <c r="B831" s="3"/>
      <c r="C831" s="3"/>
      <c r="D831" s="3"/>
      <c r="E831" s="3"/>
      <c r="F831" s="3"/>
      <c r="G831" s="3"/>
      <c r="H831" s="3"/>
      <c r="I831" s="3"/>
      <c r="J831" s="3"/>
      <c r="K831" s="3"/>
      <c r="L831" s="3"/>
      <c r="M831" s="3"/>
      <c r="N831" s="3"/>
      <c r="O831" s="3"/>
      <c r="P831" s="3"/>
      <c r="Q831" s="261"/>
      <c r="R831" s="261"/>
    </row>
    <row r="832" spans="1:18" x14ac:dyDescent="0.35">
      <c r="A832" s="3"/>
      <c r="B832" s="3"/>
      <c r="C832" s="3"/>
      <c r="D832" s="3"/>
      <c r="E832" s="3"/>
      <c r="F832" s="3"/>
      <c r="G832" s="3"/>
      <c r="H832" s="3"/>
      <c r="I832" s="3"/>
      <c r="J832" s="3"/>
      <c r="K832" s="3"/>
      <c r="L832" s="3"/>
      <c r="M832" s="3"/>
      <c r="N832" s="3"/>
      <c r="O832" s="3"/>
      <c r="P832" s="3"/>
      <c r="Q832" s="261"/>
      <c r="R832" s="261"/>
    </row>
    <row r="833" spans="1:18" x14ac:dyDescent="0.35">
      <c r="A833" s="3"/>
      <c r="B833" s="3"/>
      <c r="C833" s="3"/>
      <c r="D833" s="3"/>
      <c r="E833" s="3"/>
      <c r="F833" s="3"/>
      <c r="G833" s="3"/>
      <c r="H833" s="3"/>
      <c r="I833" s="3"/>
      <c r="J833" s="3"/>
      <c r="K833" s="3"/>
      <c r="L833" s="3"/>
      <c r="M833" s="3"/>
      <c r="N833" s="3"/>
      <c r="O833" s="3"/>
      <c r="P833" s="3"/>
      <c r="Q833" s="261"/>
      <c r="R833" s="261"/>
    </row>
    <row r="834" spans="1:18" x14ac:dyDescent="0.35">
      <c r="A834" s="3"/>
      <c r="B834" s="3"/>
      <c r="C834" s="3"/>
      <c r="D834" s="3"/>
      <c r="E834" s="3"/>
      <c r="F834" s="3"/>
      <c r="G834" s="3"/>
      <c r="H834" s="3"/>
      <c r="I834" s="3"/>
      <c r="J834" s="3"/>
      <c r="K834" s="3"/>
      <c r="L834" s="3"/>
      <c r="M834" s="3"/>
      <c r="N834" s="3"/>
      <c r="O834" s="3"/>
      <c r="P834" s="3"/>
      <c r="Q834" s="261"/>
      <c r="R834" s="261"/>
    </row>
    <row r="835" spans="1:18" x14ac:dyDescent="0.35">
      <c r="A835" s="3"/>
      <c r="B835" s="3"/>
      <c r="C835" s="3"/>
      <c r="D835" s="3"/>
      <c r="E835" s="3"/>
      <c r="F835" s="3"/>
      <c r="G835" s="3"/>
      <c r="H835" s="3"/>
      <c r="I835" s="3"/>
      <c r="J835" s="3"/>
      <c r="K835" s="3"/>
      <c r="L835" s="3"/>
      <c r="M835" s="3"/>
      <c r="N835" s="3"/>
      <c r="O835" s="3"/>
      <c r="P835" s="3"/>
      <c r="Q835" s="261"/>
      <c r="R835" s="261"/>
    </row>
    <row r="836" spans="1:18" x14ac:dyDescent="0.35">
      <c r="A836" s="3"/>
      <c r="B836" s="3"/>
      <c r="C836" s="3"/>
      <c r="D836" s="3"/>
      <c r="E836" s="3"/>
      <c r="F836" s="3"/>
      <c r="G836" s="3"/>
      <c r="H836" s="3"/>
      <c r="I836" s="3"/>
      <c r="J836" s="3"/>
      <c r="K836" s="3"/>
      <c r="L836" s="3"/>
      <c r="M836" s="3"/>
      <c r="N836" s="3"/>
      <c r="O836" s="3"/>
      <c r="P836" s="3"/>
      <c r="Q836" s="261"/>
      <c r="R836" s="261"/>
    </row>
    <row r="837" spans="1:18" x14ac:dyDescent="0.35">
      <c r="A837" s="3"/>
      <c r="B837" s="3"/>
      <c r="C837" s="3"/>
      <c r="D837" s="3"/>
      <c r="E837" s="3"/>
      <c r="F837" s="3"/>
      <c r="G837" s="3"/>
      <c r="H837" s="3"/>
      <c r="I837" s="3"/>
      <c r="J837" s="3"/>
      <c r="K837" s="3"/>
      <c r="L837" s="3"/>
      <c r="M837" s="3"/>
      <c r="N837" s="3"/>
      <c r="O837" s="3"/>
      <c r="P837" s="3"/>
      <c r="Q837" s="261"/>
      <c r="R837" s="261"/>
    </row>
    <row r="838" spans="1:18" x14ac:dyDescent="0.35">
      <c r="A838" s="3"/>
      <c r="B838" s="3"/>
      <c r="C838" s="3"/>
      <c r="D838" s="3"/>
      <c r="E838" s="3"/>
      <c r="F838" s="3"/>
      <c r="G838" s="3"/>
      <c r="H838" s="3"/>
      <c r="I838" s="3"/>
      <c r="J838" s="3"/>
      <c r="K838" s="3"/>
      <c r="L838" s="3"/>
      <c r="M838" s="3"/>
      <c r="N838" s="3"/>
      <c r="O838" s="3"/>
      <c r="P838" s="3"/>
      <c r="Q838" s="261"/>
      <c r="R838" s="261"/>
    </row>
    <row r="839" spans="1:18" x14ac:dyDescent="0.35">
      <c r="A839" s="3"/>
      <c r="B839" s="3"/>
      <c r="C839" s="3"/>
      <c r="D839" s="3"/>
      <c r="E839" s="3"/>
      <c r="F839" s="3"/>
      <c r="G839" s="3"/>
      <c r="H839" s="3"/>
      <c r="I839" s="3"/>
      <c r="J839" s="3"/>
      <c r="K839" s="3"/>
      <c r="L839" s="3"/>
      <c r="M839" s="3"/>
      <c r="N839" s="3"/>
      <c r="O839" s="3"/>
      <c r="P839" s="3"/>
      <c r="Q839" s="261"/>
      <c r="R839" s="261"/>
    </row>
    <row r="840" spans="1:18" x14ac:dyDescent="0.35">
      <c r="A840" s="3"/>
      <c r="B840" s="3"/>
      <c r="C840" s="3"/>
      <c r="D840" s="3"/>
      <c r="E840" s="3"/>
      <c r="F840" s="3"/>
      <c r="G840" s="3"/>
      <c r="H840" s="3"/>
      <c r="I840" s="3"/>
      <c r="J840" s="3"/>
      <c r="K840" s="3"/>
      <c r="L840" s="3"/>
      <c r="M840" s="3"/>
      <c r="N840" s="3"/>
      <c r="O840" s="3"/>
      <c r="P840" s="3"/>
      <c r="Q840" s="261"/>
      <c r="R840" s="261"/>
    </row>
    <row r="841" spans="1:18" x14ac:dyDescent="0.35">
      <c r="A841" s="3"/>
      <c r="B841" s="3"/>
      <c r="C841" s="3"/>
      <c r="D841" s="3"/>
      <c r="E841" s="3"/>
      <c r="F841" s="3"/>
      <c r="G841" s="3"/>
      <c r="H841" s="3"/>
      <c r="I841" s="3"/>
      <c r="J841" s="3"/>
      <c r="K841" s="3"/>
      <c r="L841" s="3"/>
      <c r="M841" s="3"/>
      <c r="N841" s="3"/>
      <c r="O841" s="3"/>
      <c r="P841" s="3"/>
      <c r="Q841" s="261"/>
      <c r="R841" s="261"/>
    </row>
    <row r="842" spans="1:18" x14ac:dyDescent="0.35">
      <c r="A842" s="3"/>
      <c r="B842" s="3"/>
      <c r="C842" s="3"/>
      <c r="D842" s="3"/>
      <c r="E842" s="3"/>
      <c r="F842" s="3"/>
      <c r="G842" s="3"/>
      <c r="H842" s="3"/>
      <c r="I842" s="3"/>
      <c r="J842" s="3"/>
      <c r="K842" s="3"/>
      <c r="L842" s="3"/>
      <c r="M842" s="3"/>
      <c r="N842" s="3"/>
      <c r="O842" s="3"/>
      <c r="P842" s="3"/>
      <c r="Q842" s="261"/>
      <c r="R842" s="261"/>
    </row>
    <row r="843" spans="1:18" x14ac:dyDescent="0.35">
      <c r="A843" s="3"/>
      <c r="B843" s="3"/>
      <c r="C843" s="3"/>
      <c r="D843" s="3"/>
      <c r="E843" s="3"/>
      <c r="F843" s="3"/>
      <c r="G843" s="3"/>
      <c r="H843" s="3"/>
      <c r="I843" s="3"/>
      <c r="J843" s="3"/>
      <c r="K843" s="3"/>
      <c r="L843" s="3"/>
      <c r="M843" s="3"/>
      <c r="N843" s="3"/>
      <c r="O843" s="3"/>
      <c r="P843" s="3"/>
      <c r="Q843" s="261"/>
      <c r="R843" s="261"/>
    </row>
    <row r="844" spans="1:18" x14ac:dyDescent="0.35">
      <c r="A844" s="3"/>
      <c r="B844" s="3"/>
      <c r="C844" s="3"/>
      <c r="D844" s="3"/>
      <c r="E844" s="3"/>
      <c r="F844" s="3"/>
      <c r="G844" s="3"/>
      <c r="H844" s="3"/>
      <c r="I844" s="3"/>
      <c r="J844" s="3"/>
      <c r="K844" s="3"/>
      <c r="L844" s="3"/>
      <c r="M844" s="3"/>
      <c r="N844" s="3"/>
      <c r="O844" s="3"/>
      <c r="P844" s="3"/>
      <c r="Q844" s="261"/>
      <c r="R844" s="261"/>
    </row>
    <row r="845" spans="1:18" x14ac:dyDescent="0.35">
      <c r="A845" s="3"/>
      <c r="B845" s="3"/>
      <c r="C845" s="3"/>
      <c r="D845" s="3"/>
      <c r="E845" s="3"/>
      <c r="F845" s="3"/>
      <c r="G845" s="3"/>
      <c r="H845" s="3"/>
      <c r="I845" s="3"/>
      <c r="J845" s="3"/>
      <c r="K845" s="3"/>
      <c r="L845" s="3"/>
      <c r="M845" s="3"/>
      <c r="N845" s="3"/>
      <c r="O845" s="3"/>
      <c r="P845" s="3"/>
      <c r="Q845" s="261"/>
      <c r="R845" s="261"/>
    </row>
    <row r="846" spans="1:18" x14ac:dyDescent="0.35">
      <c r="A846" s="3"/>
      <c r="B846" s="3"/>
      <c r="C846" s="3"/>
      <c r="D846" s="3"/>
      <c r="E846" s="3"/>
      <c r="F846" s="3"/>
      <c r="G846" s="3"/>
      <c r="H846" s="3"/>
      <c r="I846" s="3"/>
      <c r="J846" s="3"/>
      <c r="K846" s="3"/>
      <c r="L846" s="3"/>
      <c r="M846" s="3"/>
      <c r="N846" s="3"/>
      <c r="O846" s="3"/>
      <c r="P846" s="3"/>
      <c r="Q846" s="261"/>
      <c r="R846" s="261"/>
    </row>
    <row r="847" spans="1:18" x14ac:dyDescent="0.35">
      <c r="A847" s="3"/>
      <c r="B847" s="3"/>
      <c r="C847" s="3"/>
      <c r="D847" s="3"/>
      <c r="E847" s="3"/>
      <c r="F847" s="3"/>
      <c r="G847" s="3"/>
      <c r="H847" s="3"/>
      <c r="I847" s="3"/>
      <c r="J847" s="3"/>
      <c r="K847" s="3"/>
      <c r="L847" s="3"/>
      <c r="M847" s="3"/>
      <c r="N847" s="3"/>
      <c r="O847" s="3"/>
      <c r="P847" s="3"/>
      <c r="Q847" s="261"/>
      <c r="R847" s="261"/>
    </row>
    <row r="848" spans="1:18" x14ac:dyDescent="0.35">
      <c r="A848" s="3"/>
      <c r="B848" s="3"/>
      <c r="C848" s="3"/>
      <c r="D848" s="3"/>
      <c r="E848" s="3"/>
      <c r="F848" s="3"/>
      <c r="G848" s="3"/>
      <c r="H848" s="3"/>
      <c r="I848" s="3"/>
      <c r="J848" s="3"/>
      <c r="K848" s="3"/>
      <c r="L848" s="3"/>
      <c r="M848" s="3"/>
      <c r="N848" s="3"/>
      <c r="O848" s="3"/>
      <c r="P848" s="3"/>
      <c r="Q848" s="261"/>
      <c r="R848" s="261"/>
    </row>
    <row r="849" spans="1:18" x14ac:dyDescent="0.35">
      <c r="A849" s="3"/>
      <c r="B849" s="3"/>
      <c r="C849" s="3"/>
      <c r="D849" s="3"/>
      <c r="E849" s="3"/>
      <c r="F849" s="3"/>
      <c r="G849" s="3"/>
      <c r="H849" s="3"/>
      <c r="I849" s="3"/>
      <c r="J849" s="3"/>
      <c r="K849" s="3"/>
      <c r="L849" s="3"/>
      <c r="M849" s="3"/>
      <c r="N849" s="3"/>
      <c r="O849" s="3"/>
      <c r="P849" s="3"/>
      <c r="Q849" s="261"/>
      <c r="R849" s="261"/>
    </row>
    <row r="850" spans="1:18" x14ac:dyDescent="0.35">
      <c r="A850" s="3"/>
      <c r="B850" s="3"/>
      <c r="C850" s="3"/>
      <c r="D850" s="3"/>
      <c r="E850" s="3"/>
      <c r="F850" s="3"/>
      <c r="G850" s="3"/>
      <c r="H850" s="3"/>
      <c r="I850" s="3"/>
      <c r="J850" s="3"/>
      <c r="K850" s="3"/>
      <c r="L850" s="3"/>
      <c r="M850" s="3"/>
      <c r="N850" s="3"/>
      <c r="O850" s="3"/>
      <c r="P850" s="3"/>
      <c r="Q850" s="261"/>
      <c r="R850" s="261"/>
    </row>
    <row r="851" spans="1:18" x14ac:dyDescent="0.35">
      <c r="A851" s="3"/>
      <c r="B851" s="3"/>
      <c r="C851" s="3"/>
      <c r="D851" s="3"/>
      <c r="E851" s="3"/>
      <c r="F851" s="3"/>
      <c r="G851" s="3"/>
      <c r="H851" s="3"/>
      <c r="I851" s="3"/>
      <c r="J851" s="3"/>
      <c r="K851" s="3"/>
      <c r="L851" s="3"/>
      <c r="M851" s="3"/>
      <c r="N851" s="3"/>
      <c r="O851" s="3"/>
      <c r="P851" s="3"/>
      <c r="Q851" s="261"/>
      <c r="R851" s="261"/>
    </row>
    <row r="852" spans="1:18" x14ac:dyDescent="0.35">
      <c r="A852" s="3"/>
      <c r="B852" s="3"/>
      <c r="C852" s="3"/>
      <c r="D852" s="3"/>
      <c r="E852" s="3"/>
      <c r="F852" s="3"/>
      <c r="G852" s="3"/>
      <c r="H852" s="3"/>
      <c r="I852" s="3"/>
      <c r="J852" s="3"/>
      <c r="K852" s="3"/>
      <c r="L852" s="3"/>
      <c r="M852" s="3"/>
      <c r="N852" s="3"/>
      <c r="O852" s="3"/>
      <c r="P852" s="3"/>
      <c r="Q852" s="261"/>
      <c r="R852" s="261"/>
    </row>
    <row r="853" spans="1:18" x14ac:dyDescent="0.35">
      <c r="A853" s="3"/>
      <c r="B853" s="3"/>
      <c r="C853" s="3"/>
      <c r="D853" s="3"/>
      <c r="E853" s="3"/>
      <c r="F853" s="3"/>
      <c r="G853" s="3"/>
      <c r="H853" s="3"/>
      <c r="I853" s="3"/>
      <c r="J853" s="3"/>
      <c r="K853" s="3"/>
      <c r="L853" s="3"/>
      <c r="M853" s="3"/>
      <c r="N853" s="3"/>
      <c r="O853" s="3"/>
      <c r="P853" s="3"/>
      <c r="Q853" s="261"/>
      <c r="R853" s="261"/>
    </row>
    <row r="854" spans="1:18" x14ac:dyDescent="0.35">
      <c r="A854" s="3"/>
      <c r="B854" s="3"/>
      <c r="C854" s="3"/>
      <c r="D854" s="3"/>
      <c r="E854" s="3"/>
      <c r="F854" s="3"/>
      <c r="G854" s="3"/>
      <c r="H854" s="3"/>
      <c r="I854" s="3"/>
      <c r="J854" s="3"/>
      <c r="K854" s="3"/>
      <c r="L854" s="3"/>
      <c r="M854" s="3"/>
      <c r="N854" s="3"/>
      <c r="O854" s="3"/>
      <c r="P854" s="3"/>
      <c r="Q854" s="261"/>
      <c r="R854" s="261"/>
    </row>
    <row r="855" spans="1:18" x14ac:dyDescent="0.35">
      <c r="A855" s="3"/>
      <c r="B855" s="3"/>
      <c r="C855" s="3"/>
      <c r="D855" s="3"/>
      <c r="E855" s="3"/>
      <c r="F855" s="3"/>
      <c r="G855" s="3"/>
      <c r="H855" s="3"/>
      <c r="I855" s="3"/>
      <c r="J855" s="3"/>
      <c r="K855" s="3"/>
      <c r="L855" s="3"/>
      <c r="M855" s="3"/>
      <c r="N855" s="3"/>
      <c r="O855" s="3"/>
      <c r="P855" s="3"/>
      <c r="Q855" s="261"/>
      <c r="R855" s="261"/>
    </row>
    <row r="856" spans="1:18" x14ac:dyDescent="0.35">
      <c r="A856" s="3"/>
      <c r="B856" s="3"/>
      <c r="C856" s="3"/>
      <c r="D856" s="3"/>
      <c r="E856" s="3"/>
      <c r="F856" s="3"/>
      <c r="G856" s="3"/>
      <c r="H856" s="3"/>
      <c r="I856" s="3"/>
      <c r="J856" s="3"/>
      <c r="K856" s="3"/>
      <c r="L856" s="3"/>
      <c r="M856" s="3"/>
      <c r="N856" s="3"/>
      <c r="O856" s="3"/>
      <c r="P856" s="3"/>
      <c r="Q856" s="261"/>
      <c r="R856" s="261"/>
    </row>
    <row r="857" spans="1:18" x14ac:dyDescent="0.35">
      <c r="A857" s="3"/>
      <c r="B857" s="3"/>
      <c r="C857" s="3"/>
      <c r="D857" s="3"/>
      <c r="E857" s="3"/>
      <c r="F857" s="3"/>
      <c r="G857" s="3"/>
      <c r="H857" s="3"/>
      <c r="I857" s="3"/>
      <c r="J857" s="3"/>
      <c r="K857" s="3"/>
      <c r="L857" s="3"/>
      <c r="M857" s="3"/>
      <c r="N857" s="3"/>
      <c r="O857" s="3"/>
      <c r="P857" s="3"/>
      <c r="Q857" s="261"/>
      <c r="R857" s="261"/>
    </row>
    <row r="858" spans="1:18" x14ac:dyDescent="0.35">
      <c r="A858" s="3"/>
      <c r="B858" s="3"/>
      <c r="C858" s="3"/>
      <c r="D858" s="3"/>
      <c r="E858" s="3"/>
      <c r="F858" s="3"/>
      <c r="G858" s="3"/>
      <c r="H858" s="3"/>
      <c r="I858" s="3"/>
      <c r="J858" s="3"/>
      <c r="K858" s="3"/>
      <c r="L858" s="3"/>
      <c r="M858" s="3"/>
      <c r="N858" s="3"/>
      <c r="O858" s="3"/>
      <c r="P858" s="3"/>
      <c r="Q858" s="261"/>
      <c r="R858" s="261"/>
    </row>
    <row r="859" spans="1:18" x14ac:dyDescent="0.35">
      <c r="A859" s="3"/>
      <c r="B859" s="3"/>
      <c r="C859" s="3"/>
      <c r="D859" s="3"/>
      <c r="E859" s="3"/>
      <c r="F859" s="3"/>
      <c r="G859" s="3"/>
      <c r="H859" s="3"/>
      <c r="I859" s="3"/>
      <c r="J859" s="3"/>
      <c r="K859" s="3"/>
      <c r="L859" s="3"/>
      <c r="M859" s="3"/>
      <c r="N859" s="3"/>
      <c r="O859" s="3"/>
      <c r="P859" s="3"/>
      <c r="Q859" s="261"/>
      <c r="R859" s="261"/>
    </row>
    <row r="860" spans="1:18" x14ac:dyDescent="0.35">
      <c r="A860" s="3"/>
      <c r="B860" s="3"/>
      <c r="C860" s="3"/>
      <c r="D860" s="3"/>
      <c r="E860" s="3"/>
      <c r="F860" s="3"/>
      <c r="G860" s="3"/>
      <c r="H860" s="3"/>
      <c r="I860" s="3"/>
      <c r="J860" s="3"/>
      <c r="K860" s="3"/>
      <c r="L860" s="3"/>
      <c r="M860" s="3"/>
      <c r="N860" s="3"/>
      <c r="O860" s="3"/>
      <c r="P860" s="3"/>
      <c r="Q860" s="261"/>
      <c r="R860" s="261"/>
    </row>
    <row r="861" spans="1:18" x14ac:dyDescent="0.35">
      <c r="A861" s="3"/>
      <c r="B861" s="3"/>
      <c r="C861" s="3"/>
      <c r="D861" s="3"/>
      <c r="E861" s="3"/>
      <c r="F861" s="3"/>
      <c r="G861" s="3"/>
      <c r="H861" s="3"/>
      <c r="I861" s="3"/>
      <c r="J861" s="3"/>
      <c r="K861" s="3"/>
      <c r="L861" s="3"/>
      <c r="M861" s="3"/>
      <c r="N861" s="3"/>
      <c r="O861" s="3"/>
      <c r="P861" s="3"/>
      <c r="Q861" s="261"/>
      <c r="R861" s="261"/>
    </row>
    <row r="862" spans="1:18" x14ac:dyDescent="0.35">
      <c r="A862" s="3"/>
      <c r="B862" s="3"/>
      <c r="C862" s="3"/>
      <c r="D862" s="3"/>
      <c r="E862" s="3"/>
      <c r="F862" s="3"/>
      <c r="G862" s="3"/>
      <c r="H862" s="3"/>
      <c r="I862" s="3"/>
      <c r="J862" s="3"/>
      <c r="K862" s="3"/>
      <c r="L862" s="3"/>
      <c r="M862" s="3"/>
      <c r="N862" s="3"/>
      <c r="O862" s="3"/>
      <c r="P862" s="3"/>
      <c r="Q862" s="261"/>
      <c r="R862" s="261"/>
    </row>
    <row r="863" spans="1:18" x14ac:dyDescent="0.35">
      <c r="A863" s="3"/>
      <c r="B863" s="3"/>
      <c r="C863" s="3"/>
      <c r="D863" s="3"/>
      <c r="E863" s="3"/>
      <c r="F863" s="3"/>
      <c r="G863" s="3"/>
      <c r="H863" s="3"/>
      <c r="I863" s="3"/>
      <c r="J863" s="3"/>
      <c r="K863" s="3"/>
      <c r="L863" s="3"/>
      <c r="M863" s="3"/>
      <c r="N863" s="3"/>
      <c r="O863" s="3"/>
      <c r="P863" s="3"/>
      <c r="Q863" s="261"/>
      <c r="R863" s="261"/>
    </row>
    <row r="864" spans="1:18" x14ac:dyDescent="0.35">
      <c r="A864" s="3"/>
      <c r="B864" s="3"/>
      <c r="C864" s="3"/>
      <c r="D864" s="3"/>
      <c r="E864" s="3"/>
      <c r="F864" s="3"/>
      <c r="G864" s="3"/>
      <c r="H864" s="3"/>
      <c r="I864" s="3"/>
      <c r="J864" s="3"/>
      <c r="K864" s="3"/>
      <c r="L864" s="3"/>
      <c r="M864" s="3"/>
      <c r="N864" s="3"/>
      <c r="O864" s="3"/>
      <c r="P864" s="3"/>
      <c r="Q864" s="261"/>
      <c r="R864" s="261"/>
    </row>
    <row r="865" spans="1:18" x14ac:dyDescent="0.35">
      <c r="A865" s="3"/>
      <c r="B865" s="3"/>
      <c r="C865" s="3"/>
      <c r="D865" s="3"/>
      <c r="E865" s="3"/>
      <c r="F865" s="3"/>
      <c r="G865" s="3"/>
      <c r="H865" s="3"/>
      <c r="I865" s="3"/>
      <c r="J865" s="3"/>
      <c r="K865" s="3"/>
      <c r="L865" s="3"/>
      <c r="M865" s="3"/>
      <c r="N865" s="3"/>
      <c r="O865" s="3"/>
      <c r="P865" s="3"/>
      <c r="Q865" s="261"/>
      <c r="R865" s="261"/>
    </row>
    <row r="866" spans="1:18" x14ac:dyDescent="0.35">
      <c r="A866" s="3"/>
      <c r="B866" s="3"/>
      <c r="C866" s="3"/>
      <c r="D866" s="3"/>
      <c r="E866" s="3"/>
      <c r="F866" s="3"/>
      <c r="G866" s="3"/>
      <c r="H866" s="3"/>
      <c r="I866" s="3"/>
      <c r="J866" s="3"/>
      <c r="K866" s="3"/>
      <c r="L866" s="3"/>
      <c r="M866" s="3"/>
      <c r="N866" s="3"/>
      <c r="O866" s="3"/>
      <c r="P866" s="3"/>
      <c r="Q866" s="261"/>
      <c r="R866" s="261"/>
    </row>
    <row r="867" spans="1:18" x14ac:dyDescent="0.35">
      <c r="A867" s="3"/>
      <c r="B867" s="3"/>
      <c r="C867" s="3"/>
      <c r="D867" s="3"/>
      <c r="E867" s="3"/>
      <c r="F867" s="3"/>
      <c r="G867" s="3"/>
      <c r="H867" s="3"/>
      <c r="I867" s="3"/>
      <c r="J867" s="3"/>
      <c r="K867" s="3"/>
      <c r="L867" s="3"/>
      <c r="M867" s="3"/>
      <c r="N867" s="3"/>
      <c r="O867" s="3"/>
      <c r="P867" s="3"/>
      <c r="Q867" s="261"/>
      <c r="R867" s="261"/>
    </row>
    <row r="868" spans="1:18" x14ac:dyDescent="0.35">
      <c r="A868" s="3"/>
      <c r="B868" s="3"/>
      <c r="C868" s="3"/>
      <c r="D868" s="3"/>
      <c r="E868" s="3"/>
      <c r="F868" s="3"/>
      <c r="G868" s="3"/>
      <c r="H868" s="3"/>
      <c r="I868" s="3"/>
      <c r="J868" s="3"/>
      <c r="K868" s="3"/>
      <c r="L868" s="3"/>
      <c r="M868" s="3"/>
      <c r="N868" s="3"/>
      <c r="O868" s="3"/>
      <c r="P868" s="3"/>
      <c r="Q868" s="261"/>
      <c r="R868" s="261"/>
    </row>
    <row r="869" spans="1:18" x14ac:dyDescent="0.35">
      <c r="A869" s="3"/>
      <c r="B869" s="3"/>
      <c r="C869" s="3"/>
      <c r="D869" s="3"/>
      <c r="E869" s="3"/>
      <c r="F869" s="3"/>
      <c r="G869" s="3"/>
      <c r="H869" s="3"/>
      <c r="I869" s="3"/>
      <c r="J869" s="3"/>
      <c r="K869" s="3"/>
      <c r="L869" s="3"/>
      <c r="M869" s="3"/>
      <c r="N869" s="3"/>
      <c r="O869" s="3"/>
      <c r="P869" s="3"/>
      <c r="Q869" s="261"/>
      <c r="R869" s="261"/>
    </row>
    <row r="870" spans="1:18" x14ac:dyDescent="0.35">
      <c r="A870" s="3"/>
      <c r="B870" s="3"/>
      <c r="C870" s="3"/>
      <c r="D870" s="3"/>
      <c r="E870" s="3"/>
      <c r="F870" s="3"/>
      <c r="G870" s="3"/>
      <c r="H870" s="3"/>
      <c r="I870" s="3"/>
      <c r="J870" s="3"/>
      <c r="K870" s="3"/>
      <c r="L870" s="3"/>
      <c r="M870" s="3"/>
      <c r="N870" s="3"/>
      <c r="O870" s="3"/>
      <c r="P870" s="3"/>
      <c r="Q870" s="261"/>
      <c r="R870" s="261"/>
    </row>
    <row r="871" spans="1:18" x14ac:dyDescent="0.35">
      <c r="A871" s="3"/>
      <c r="B871" s="3"/>
      <c r="C871" s="3"/>
      <c r="D871" s="3"/>
      <c r="E871" s="3"/>
      <c r="F871" s="3"/>
      <c r="G871" s="3"/>
      <c r="H871" s="3"/>
      <c r="I871" s="3"/>
      <c r="J871" s="3"/>
      <c r="K871" s="3"/>
      <c r="L871" s="3"/>
      <c r="M871" s="3"/>
      <c r="N871" s="3"/>
      <c r="O871" s="3"/>
      <c r="P871" s="3"/>
      <c r="Q871" s="261"/>
      <c r="R871" s="261"/>
    </row>
    <row r="872" spans="1:18" x14ac:dyDescent="0.35">
      <c r="A872" s="3"/>
      <c r="B872" s="3"/>
      <c r="C872" s="3"/>
      <c r="D872" s="3"/>
      <c r="E872" s="3"/>
      <c r="F872" s="3"/>
      <c r="G872" s="3"/>
      <c r="H872" s="3"/>
      <c r="I872" s="3"/>
      <c r="J872" s="3"/>
      <c r="K872" s="3"/>
      <c r="L872" s="3"/>
      <c r="M872" s="3"/>
      <c r="N872" s="3"/>
      <c r="O872" s="3"/>
      <c r="P872" s="3"/>
      <c r="Q872" s="261"/>
      <c r="R872" s="261"/>
    </row>
    <row r="873" spans="1:18" x14ac:dyDescent="0.35">
      <c r="A873" s="3"/>
      <c r="B873" s="3"/>
      <c r="C873" s="3"/>
      <c r="D873" s="3"/>
      <c r="E873" s="3"/>
      <c r="F873" s="3"/>
      <c r="G873" s="3"/>
      <c r="H873" s="3"/>
      <c r="I873" s="3"/>
      <c r="J873" s="3"/>
      <c r="K873" s="3"/>
      <c r="L873" s="3"/>
      <c r="M873" s="3"/>
      <c r="N873" s="3"/>
      <c r="O873" s="3"/>
      <c r="P873" s="3"/>
      <c r="Q873" s="261"/>
      <c r="R873" s="261"/>
    </row>
    <row r="874" spans="1:18" x14ac:dyDescent="0.35">
      <c r="A874" s="3"/>
      <c r="B874" s="3"/>
      <c r="C874" s="3"/>
      <c r="D874" s="3"/>
      <c r="E874" s="3"/>
      <c r="F874" s="3"/>
      <c r="G874" s="3"/>
      <c r="H874" s="3"/>
      <c r="I874" s="3"/>
      <c r="J874" s="3"/>
      <c r="K874" s="3"/>
      <c r="L874" s="3"/>
      <c r="M874" s="3"/>
      <c r="N874" s="3"/>
      <c r="O874" s="3"/>
      <c r="P874" s="3"/>
      <c r="Q874" s="261"/>
      <c r="R874" s="261"/>
    </row>
    <row r="875" spans="1:18" x14ac:dyDescent="0.35">
      <c r="A875" s="3"/>
      <c r="B875" s="3"/>
      <c r="C875" s="3"/>
      <c r="D875" s="3"/>
      <c r="E875" s="3"/>
      <c r="F875" s="3"/>
      <c r="G875" s="3"/>
      <c r="H875" s="3"/>
      <c r="I875" s="3"/>
      <c r="J875" s="3"/>
      <c r="K875" s="3"/>
      <c r="L875" s="3"/>
      <c r="M875" s="3"/>
      <c r="N875" s="3"/>
      <c r="O875" s="3"/>
      <c r="P875" s="3"/>
      <c r="Q875" s="261"/>
      <c r="R875" s="261"/>
    </row>
    <row r="876" spans="1:18" x14ac:dyDescent="0.35">
      <c r="A876" s="3"/>
      <c r="B876" s="3"/>
      <c r="C876" s="3"/>
      <c r="D876" s="3"/>
      <c r="E876" s="3"/>
      <c r="F876" s="3"/>
      <c r="G876" s="3"/>
      <c r="H876" s="3"/>
      <c r="I876" s="3"/>
      <c r="J876" s="3"/>
      <c r="K876" s="3"/>
      <c r="L876" s="3"/>
      <c r="M876" s="3"/>
      <c r="N876" s="3"/>
      <c r="O876" s="3"/>
      <c r="P876" s="3"/>
      <c r="Q876" s="261"/>
      <c r="R876" s="261"/>
    </row>
    <row r="877" spans="1:18" x14ac:dyDescent="0.35">
      <c r="A877" s="3"/>
      <c r="B877" s="3"/>
      <c r="C877" s="3"/>
      <c r="D877" s="3"/>
      <c r="E877" s="3"/>
      <c r="F877" s="3"/>
      <c r="G877" s="3"/>
      <c r="H877" s="3"/>
      <c r="I877" s="3"/>
      <c r="J877" s="3"/>
      <c r="K877" s="3"/>
      <c r="L877" s="3"/>
      <c r="M877" s="3"/>
      <c r="N877" s="3"/>
      <c r="O877" s="3"/>
      <c r="P877" s="3"/>
      <c r="Q877" s="261"/>
      <c r="R877" s="261"/>
    </row>
    <row r="878" spans="1:18" x14ac:dyDescent="0.35">
      <c r="A878" s="3"/>
      <c r="B878" s="3"/>
      <c r="C878" s="3"/>
      <c r="D878" s="3"/>
      <c r="E878" s="3"/>
      <c r="F878" s="3"/>
      <c r="G878" s="3"/>
      <c r="H878" s="3"/>
      <c r="I878" s="3"/>
      <c r="J878" s="3"/>
      <c r="K878" s="3"/>
      <c r="L878" s="3"/>
      <c r="M878" s="3"/>
      <c r="N878" s="3"/>
      <c r="O878" s="3"/>
      <c r="P878" s="3"/>
      <c r="Q878" s="261"/>
      <c r="R878" s="261"/>
    </row>
    <row r="879" spans="1:18" x14ac:dyDescent="0.35">
      <c r="A879" s="3"/>
      <c r="B879" s="3"/>
      <c r="C879" s="3"/>
      <c r="D879" s="3"/>
      <c r="E879" s="3"/>
      <c r="F879" s="3"/>
      <c r="G879" s="3"/>
      <c r="H879" s="3"/>
      <c r="I879" s="3"/>
      <c r="J879" s="3"/>
      <c r="K879" s="3"/>
      <c r="L879" s="3"/>
      <c r="M879" s="3"/>
      <c r="N879" s="3"/>
      <c r="O879" s="3"/>
      <c r="P879" s="3"/>
      <c r="Q879" s="261"/>
      <c r="R879" s="261"/>
    </row>
    <row r="880" spans="1:18" x14ac:dyDescent="0.35">
      <c r="A880" s="3"/>
      <c r="B880" s="3"/>
      <c r="C880" s="3"/>
      <c r="D880" s="3"/>
      <c r="E880" s="3"/>
      <c r="F880" s="3"/>
      <c r="G880" s="3"/>
      <c r="H880" s="3"/>
      <c r="I880" s="3"/>
      <c r="J880" s="3"/>
      <c r="K880" s="3"/>
      <c r="L880" s="3"/>
      <c r="M880" s="3"/>
      <c r="N880" s="3"/>
      <c r="O880" s="3"/>
      <c r="P880" s="3"/>
      <c r="Q880" s="261"/>
      <c r="R880" s="261"/>
    </row>
    <row r="881" spans="1:18" x14ac:dyDescent="0.35">
      <c r="A881" s="3"/>
      <c r="B881" s="3"/>
      <c r="C881" s="3"/>
      <c r="D881" s="3"/>
      <c r="E881" s="3"/>
      <c r="F881" s="3"/>
      <c r="G881" s="3"/>
      <c r="H881" s="3"/>
      <c r="I881" s="3"/>
      <c r="J881" s="3"/>
      <c r="K881" s="3"/>
      <c r="L881" s="3"/>
      <c r="M881" s="3"/>
      <c r="N881" s="3"/>
      <c r="O881" s="3"/>
      <c r="P881" s="3"/>
      <c r="Q881" s="261"/>
      <c r="R881" s="261"/>
    </row>
    <row r="882" spans="1:18" x14ac:dyDescent="0.35">
      <c r="A882" s="3"/>
      <c r="B882" s="3"/>
      <c r="C882" s="3"/>
      <c r="D882" s="3"/>
      <c r="E882" s="3"/>
      <c r="F882" s="3"/>
      <c r="G882" s="3"/>
      <c r="H882" s="3"/>
      <c r="I882" s="3"/>
      <c r="J882" s="3"/>
      <c r="K882" s="3"/>
      <c r="L882" s="3"/>
      <c r="M882" s="3"/>
      <c r="N882" s="3"/>
      <c r="O882" s="3"/>
      <c r="P882" s="3"/>
      <c r="Q882" s="261"/>
      <c r="R882" s="261"/>
    </row>
    <row r="883" spans="1:18" x14ac:dyDescent="0.35">
      <c r="A883" s="3"/>
      <c r="B883" s="3"/>
      <c r="C883" s="3"/>
      <c r="D883" s="3"/>
      <c r="E883" s="3"/>
      <c r="F883" s="3"/>
      <c r="G883" s="3"/>
      <c r="H883" s="3"/>
      <c r="I883" s="3"/>
      <c r="J883" s="3"/>
      <c r="K883" s="3"/>
      <c r="L883" s="3"/>
      <c r="M883" s="3"/>
      <c r="N883" s="3"/>
      <c r="O883" s="3"/>
      <c r="P883" s="3"/>
      <c r="Q883" s="261"/>
      <c r="R883" s="261"/>
    </row>
    <row r="884" spans="1:18" x14ac:dyDescent="0.35">
      <c r="A884" s="3"/>
      <c r="B884" s="3"/>
      <c r="C884" s="3"/>
      <c r="D884" s="3"/>
      <c r="E884" s="3"/>
      <c r="F884" s="3"/>
      <c r="G884" s="3"/>
      <c r="H884" s="3"/>
      <c r="I884" s="3"/>
      <c r="J884" s="3"/>
      <c r="K884" s="3"/>
      <c r="L884" s="3"/>
      <c r="M884" s="3"/>
      <c r="N884" s="3"/>
      <c r="O884" s="3"/>
      <c r="P884" s="3"/>
      <c r="Q884" s="261"/>
      <c r="R884" s="261"/>
    </row>
    <row r="885" spans="1:18" x14ac:dyDescent="0.35">
      <c r="A885" s="3"/>
      <c r="B885" s="3"/>
      <c r="C885" s="3"/>
      <c r="D885" s="3"/>
      <c r="E885" s="3"/>
      <c r="F885" s="3"/>
      <c r="G885" s="3"/>
      <c r="H885" s="3"/>
      <c r="I885" s="3"/>
      <c r="J885" s="3"/>
      <c r="K885" s="3"/>
      <c r="L885" s="3"/>
      <c r="M885" s="3"/>
      <c r="N885" s="3"/>
      <c r="O885" s="3"/>
      <c r="P885" s="3"/>
      <c r="Q885" s="261"/>
      <c r="R885" s="261"/>
    </row>
    <row r="886" spans="1:18" x14ac:dyDescent="0.35">
      <c r="A886" s="3"/>
      <c r="B886" s="3"/>
      <c r="C886" s="3"/>
      <c r="D886" s="3"/>
      <c r="E886" s="3"/>
      <c r="F886" s="3"/>
      <c r="G886" s="3"/>
      <c r="H886" s="3"/>
      <c r="I886" s="3"/>
      <c r="J886" s="3"/>
      <c r="K886" s="3"/>
      <c r="L886" s="3"/>
      <c r="M886" s="3"/>
      <c r="N886" s="3"/>
      <c r="O886" s="3"/>
      <c r="P886" s="3"/>
      <c r="Q886" s="261"/>
      <c r="R886" s="261"/>
    </row>
    <row r="887" spans="1:18" x14ac:dyDescent="0.35">
      <c r="A887" s="3"/>
      <c r="B887" s="3"/>
      <c r="C887" s="3"/>
      <c r="D887" s="3"/>
      <c r="E887" s="3"/>
      <c r="F887" s="3"/>
      <c r="G887" s="3"/>
      <c r="H887" s="3"/>
      <c r="I887" s="3"/>
      <c r="J887" s="3"/>
      <c r="K887" s="3"/>
      <c r="L887" s="3"/>
      <c r="M887" s="3"/>
      <c r="N887" s="3"/>
      <c r="O887" s="3"/>
      <c r="P887" s="3"/>
      <c r="Q887" s="261"/>
      <c r="R887" s="261"/>
    </row>
    <row r="888" spans="1:18" x14ac:dyDescent="0.35">
      <c r="A888" s="3"/>
      <c r="B888" s="3"/>
      <c r="C888" s="3"/>
      <c r="D888" s="3"/>
      <c r="E888" s="3"/>
      <c r="F888" s="3"/>
      <c r="G888" s="3"/>
      <c r="H888" s="3"/>
      <c r="I888" s="3"/>
      <c r="J888" s="3"/>
      <c r="K888" s="3"/>
      <c r="L888" s="3"/>
      <c r="M888" s="3"/>
      <c r="N888" s="3"/>
      <c r="O888" s="3"/>
      <c r="P888" s="3"/>
      <c r="Q888" s="261"/>
      <c r="R888" s="261"/>
    </row>
    <row r="889" spans="1:18" x14ac:dyDescent="0.35">
      <c r="A889" s="3"/>
      <c r="B889" s="3"/>
      <c r="C889" s="3"/>
      <c r="D889" s="3"/>
      <c r="E889" s="3"/>
      <c r="F889" s="3"/>
      <c r="G889" s="3"/>
      <c r="H889" s="3"/>
      <c r="I889" s="3"/>
      <c r="J889" s="3"/>
      <c r="K889" s="3"/>
      <c r="L889" s="3"/>
      <c r="M889" s="3"/>
      <c r="N889" s="3"/>
      <c r="O889" s="3"/>
      <c r="P889" s="3"/>
      <c r="Q889" s="261"/>
      <c r="R889" s="261"/>
    </row>
    <row r="890" spans="1:18" x14ac:dyDescent="0.35">
      <c r="A890" s="3"/>
      <c r="B890" s="3"/>
      <c r="C890" s="3"/>
      <c r="D890" s="3"/>
      <c r="E890" s="3"/>
      <c r="F890" s="3"/>
      <c r="G890" s="3"/>
      <c r="H890" s="3"/>
      <c r="I890" s="3"/>
      <c r="J890" s="3"/>
      <c r="K890" s="3"/>
      <c r="L890" s="3"/>
      <c r="M890" s="3"/>
      <c r="N890" s="3"/>
      <c r="O890" s="3"/>
      <c r="P890" s="3"/>
      <c r="Q890" s="261"/>
      <c r="R890" s="261"/>
    </row>
    <row r="891" spans="1:18" x14ac:dyDescent="0.35">
      <c r="A891" s="3"/>
      <c r="B891" s="3"/>
      <c r="C891" s="3"/>
      <c r="D891" s="3"/>
      <c r="E891" s="3"/>
      <c r="F891" s="3"/>
      <c r="G891" s="3"/>
      <c r="H891" s="3"/>
      <c r="I891" s="3"/>
      <c r="J891" s="3"/>
      <c r="K891" s="3"/>
      <c r="L891" s="3"/>
      <c r="M891" s="3"/>
      <c r="N891" s="3"/>
      <c r="O891" s="3"/>
      <c r="P891" s="3"/>
      <c r="Q891" s="261"/>
      <c r="R891" s="261"/>
    </row>
    <row r="892" spans="1:18" x14ac:dyDescent="0.35">
      <c r="A892" s="3"/>
      <c r="B892" s="3"/>
      <c r="C892" s="3"/>
      <c r="D892" s="3"/>
      <c r="E892" s="3"/>
      <c r="F892" s="3"/>
      <c r="G892" s="3"/>
      <c r="H892" s="3"/>
      <c r="I892" s="3"/>
      <c r="J892" s="3"/>
      <c r="K892" s="3"/>
      <c r="L892" s="3"/>
      <c r="M892" s="3"/>
      <c r="N892" s="3"/>
      <c r="O892" s="3"/>
      <c r="P892" s="3"/>
      <c r="Q892" s="261"/>
      <c r="R892" s="261"/>
    </row>
    <row r="893" spans="1:18" x14ac:dyDescent="0.35">
      <c r="A893" s="3"/>
      <c r="B893" s="3"/>
      <c r="C893" s="3"/>
      <c r="D893" s="3"/>
      <c r="E893" s="3"/>
      <c r="F893" s="3"/>
      <c r="G893" s="3"/>
      <c r="H893" s="3"/>
      <c r="I893" s="3"/>
      <c r="J893" s="3"/>
      <c r="K893" s="3"/>
      <c r="L893" s="3"/>
      <c r="M893" s="3"/>
      <c r="N893" s="3"/>
      <c r="O893" s="3"/>
      <c r="P893" s="3"/>
      <c r="Q893" s="261"/>
      <c r="R893" s="261"/>
    </row>
    <row r="894" spans="1:18" x14ac:dyDescent="0.35">
      <c r="A894" s="3"/>
      <c r="B894" s="3"/>
      <c r="C894" s="3"/>
      <c r="D894" s="3"/>
      <c r="E894" s="3"/>
      <c r="F894" s="3"/>
      <c r="G894" s="3"/>
      <c r="H894" s="3"/>
      <c r="I894" s="3"/>
      <c r="J894" s="3"/>
      <c r="K894" s="3"/>
      <c r="L894" s="3"/>
      <c r="M894" s="3"/>
      <c r="N894" s="3"/>
      <c r="O894" s="3"/>
      <c r="P894" s="3"/>
      <c r="Q894" s="261"/>
      <c r="R894" s="261"/>
    </row>
    <row r="895" spans="1:18" x14ac:dyDescent="0.35">
      <c r="A895" s="3"/>
      <c r="B895" s="3"/>
      <c r="C895" s="3"/>
      <c r="D895" s="3"/>
      <c r="E895" s="3"/>
      <c r="F895" s="3"/>
      <c r="G895" s="3"/>
      <c r="H895" s="3"/>
      <c r="I895" s="3"/>
      <c r="J895" s="3"/>
      <c r="K895" s="3"/>
      <c r="L895" s="3"/>
      <c r="M895" s="3"/>
      <c r="N895" s="3"/>
      <c r="O895" s="3"/>
      <c r="P895" s="3"/>
      <c r="Q895" s="261"/>
      <c r="R895" s="261"/>
    </row>
    <row r="896" spans="1:18" x14ac:dyDescent="0.35">
      <c r="A896" s="3"/>
      <c r="B896" s="3"/>
      <c r="C896" s="3"/>
      <c r="D896" s="3"/>
      <c r="E896" s="3"/>
      <c r="F896" s="3"/>
      <c r="G896" s="3"/>
      <c r="H896" s="3"/>
      <c r="I896" s="3"/>
      <c r="J896" s="3"/>
      <c r="K896" s="3"/>
      <c r="L896" s="3"/>
      <c r="M896" s="3"/>
      <c r="N896" s="3"/>
      <c r="O896" s="3"/>
      <c r="P896" s="3"/>
      <c r="Q896" s="261"/>
      <c r="R896" s="261"/>
    </row>
    <row r="897" spans="1:18" x14ac:dyDescent="0.35">
      <c r="A897" s="3"/>
      <c r="B897" s="3"/>
      <c r="C897" s="3"/>
      <c r="D897" s="3"/>
      <c r="E897" s="3"/>
      <c r="F897" s="3"/>
      <c r="G897" s="3"/>
      <c r="H897" s="3"/>
      <c r="I897" s="3"/>
      <c r="J897" s="3"/>
      <c r="K897" s="3"/>
      <c r="L897" s="3"/>
      <c r="M897" s="3"/>
      <c r="N897" s="3"/>
      <c r="O897" s="3"/>
      <c r="P897" s="3"/>
      <c r="Q897" s="261"/>
      <c r="R897" s="261"/>
    </row>
    <row r="898" spans="1:18" x14ac:dyDescent="0.35">
      <c r="A898" s="3"/>
      <c r="B898" s="3"/>
      <c r="C898" s="3"/>
      <c r="D898" s="3"/>
      <c r="E898" s="3"/>
      <c r="F898" s="3"/>
      <c r="G898" s="3"/>
      <c r="H898" s="3"/>
      <c r="I898" s="3"/>
      <c r="J898" s="3"/>
      <c r="K898" s="3"/>
      <c r="L898" s="3"/>
      <c r="M898" s="3"/>
      <c r="N898" s="3"/>
      <c r="O898" s="3"/>
      <c r="P898" s="3"/>
      <c r="Q898" s="261"/>
      <c r="R898" s="261"/>
    </row>
    <row r="899" spans="1:18" x14ac:dyDescent="0.35">
      <c r="A899" s="3"/>
      <c r="B899" s="3"/>
      <c r="C899" s="3"/>
      <c r="D899" s="3"/>
      <c r="E899" s="3"/>
      <c r="F899" s="3"/>
      <c r="G899" s="3"/>
      <c r="H899" s="3"/>
      <c r="I899" s="3"/>
      <c r="J899" s="3"/>
      <c r="K899" s="3"/>
      <c r="L899" s="3"/>
      <c r="M899" s="3"/>
      <c r="N899" s="3"/>
      <c r="O899" s="3"/>
      <c r="P899" s="3"/>
      <c r="Q899" s="261"/>
      <c r="R899" s="261"/>
    </row>
    <row r="900" spans="1:18" x14ac:dyDescent="0.35">
      <c r="A900" s="3"/>
      <c r="B900" s="3"/>
      <c r="C900" s="3"/>
      <c r="D900" s="3"/>
      <c r="E900" s="3"/>
      <c r="F900" s="3"/>
      <c r="G900" s="3"/>
      <c r="H900" s="3"/>
      <c r="I900" s="3"/>
      <c r="J900" s="3"/>
      <c r="K900" s="3"/>
      <c r="L900" s="3"/>
      <c r="M900" s="3"/>
      <c r="N900" s="3"/>
      <c r="O900" s="3"/>
      <c r="P900" s="3"/>
      <c r="Q900" s="261"/>
      <c r="R900" s="261"/>
    </row>
    <row r="901" spans="1:18" x14ac:dyDescent="0.35">
      <c r="A901" s="3"/>
      <c r="B901" s="3"/>
      <c r="C901" s="3"/>
      <c r="D901" s="3"/>
      <c r="E901" s="3"/>
      <c r="F901" s="3"/>
      <c r="G901" s="3"/>
      <c r="H901" s="3"/>
      <c r="I901" s="3"/>
      <c r="J901" s="3"/>
      <c r="K901" s="3"/>
      <c r="L901" s="3"/>
      <c r="M901" s="3"/>
      <c r="N901" s="3"/>
      <c r="O901" s="3"/>
      <c r="P901" s="3"/>
      <c r="Q901" s="261"/>
      <c r="R901" s="261"/>
    </row>
    <row r="902" spans="1:18" x14ac:dyDescent="0.35">
      <c r="A902" s="3"/>
      <c r="B902" s="3"/>
      <c r="C902" s="3"/>
      <c r="D902" s="3"/>
      <c r="E902" s="3"/>
      <c r="F902" s="3"/>
      <c r="G902" s="3"/>
      <c r="H902" s="3"/>
      <c r="I902" s="3"/>
      <c r="J902" s="3"/>
      <c r="K902" s="3"/>
      <c r="L902" s="3"/>
      <c r="M902" s="3"/>
      <c r="N902" s="3"/>
      <c r="O902" s="3"/>
      <c r="P902" s="3"/>
      <c r="Q902" s="261"/>
      <c r="R902" s="261"/>
    </row>
    <row r="903" spans="1:18" x14ac:dyDescent="0.35">
      <c r="A903" s="3"/>
      <c r="B903" s="3"/>
      <c r="C903" s="3"/>
      <c r="D903" s="3"/>
      <c r="E903" s="3"/>
      <c r="F903" s="3"/>
      <c r="G903" s="3"/>
      <c r="H903" s="3"/>
      <c r="I903" s="3"/>
      <c r="J903" s="3"/>
      <c r="K903" s="3"/>
      <c r="L903" s="3"/>
      <c r="M903" s="3"/>
      <c r="N903" s="3"/>
      <c r="O903" s="3"/>
      <c r="P903" s="3"/>
      <c r="Q903" s="261"/>
      <c r="R903" s="261"/>
    </row>
    <row r="904" spans="1:18" x14ac:dyDescent="0.35">
      <c r="A904" s="3"/>
      <c r="B904" s="3"/>
      <c r="C904" s="3"/>
      <c r="D904" s="3"/>
      <c r="E904" s="3"/>
      <c r="F904" s="3"/>
      <c r="G904" s="3"/>
      <c r="H904" s="3"/>
      <c r="I904" s="3"/>
      <c r="J904" s="3"/>
      <c r="K904" s="3"/>
      <c r="L904" s="3"/>
      <c r="M904" s="3"/>
      <c r="N904" s="3"/>
      <c r="O904" s="3"/>
      <c r="P904" s="3"/>
      <c r="Q904" s="261"/>
      <c r="R904" s="261"/>
    </row>
    <row r="905" spans="1:18" x14ac:dyDescent="0.35">
      <c r="A905" s="3"/>
      <c r="B905" s="3"/>
      <c r="C905" s="3"/>
      <c r="D905" s="3"/>
      <c r="E905" s="3"/>
      <c r="F905" s="3"/>
      <c r="G905" s="3"/>
      <c r="H905" s="3"/>
      <c r="I905" s="3"/>
      <c r="J905" s="3"/>
      <c r="K905" s="3"/>
      <c r="L905" s="3"/>
      <c r="M905" s="3"/>
      <c r="N905" s="3"/>
      <c r="O905" s="3"/>
      <c r="P905" s="3"/>
      <c r="Q905" s="261"/>
      <c r="R905" s="261"/>
    </row>
    <row r="906" spans="1:18" x14ac:dyDescent="0.35">
      <c r="A906" s="3"/>
      <c r="B906" s="3"/>
      <c r="C906" s="3"/>
      <c r="D906" s="3"/>
      <c r="E906" s="3"/>
      <c r="F906" s="3"/>
      <c r="G906" s="3"/>
      <c r="H906" s="3"/>
      <c r="I906" s="3"/>
      <c r="J906" s="3"/>
      <c r="K906" s="3"/>
      <c r="L906" s="3"/>
      <c r="M906" s="3"/>
      <c r="N906" s="3"/>
      <c r="O906" s="3"/>
      <c r="P906" s="3"/>
      <c r="Q906" s="261"/>
      <c r="R906" s="261"/>
    </row>
    <row r="907" spans="1:18" x14ac:dyDescent="0.35">
      <c r="A907" s="3"/>
      <c r="B907" s="3"/>
      <c r="C907" s="3"/>
      <c r="D907" s="3"/>
      <c r="E907" s="3"/>
      <c r="F907" s="3"/>
      <c r="G907" s="3"/>
      <c r="H907" s="3"/>
      <c r="I907" s="3"/>
      <c r="J907" s="3"/>
      <c r="K907" s="3"/>
      <c r="L907" s="3"/>
      <c r="M907" s="3"/>
      <c r="N907" s="3"/>
      <c r="O907" s="3"/>
      <c r="P907" s="3"/>
      <c r="Q907" s="261"/>
      <c r="R907" s="261"/>
    </row>
    <row r="908" spans="1:18" x14ac:dyDescent="0.35">
      <c r="A908" s="3"/>
      <c r="B908" s="3"/>
      <c r="C908" s="3"/>
      <c r="D908" s="3"/>
      <c r="E908" s="3"/>
      <c r="F908" s="3"/>
      <c r="G908" s="3"/>
      <c r="H908" s="3"/>
      <c r="I908" s="3"/>
      <c r="J908" s="3"/>
      <c r="K908" s="3"/>
      <c r="L908" s="3"/>
      <c r="M908" s="3"/>
      <c r="N908" s="3"/>
      <c r="O908" s="3"/>
      <c r="P908" s="3"/>
      <c r="Q908" s="261"/>
      <c r="R908" s="261"/>
    </row>
    <row r="909" spans="1:18" x14ac:dyDescent="0.35">
      <c r="A909" s="3"/>
      <c r="B909" s="3"/>
      <c r="C909" s="3"/>
      <c r="D909" s="3"/>
      <c r="E909" s="3"/>
      <c r="F909" s="3"/>
      <c r="G909" s="3"/>
      <c r="H909" s="3"/>
      <c r="I909" s="3"/>
      <c r="J909" s="3"/>
      <c r="K909" s="3"/>
      <c r="L909" s="3"/>
      <c r="M909" s="3"/>
      <c r="N909" s="3"/>
      <c r="O909" s="3"/>
      <c r="P909" s="3"/>
      <c r="Q909" s="261"/>
      <c r="R909" s="261"/>
    </row>
    <row r="910" spans="1:18" x14ac:dyDescent="0.35">
      <c r="A910" s="3"/>
      <c r="B910" s="3"/>
      <c r="C910" s="3"/>
      <c r="D910" s="3"/>
      <c r="E910" s="3"/>
      <c r="F910" s="3"/>
      <c r="G910" s="3"/>
      <c r="H910" s="3"/>
      <c r="I910" s="3"/>
      <c r="J910" s="3"/>
      <c r="K910" s="3"/>
      <c r="L910" s="3"/>
      <c r="M910" s="3"/>
      <c r="N910" s="3"/>
      <c r="O910" s="3"/>
      <c r="P910" s="3"/>
      <c r="Q910" s="261"/>
      <c r="R910" s="261"/>
    </row>
    <row r="911" spans="1:18" x14ac:dyDescent="0.35">
      <c r="A911" s="3"/>
      <c r="B911" s="3"/>
      <c r="C911" s="3"/>
      <c r="D911" s="3"/>
      <c r="E911" s="3"/>
      <c r="F911" s="3"/>
      <c r="G911" s="3"/>
      <c r="H911" s="3"/>
      <c r="I911" s="3"/>
      <c r="J911" s="3"/>
      <c r="K911" s="3"/>
      <c r="L911" s="3"/>
      <c r="M911" s="3"/>
      <c r="N911" s="3"/>
      <c r="O911" s="3"/>
      <c r="P911" s="3"/>
      <c r="Q911" s="261"/>
      <c r="R911" s="261"/>
    </row>
    <row r="912" spans="1:18" x14ac:dyDescent="0.35">
      <c r="A912" s="3"/>
      <c r="B912" s="3"/>
      <c r="C912" s="3"/>
      <c r="D912" s="3"/>
      <c r="E912" s="3"/>
      <c r="F912" s="3"/>
      <c r="G912" s="3"/>
      <c r="H912" s="3"/>
      <c r="I912" s="3"/>
      <c r="J912" s="3"/>
      <c r="K912" s="3"/>
      <c r="L912" s="3"/>
      <c r="M912" s="3"/>
      <c r="N912" s="3"/>
      <c r="O912" s="3"/>
      <c r="P912" s="3"/>
      <c r="Q912" s="261"/>
      <c r="R912" s="261"/>
    </row>
    <row r="913" spans="1:18" x14ac:dyDescent="0.35">
      <c r="A913" s="3"/>
      <c r="B913" s="3"/>
      <c r="C913" s="3"/>
      <c r="D913" s="3"/>
      <c r="E913" s="3"/>
      <c r="F913" s="3"/>
      <c r="G913" s="3"/>
      <c r="H913" s="3"/>
      <c r="I913" s="3"/>
      <c r="J913" s="3"/>
      <c r="K913" s="3"/>
      <c r="L913" s="3"/>
      <c r="M913" s="3"/>
      <c r="N913" s="3"/>
      <c r="O913" s="3"/>
      <c r="P913" s="3"/>
      <c r="Q913" s="261"/>
      <c r="R913" s="261"/>
    </row>
    <row r="914" spans="1:18" x14ac:dyDescent="0.35">
      <c r="A914" s="3"/>
      <c r="B914" s="3"/>
      <c r="C914" s="3"/>
      <c r="D914" s="3"/>
      <c r="E914" s="3"/>
      <c r="F914" s="3"/>
      <c r="G914" s="3"/>
      <c r="H914" s="3"/>
      <c r="I914" s="3"/>
      <c r="J914" s="3"/>
      <c r="K914" s="3"/>
      <c r="L914" s="3"/>
      <c r="M914" s="3"/>
      <c r="N914" s="3"/>
      <c r="O914" s="3"/>
      <c r="P914" s="3"/>
      <c r="Q914" s="261"/>
      <c r="R914" s="261"/>
    </row>
    <row r="915" spans="1:18" x14ac:dyDescent="0.35">
      <c r="A915" s="3"/>
      <c r="B915" s="3"/>
      <c r="C915" s="3"/>
      <c r="D915" s="3"/>
      <c r="E915" s="3"/>
      <c r="F915" s="3"/>
      <c r="G915" s="3"/>
      <c r="H915" s="3"/>
      <c r="I915" s="3"/>
      <c r="J915" s="3"/>
      <c r="K915" s="3"/>
      <c r="L915" s="3"/>
      <c r="M915" s="3"/>
      <c r="N915" s="3"/>
      <c r="O915" s="3"/>
      <c r="P915" s="3"/>
      <c r="Q915" s="261"/>
      <c r="R915" s="261"/>
    </row>
    <row r="916" spans="1:18" x14ac:dyDescent="0.35">
      <c r="A916" s="3"/>
      <c r="B916" s="3"/>
      <c r="C916" s="3"/>
      <c r="D916" s="3"/>
      <c r="E916" s="3"/>
      <c r="F916" s="3"/>
      <c r="G916" s="3"/>
      <c r="H916" s="3"/>
      <c r="I916" s="3"/>
      <c r="J916" s="3"/>
      <c r="K916" s="3"/>
      <c r="L916" s="3"/>
      <c r="M916" s="3"/>
      <c r="N916" s="3"/>
      <c r="O916" s="3"/>
      <c r="P916" s="3"/>
      <c r="Q916" s="261"/>
      <c r="R916" s="261"/>
    </row>
    <row r="917" spans="1:18" x14ac:dyDescent="0.35">
      <c r="A917" s="3"/>
      <c r="B917" s="3"/>
      <c r="C917" s="3"/>
      <c r="D917" s="3"/>
      <c r="E917" s="3"/>
      <c r="F917" s="3"/>
      <c r="G917" s="3"/>
      <c r="H917" s="3"/>
      <c r="I917" s="3"/>
      <c r="J917" s="3"/>
      <c r="K917" s="3"/>
      <c r="L917" s="3"/>
      <c r="M917" s="3"/>
      <c r="N917" s="3"/>
      <c r="O917" s="3"/>
      <c r="P917" s="3"/>
      <c r="Q917" s="261"/>
      <c r="R917" s="261"/>
    </row>
    <row r="918" spans="1:18" x14ac:dyDescent="0.35">
      <c r="A918" s="3"/>
      <c r="B918" s="3"/>
      <c r="C918" s="3"/>
      <c r="D918" s="3"/>
      <c r="E918" s="3"/>
      <c r="F918" s="3"/>
      <c r="G918" s="3"/>
      <c r="H918" s="3"/>
      <c r="I918" s="3"/>
      <c r="J918" s="3"/>
      <c r="K918" s="3"/>
      <c r="L918" s="3"/>
      <c r="M918" s="3"/>
      <c r="N918" s="3"/>
      <c r="O918" s="3"/>
      <c r="P918" s="3"/>
      <c r="Q918" s="261"/>
      <c r="R918" s="261"/>
    </row>
    <row r="919" spans="1:18" x14ac:dyDescent="0.35">
      <c r="A919" s="3"/>
      <c r="B919" s="3"/>
      <c r="C919" s="3"/>
      <c r="D919" s="3"/>
      <c r="E919" s="3"/>
      <c r="F919" s="3"/>
      <c r="G919" s="3"/>
      <c r="H919" s="3"/>
      <c r="I919" s="3"/>
      <c r="J919" s="3"/>
      <c r="K919" s="3"/>
      <c r="L919" s="3"/>
      <c r="M919" s="3"/>
      <c r="N919" s="3"/>
      <c r="O919" s="3"/>
      <c r="P919" s="3"/>
      <c r="Q919" s="261"/>
      <c r="R919" s="261"/>
    </row>
    <row r="920" spans="1:18" x14ac:dyDescent="0.35">
      <c r="A920" s="3"/>
      <c r="B920" s="3"/>
      <c r="C920" s="3"/>
      <c r="D920" s="3"/>
      <c r="E920" s="3"/>
      <c r="F920" s="3"/>
      <c r="G920" s="3"/>
      <c r="H920" s="3"/>
      <c r="I920" s="3"/>
      <c r="J920" s="3"/>
      <c r="K920" s="3"/>
      <c r="L920" s="3"/>
      <c r="M920" s="3"/>
      <c r="N920" s="3"/>
      <c r="O920" s="3"/>
      <c r="P920" s="3"/>
      <c r="Q920" s="261"/>
      <c r="R920" s="261"/>
    </row>
    <row r="921" spans="1:18" x14ac:dyDescent="0.35">
      <c r="A921" s="3"/>
      <c r="B921" s="3"/>
      <c r="C921" s="3"/>
      <c r="D921" s="3"/>
      <c r="E921" s="3"/>
      <c r="F921" s="3"/>
      <c r="G921" s="3"/>
      <c r="H921" s="3"/>
      <c r="I921" s="3"/>
      <c r="J921" s="3"/>
      <c r="K921" s="3"/>
      <c r="L921" s="3"/>
      <c r="M921" s="3"/>
      <c r="N921" s="3"/>
      <c r="O921" s="3"/>
      <c r="P921" s="3"/>
      <c r="Q921" s="261"/>
      <c r="R921" s="261"/>
    </row>
    <row r="922" spans="1:18" x14ac:dyDescent="0.35">
      <c r="A922" s="3"/>
      <c r="B922" s="3"/>
      <c r="C922" s="3"/>
      <c r="D922" s="3"/>
      <c r="E922" s="3"/>
      <c r="F922" s="3"/>
      <c r="G922" s="3"/>
      <c r="H922" s="3"/>
      <c r="I922" s="3"/>
      <c r="J922" s="3"/>
      <c r="K922" s="3"/>
      <c r="L922" s="3"/>
      <c r="M922" s="3"/>
      <c r="N922" s="3"/>
      <c r="O922" s="3"/>
      <c r="P922" s="3"/>
      <c r="Q922" s="261"/>
      <c r="R922" s="261"/>
    </row>
    <row r="923" spans="1:18" x14ac:dyDescent="0.35">
      <c r="A923" s="3"/>
      <c r="B923" s="3"/>
      <c r="C923" s="3"/>
      <c r="D923" s="3"/>
      <c r="E923" s="3"/>
      <c r="F923" s="3"/>
      <c r="G923" s="3"/>
      <c r="H923" s="3"/>
      <c r="I923" s="3"/>
      <c r="J923" s="3"/>
      <c r="K923" s="3"/>
      <c r="L923" s="3"/>
      <c r="M923" s="3"/>
      <c r="N923" s="3"/>
      <c r="O923" s="3"/>
      <c r="P923" s="3"/>
      <c r="Q923" s="261"/>
      <c r="R923" s="261"/>
    </row>
    <row r="924" spans="1:18" x14ac:dyDescent="0.35">
      <c r="A924" s="3"/>
      <c r="B924" s="3"/>
      <c r="C924" s="3"/>
      <c r="D924" s="3"/>
      <c r="E924" s="3"/>
      <c r="F924" s="3"/>
      <c r="G924" s="3"/>
      <c r="H924" s="3"/>
      <c r="I924" s="3"/>
      <c r="J924" s="3"/>
      <c r="K924" s="3"/>
      <c r="L924" s="3"/>
      <c r="M924" s="3"/>
      <c r="N924" s="3"/>
      <c r="O924" s="3"/>
      <c r="P924" s="3"/>
      <c r="Q924" s="261"/>
      <c r="R924" s="261"/>
    </row>
    <row r="925" spans="1:18" x14ac:dyDescent="0.35">
      <c r="A925" s="3"/>
      <c r="B925" s="3"/>
      <c r="C925" s="3"/>
      <c r="D925" s="3"/>
      <c r="E925" s="3"/>
      <c r="F925" s="3"/>
      <c r="G925" s="3"/>
      <c r="H925" s="3"/>
      <c r="I925" s="3"/>
      <c r="J925" s="3"/>
      <c r="K925" s="3"/>
      <c r="L925" s="3"/>
      <c r="M925" s="3"/>
      <c r="N925" s="3"/>
      <c r="O925" s="3"/>
      <c r="P925" s="3"/>
      <c r="Q925" s="261"/>
      <c r="R925" s="261"/>
    </row>
    <row r="926" spans="1:18" x14ac:dyDescent="0.35">
      <c r="A926" s="3"/>
      <c r="B926" s="3"/>
      <c r="C926" s="3"/>
      <c r="D926" s="3"/>
      <c r="E926" s="3"/>
      <c r="F926" s="3"/>
      <c r="G926" s="3"/>
      <c r="H926" s="3"/>
      <c r="I926" s="3"/>
      <c r="J926" s="3"/>
      <c r="K926" s="3"/>
      <c r="L926" s="3"/>
      <c r="M926" s="3"/>
      <c r="N926" s="3"/>
      <c r="O926" s="3"/>
      <c r="P926" s="3"/>
      <c r="Q926" s="261"/>
      <c r="R926" s="261"/>
    </row>
    <row r="927" spans="1:18" x14ac:dyDescent="0.35">
      <c r="A927" s="3"/>
      <c r="B927" s="3"/>
      <c r="C927" s="3"/>
      <c r="D927" s="3"/>
      <c r="E927" s="3"/>
      <c r="F927" s="3"/>
      <c r="G927" s="3"/>
      <c r="H927" s="3"/>
      <c r="I927" s="3"/>
      <c r="J927" s="3"/>
      <c r="K927" s="3"/>
      <c r="L927" s="3"/>
      <c r="M927" s="3"/>
      <c r="N927" s="3"/>
      <c r="O927" s="3"/>
      <c r="P927" s="3"/>
      <c r="Q927" s="261"/>
      <c r="R927" s="261"/>
    </row>
    <row r="928" spans="1:18" x14ac:dyDescent="0.35">
      <c r="A928" s="3"/>
      <c r="B928" s="3"/>
      <c r="C928" s="3"/>
      <c r="D928" s="3"/>
      <c r="E928" s="3"/>
      <c r="F928" s="3"/>
      <c r="G928" s="3"/>
      <c r="H928" s="3"/>
      <c r="I928" s="3"/>
      <c r="J928" s="3"/>
      <c r="K928" s="3"/>
      <c r="L928" s="3"/>
      <c r="M928" s="3"/>
      <c r="N928" s="3"/>
      <c r="O928" s="3"/>
      <c r="P928" s="3"/>
      <c r="Q928" s="261"/>
      <c r="R928" s="261"/>
    </row>
    <row r="929" spans="1:18" x14ac:dyDescent="0.35">
      <c r="A929" s="3"/>
      <c r="B929" s="3"/>
      <c r="C929" s="3"/>
      <c r="D929" s="3"/>
      <c r="E929" s="3"/>
      <c r="F929" s="3"/>
      <c r="G929" s="3"/>
      <c r="H929" s="3"/>
      <c r="I929" s="3"/>
      <c r="J929" s="3"/>
      <c r="K929" s="3"/>
      <c r="L929" s="3"/>
      <c r="M929" s="3"/>
      <c r="N929" s="3"/>
      <c r="O929" s="3"/>
      <c r="P929" s="3"/>
      <c r="Q929" s="261"/>
      <c r="R929" s="261"/>
    </row>
    <row r="930" spans="1:18" x14ac:dyDescent="0.35">
      <c r="A930" s="3"/>
      <c r="B930" s="3"/>
      <c r="C930" s="3"/>
      <c r="D930" s="3"/>
      <c r="E930" s="3"/>
      <c r="F930" s="3"/>
      <c r="G930" s="3"/>
      <c r="H930" s="3"/>
      <c r="I930" s="3"/>
      <c r="J930" s="3"/>
      <c r="K930" s="3"/>
      <c r="L930" s="3"/>
      <c r="M930" s="3"/>
      <c r="N930" s="3"/>
      <c r="O930" s="3"/>
      <c r="P930" s="3"/>
      <c r="Q930" s="261"/>
      <c r="R930" s="261"/>
    </row>
    <row r="931" spans="1:18" x14ac:dyDescent="0.35">
      <c r="A931" s="3"/>
      <c r="B931" s="3"/>
      <c r="C931" s="3"/>
      <c r="D931" s="3"/>
      <c r="E931" s="3"/>
      <c r="F931" s="3"/>
      <c r="G931" s="3"/>
      <c r="H931" s="3"/>
      <c r="I931" s="3"/>
      <c r="J931" s="3"/>
      <c r="K931" s="3"/>
      <c r="L931" s="3"/>
      <c r="M931" s="3"/>
      <c r="N931" s="3"/>
      <c r="O931" s="3"/>
      <c r="P931" s="3"/>
      <c r="Q931" s="261"/>
      <c r="R931" s="261"/>
    </row>
    <row r="932" spans="1:18" x14ac:dyDescent="0.35">
      <c r="A932" s="3"/>
      <c r="B932" s="3"/>
      <c r="C932" s="3"/>
      <c r="D932" s="3"/>
      <c r="E932" s="3"/>
      <c r="F932" s="3"/>
      <c r="G932" s="3"/>
      <c r="H932" s="3"/>
      <c r="I932" s="3"/>
      <c r="J932" s="3"/>
      <c r="K932" s="3"/>
      <c r="L932" s="3"/>
      <c r="M932" s="3"/>
      <c r="N932" s="3"/>
      <c r="O932" s="3"/>
      <c r="P932" s="3"/>
      <c r="Q932" s="261"/>
      <c r="R932" s="261"/>
    </row>
    <row r="933" spans="1:18" x14ac:dyDescent="0.35">
      <c r="A933" s="3"/>
      <c r="B933" s="3"/>
      <c r="C933" s="3"/>
      <c r="D933" s="3"/>
      <c r="E933" s="3"/>
      <c r="F933" s="3"/>
      <c r="G933" s="3"/>
      <c r="H933" s="3"/>
      <c r="I933" s="3"/>
      <c r="J933" s="3"/>
      <c r="K933" s="3"/>
      <c r="L933" s="3"/>
      <c r="M933" s="3"/>
      <c r="N933" s="3"/>
      <c r="O933" s="3"/>
      <c r="P933" s="3"/>
      <c r="Q933" s="261"/>
      <c r="R933" s="261"/>
    </row>
    <row r="934" spans="1:18" x14ac:dyDescent="0.35">
      <c r="A934" s="3"/>
      <c r="B934" s="3"/>
      <c r="C934" s="3"/>
      <c r="D934" s="3"/>
      <c r="E934" s="3"/>
      <c r="F934" s="3"/>
      <c r="G934" s="3"/>
      <c r="H934" s="3"/>
      <c r="I934" s="3"/>
      <c r="J934" s="3"/>
      <c r="K934" s="3"/>
      <c r="L934" s="3"/>
      <c r="M934" s="3"/>
      <c r="N934" s="3"/>
      <c r="O934" s="3"/>
      <c r="P934" s="3"/>
      <c r="Q934" s="261"/>
      <c r="R934" s="261"/>
    </row>
    <row r="935" spans="1:18" x14ac:dyDescent="0.35">
      <c r="A935" s="3"/>
      <c r="B935" s="3"/>
      <c r="C935" s="3"/>
      <c r="D935" s="3"/>
      <c r="E935" s="3"/>
      <c r="F935" s="3"/>
      <c r="G935" s="3"/>
      <c r="H935" s="3"/>
      <c r="I935" s="3"/>
      <c r="J935" s="3"/>
      <c r="K935" s="3"/>
      <c r="L935" s="3"/>
      <c r="M935" s="3"/>
      <c r="N935" s="3"/>
      <c r="O935" s="3"/>
      <c r="P935" s="3"/>
      <c r="Q935" s="261"/>
      <c r="R935" s="261"/>
    </row>
    <row r="936" spans="1:18" x14ac:dyDescent="0.35">
      <c r="A936" s="3"/>
      <c r="B936" s="3"/>
      <c r="C936" s="3"/>
      <c r="D936" s="3"/>
      <c r="E936" s="3"/>
      <c r="F936" s="3"/>
      <c r="G936" s="3"/>
      <c r="H936" s="3"/>
      <c r="I936" s="3"/>
      <c r="J936" s="3"/>
      <c r="K936" s="3"/>
      <c r="L936" s="3"/>
      <c r="M936" s="3"/>
      <c r="N936" s="3"/>
      <c r="O936" s="3"/>
      <c r="P936" s="3"/>
      <c r="Q936" s="261"/>
      <c r="R936" s="261"/>
    </row>
    <row r="937" spans="1:18" x14ac:dyDescent="0.35">
      <c r="A937" s="3"/>
      <c r="B937" s="3"/>
      <c r="C937" s="3"/>
      <c r="D937" s="3"/>
      <c r="E937" s="3"/>
      <c r="F937" s="3"/>
      <c r="G937" s="3"/>
      <c r="H937" s="3"/>
      <c r="I937" s="3"/>
      <c r="J937" s="3"/>
      <c r="K937" s="3"/>
      <c r="L937" s="3"/>
      <c r="M937" s="3"/>
      <c r="N937" s="3"/>
      <c r="O937" s="3"/>
      <c r="P937" s="3"/>
      <c r="Q937" s="261"/>
      <c r="R937" s="261"/>
    </row>
    <row r="938" spans="1:18" x14ac:dyDescent="0.35">
      <c r="A938" s="3"/>
      <c r="B938" s="3"/>
      <c r="C938" s="3"/>
      <c r="D938" s="3"/>
      <c r="E938" s="3"/>
      <c r="F938" s="3"/>
      <c r="G938" s="3"/>
      <c r="H938" s="3"/>
      <c r="I938" s="3"/>
      <c r="J938" s="3"/>
      <c r="K938" s="3"/>
      <c r="L938" s="3"/>
      <c r="M938" s="3"/>
      <c r="N938" s="3"/>
      <c r="O938" s="3"/>
      <c r="P938" s="3"/>
      <c r="Q938" s="261"/>
      <c r="R938" s="261"/>
    </row>
    <row r="939" spans="1:18" x14ac:dyDescent="0.35">
      <c r="A939" s="3"/>
      <c r="B939" s="3"/>
      <c r="C939" s="3"/>
      <c r="D939" s="3"/>
      <c r="E939" s="3"/>
      <c r="F939" s="3"/>
      <c r="G939" s="3"/>
      <c r="H939" s="3"/>
      <c r="I939" s="3"/>
      <c r="J939" s="3"/>
      <c r="K939" s="3"/>
      <c r="L939" s="3"/>
      <c r="M939" s="3"/>
      <c r="N939" s="3"/>
      <c r="O939" s="3"/>
      <c r="P939" s="3"/>
      <c r="Q939" s="261"/>
      <c r="R939" s="261"/>
    </row>
    <row r="940" spans="1:18" x14ac:dyDescent="0.35">
      <c r="A940" s="3"/>
      <c r="B940" s="3"/>
      <c r="C940" s="3"/>
      <c r="D940" s="3"/>
      <c r="E940" s="3"/>
      <c r="F940" s="3"/>
      <c r="G940" s="3"/>
      <c r="H940" s="3"/>
      <c r="I940" s="3"/>
      <c r="J940" s="3"/>
      <c r="K940" s="3"/>
      <c r="L940" s="3"/>
      <c r="M940" s="3"/>
      <c r="N940" s="3"/>
      <c r="O940" s="3"/>
      <c r="P940" s="3"/>
      <c r="Q940" s="261"/>
      <c r="R940" s="261"/>
    </row>
    <row r="941" spans="1:18" x14ac:dyDescent="0.35">
      <c r="A941" s="3"/>
      <c r="B941" s="3"/>
      <c r="C941" s="3"/>
      <c r="D941" s="3"/>
      <c r="E941" s="3"/>
      <c r="F941" s="3"/>
      <c r="G941" s="3"/>
      <c r="H941" s="3"/>
      <c r="I941" s="3"/>
      <c r="J941" s="3"/>
      <c r="K941" s="3"/>
      <c r="L941" s="3"/>
      <c r="M941" s="3"/>
      <c r="N941" s="3"/>
      <c r="O941" s="3"/>
      <c r="P941" s="3"/>
      <c r="Q941" s="261"/>
      <c r="R941" s="261"/>
    </row>
    <row r="942" spans="1:18" x14ac:dyDescent="0.35">
      <c r="A942" s="3"/>
      <c r="B942" s="3"/>
      <c r="C942" s="3"/>
      <c r="D942" s="3"/>
      <c r="E942" s="3"/>
      <c r="F942" s="3"/>
      <c r="G942" s="3"/>
      <c r="H942" s="3"/>
      <c r="I942" s="3"/>
      <c r="J942" s="3"/>
      <c r="K942" s="3"/>
      <c r="L942" s="3"/>
      <c r="M942" s="3"/>
      <c r="N942" s="3"/>
      <c r="O942" s="3"/>
      <c r="P942" s="3"/>
      <c r="Q942" s="261"/>
      <c r="R942" s="261"/>
    </row>
    <row r="943" spans="1:18" x14ac:dyDescent="0.35">
      <c r="A943" s="3"/>
      <c r="B943" s="3"/>
      <c r="C943" s="3"/>
      <c r="D943" s="3"/>
      <c r="E943" s="3"/>
      <c r="F943" s="3"/>
      <c r="G943" s="3"/>
      <c r="H943" s="3"/>
      <c r="I943" s="3"/>
      <c r="J943" s="3"/>
      <c r="K943" s="3"/>
      <c r="L943" s="3"/>
      <c r="M943" s="3"/>
      <c r="N943" s="3"/>
      <c r="O943" s="3"/>
      <c r="P943" s="3"/>
      <c r="Q943" s="261"/>
      <c r="R943" s="261"/>
    </row>
    <row r="944" spans="1:18" x14ac:dyDescent="0.35">
      <c r="A944" s="3"/>
      <c r="B944" s="3"/>
      <c r="C944" s="3"/>
      <c r="D944" s="3"/>
      <c r="E944" s="3"/>
      <c r="F944" s="3"/>
      <c r="G944" s="3"/>
      <c r="H944" s="3"/>
      <c r="I944" s="3"/>
      <c r="J944" s="3"/>
      <c r="K944" s="3"/>
      <c r="L944" s="3"/>
      <c r="M944" s="3"/>
      <c r="N944" s="3"/>
      <c r="O944" s="3"/>
      <c r="P944" s="3"/>
      <c r="Q944" s="261"/>
      <c r="R944" s="261"/>
    </row>
    <row r="945" spans="1:18" x14ac:dyDescent="0.35">
      <c r="A945" s="3"/>
      <c r="B945" s="3"/>
      <c r="C945" s="3"/>
      <c r="D945" s="3"/>
      <c r="E945" s="3"/>
      <c r="F945" s="3"/>
      <c r="G945" s="3"/>
      <c r="H945" s="3"/>
      <c r="I945" s="3"/>
      <c r="J945" s="3"/>
      <c r="K945" s="3"/>
      <c r="L945" s="3"/>
      <c r="M945" s="3"/>
      <c r="N945" s="3"/>
      <c r="O945" s="3"/>
      <c r="P945" s="3"/>
      <c r="Q945" s="261"/>
      <c r="R945" s="261"/>
    </row>
    <row r="946" spans="1:18" x14ac:dyDescent="0.35">
      <c r="A946" s="3"/>
      <c r="B946" s="3"/>
      <c r="C946" s="3"/>
      <c r="D946" s="3"/>
      <c r="E946" s="3"/>
      <c r="F946" s="3"/>
      <c r="G946" s="3"/>
      <c r="H946" s="3"/>
      <c r="I946" s="3"/>
      <c r="J946" s="3"/>
      <c r="K946" s="3"/>
      <c r="L946" s="3"/>
      <c r="M946" s="3"/>
      <c r="N946" s="3"/>
      <c r="O946" s="3"/>
      <c r="P946" s="3"/>
      <c r="Q946" s="261"/>
      <c r="R946" s="261"/>
    </row>
    <row r="947" spans="1:18" x14ac:dyDescent="0.35">
      <c r="A947" s="3"/>
      <c r="B947" s="3"/>
      <c r="C947" s="3"/>
      <c r="D947" s="3"/>
      <c r="E947" s="3"/>
      <c r="F947" s="3"/>
      <c r="G947" s="3"/>
      <c r="H947" s="3"/>
      <c r="I947" s="3"/>
      <c r="J947" s="3"/>
      <c r="K947" s="3"/>
      <c r="L947" s="3"/>
      <c r="M947" s="3"/>
      <c r="N947" s="3"/>
      <c r="O947" s="3"/>
      <c r="P947" s="3"/>
      <c r="Q947" s="261"/>
      <c r="R947" s="261"/>
    </row>
    <row r="948" spans="1:18" x14ac:dyDescent="0.35">
      <c r="A948" s="3"/>
      <c r="B948" s="3"/>
      <c r="C948" s="3"/>
      <c r="D948" s="3"/>
      <c r="E948" s="3"/>
      <c r="F948" s="3"/>
      <c r="G948" s="3"/>
      <c r="H948" s="3"/>
      <c r="I948" s="3"/>
      <c r="J948" s="3"/>
      <c r="K948" s="3"/>
      <c r="L948" s="3"/>
      <c r="M948" s="3"/>
      <c r="N948" s="3"/>
      <c r="O948" s="3"/>
      <c r="P948" s="3"/>
      <c r="Q948" s="261"/>
      <c r="R948" s="261"/>
    </row>
    <row r="949" spans="1:18" x14ac:dyDescent="0.35">
      <c r="A949" s="3"/>
      <c r="B949" s="3"/>
      <c r="C949" s="3"/>
      <c r="D949" s="3"/>
      <c r="E949" s="3"/>
      <c r="F949" s="3"/>
      <c r="G949" s="3"/>
      <c r="H949" s="3"/>
      <c r="I949" s="3"/>
      <c r="J949" s="3"/>
      <c r="K949" s="3"/>
      <c r="L949" s="3"/>
      <c r="M949" s="3"/>
      <c r="N949" s="3"/>
      <c r="O949" s="3"/>
      <c r="P949" s="3"/>
      <c r="Q949" s="261"/>
      <c r="R949" s="261"/>
    </row>
    <row r="950" spans="1:18" x14ac:dyDescent="0.35">
      <c r="A950" s="3"/>
      <c r="B950" s="3"/>
      <c r="C950" s="3"/>
      <c r="D950" s="3"/>
      <c r="E950" s="3"/>
      <c r="F950" s="3"/>
      <c r="G950" s="3"/>
      <c r="H950" s="3"/>
      <c r="I950" s="3"/>
      <c r="J950" s="3"/>
      <c r="K950" s="3"/>
      <c r="L950" s="3"/>
      <c r="M950" s="3"/>
      <c r="N950" s="3"/>
      <c r="O950" s="3"/>
      <c r="P950" s="3"/>
      <c r="Q950" s="261"/>
      <c r="R950" s="261"/>
    </row>
    <row r="951" spans="1:18" x14ac:dyDescent="0.35">
      <c r="A951" s="3"/>
      <c r="B951" s="3"/>
      <c r="C951" s="3"/>
      <c r="D951" s="3"/>
      <c r="E951" s="3"/>
      <c r="F951" s="3"/>
      <c r="G951" s="3"/>
      <c r="H951" s="3"/>
      <c r="I951" s="3"/>
      <c r="J951" s="3"/>
      <c r="K951" s="3"/>
      <c r="L951" s="3"/>
      <c r="M951" s="3"/>
      <c r="N951" s="3"/>
      <c r="O951" s="3"/>
      <c r="P951" s="3"/>
      <c r="Q951" s="261"/>
      <c r="R951" s="261"/>
    </row>
    <row r="952" spans="1:18" x14ac:dyDescent="0.35">
      <c r="A952" s="3"/>
      <c r="B952" s="3"/>
      <c r="C952" s="3"/>
      <c r="D952" s="3"/>
      <c r="E952" s="3"/>
      <c r="F952" s="3"/>
      <c r="G952" s="3"/>
      <c r="H952" s="3"/>
      <c r="I952" s="3"/>
      <c r="J952" s="3"/>
      <c r="K952" s="3"/>
      <c r="L952" s="3"/>
      <c r="M952" s="3"/>
      <c r="N952" s="3"/>
      <c r="O952" s="3"/>
      <c r="P952" s="3"/>
      <c r="Q952" s="261"/>
      <c r="R952" s="261"/>
    </row>
    <row r="953" spans="1:18" x14ac:dyDescent="0.35">
      <c r="A953" s="3"/>
      <c r="B953" s="3"/>
      <c r="C953" s="3"/>
      <c r="D953" s="3"/>
      <c r="E953" s="3"/>
      <c r="F953" s="3"/>
      <c r="G953" s="3"/>
      <c r="H953" s="3"/>
      <c r="I953" s="3"/>
      <c r="J953" s="3"/>
      <c r="K953" s="3"/>
      <c r="L953" s="3"/>
      <c r="M953" s="3"/>
      <c r="N953" s="3"/>
      <c r="O953" s="3"/>
      <c r="P953" s="3"/>
      <c r="Q953" s="261"/>
      <c r="R953" s="261"/>
    </row>
    <row r="954" spans="1:18" x14ac:dyDescent="0.35">
      <c r="A954" s="3"/>
      <c r="B954" s="3"/>
      <c r="C954" s="3"/>
      <c r="D954" s="3"/>
      <c r="E954" s="3"/>
      <c r="F954" s="3"/>
      <c r="G954" s="3"/>
      <c r="H954" s="3"/>
      <c r="I954" s="3"/>
      <c r="J954" s="3"/>
      <c r="K954" s="3"/>
      <c r="L954" s="3"/>
      <c r="M954" s="3"/>
      <c r="N954" s="3"/>
      <c r="O954" s="3"/>
      <c r="P954" s="3"/>
      <c r="Q954" s="261"/>
      <c r="R954" s="261"/>
    </row>
    <row r="955" spans="1:18" x14ac:dyDescent="0.35">
      <c r="A955" s="3"/>
      <c r="B955" s="3"/>
      <c r="C955" s="3"/>
      <c r="D955" s="3"/>
      <c r="E955" s="3"/>
      <c r="F955" s="3"/>
      <c r="G955" s="3"/>
      <c r="H955" s="3"/>
      <c r="I955" s="3"/>
      <c r="J955" s="3"/>
      <c r="K955" s="3"/>
      <c r="L955" s="3"/>
      <c r="M955" s="3"/>
      <c r="N955" s="3"/>
      <c r="O955" s="3"/>
      <c r="P955" s="3"/>
      <c r="Q955" s="261"/>
      <c r="R955" s="261"/>
    </row>
    <row r="956" spans="1:18" x14ac:dyDescent="0.35">
      <c r="A956" s="3"/>
      <c r="B956" s="3"/>
      <c r="C956" s="3"/>
      <c r="D956" s="3"/>
      <c r="E956" s="3"/>
      <c r="F956" s="3"/>
      <c r="G956" s="3"/>
      <c r="H956" s="3"/>
      <c r="I956" s="3"/>
      <c r="J956" s="3"/>
      <c r="K956" s="3"/>
      <c r="L956" s="3"/>
      <c r="M956" s="3"/>
      <c r="N956" s="3"/>
      <c r="O956" s="3"/>
      <c r="P956" s="3"/>
      <c r="Q956" s="261"/>
      <c r="R956" s="261"/>
    </row>
    <row r="957" spans="1:18" x14ac:dyDescent="0.35">
      <c r="A957" s="3"/>
      <c r="B957" s="3"/>
      <c r="C957" s="3"/>
      <c r="D957" s="3"/>
      <c r="E957" s="3"/>
      <c r="F957" s="3"/>
      <c r="G957" s="3"/>
      <c r="H957" s="3"/>
      <c r="I957" s="3"/>
      <c r="J957" s="3"/>
      <c r="K957" s="3"/>
      <c r="L957" s="3"/>
      <c r="M957" s="3"/>
      <c r="N957" s="3"/>
      <c r="O957" s="3"/>
      <c r="P957" s="3"/>
      <c r="Q957" s="261"/>
      <c r="R957" s="261"/>
    </row>
    <row r="958" spans="1:18" x14ac:dyDescent="0.35">
      <c r="A958" s="3"/>
      <c r="B958" s="3"/>
      <c r="C958" s="3"/>
      <c r="D958" s="3"/>
      <c r="E958" s="3"/>
      <c r="F958" s="3"/>
      <c r="G958" s="3"/>
      <c r="H958" s="3"/>
      <c r="I958" s="3"/>
      <c r="J958" s="3"/>
      <c r="K958" s="3"/>
      <c r="L958" s="3"/>
      <c r="M958" s="3"/>
      <c r="N958" s="3"/>
      <c r="O958" s="3"/>
      <c r="P958" s="3"/>
      <c r="Q958" s="261"/>
      <c r="R958" s="261"/>
    </row>
    <row r="959" spans="1:18" x14ac:dyDescent="0.35">
      <c r="A959" s="3"/>
      <c r="B959" s="3"/>
      <c r="C959" s="3"/>
      <c r="D959" s="3"/>
      <c r="E959" s="3"/>
      <c r="F959" s="3"/>
      <c r="G959" s="3"/>
      <c r="H959" s="3"/>
      <c r="I959" s="3"/>
      <c r="J959" s="3"/>
      <c r="K959" s="3"/>
      <c r="L959" s="3"/>
      <c r="M959" s="3"/>
      <c r="N959" s="3"/>
      <c r="O959" s="3"/>
      <c r="P959" s="3"/>
      <c r="Q959" s="261"/>
      <c r="R959" s="261"/>
    </row>
    <row r="960" spans="1:18" x14ac:dyDescent="0.35">
      <c r="A960" s="3"/>
      <c r="B960" s="3"/>
      <c r="C960" s="3"/>
      <c r="D960" s="3"/>
      <c r="E960" s="3"/>
      <c r="F960" s="3"/>
      <c r="G960" s="3"/>
      <c r="H960" s="3"/>
      <c r="I960" s="3"/>
      <c r="J960" s="3"/>
      <c r="K960" s="3"/>
      <c r="L960" s="3"/>
      <c r="M960" s="3"/>
      <c r="N960" s="3"/>
      <c r="O960" s="3"/>
      <c r="P960" s="3"/>
      <c r="Q960" s="261"/>
      <c r="R960" s="261"/>
    </row>
    <row r="961" spans="1:18" x14ac:dyDescent="0.35">
      <c r="A961" s="3"/>
      <c r="B961" s="3"/>
      <c r="C961" s="3"/>
      <c r="D961" s="3"/>
      <c r="E961" s="3"/>
      <c r="F961" s="3"/>
      <c r="G961" s="3"/>
      <c r="H961" s="3"/>
      <c r="I961" s="3"/>
      <c r="J961" s="3"/>
      <c r="K961" s="3"/>
      <c r="L961" s="3"/>
      <c r="M961" s="3"/>
      <c r="N961" s="3"/>
      <c r="O961" s="3"/>
      <c r="P961" s="3"/>
      <c r="Q961" s="261"/>
      <c r="R961" s="261"/>
    </row>
    <row r="962" spans="1:18" x14ac:dyDescent="0.35">
      <c r="A962" s="3"/>
      <c r="B962" s="3"/>
      <c r="C962" s="3"/>
      <c r="D962" s="3"/>
      <c r="E962" s="3"/>
      <c r="F962" s="3"/>
      <c r="G962" s="3"/>
      <c r="H962" s="3"/>
      <c r="I962" s="3"/>
      <c r="J962" s="3"/>
      <c r="K962" s="3"/>
      <c r="L962" s="3"/>
      <c r="M962" s="3"/>
      <c r="N962" s="3"/>
      <c r="O962" s="3"/>
      <c r="P962" s="3"/>
      <c r="Q962" s="261"/>
      <c r="R962" s="261"/>
    </row>
    <row r="963" spans="1:18" x14ac:dyDescent="0.35">
      <c r="A963" s="3"/>
      <c r="B963" s="3"/>
      <c r="C963" s="3"/>
      <c r="D963" s="3"/>
      <c r="E963" s="3"/>
      <c r="F963" s="3"/>
      <c r="G963" s="3"/>
      <c r="H963" s="3"/>
      <c r="I963" s="3"/>
      <c r="J963" s="3"/>
      <c r="K963" s="3"/>
      <c r="L963" s="3"/>
      <c r="M963" s="3"/>
      <c r="N963" s="3"/>
      <c r="O963" s="3"/>
      <c r="P963" s="3"/>
      <c r="Q963" s="261"/>
      <c r="R963" s="261"/>
    </row>
    <row r="964" spans="1:18" x14ac:dyDescent="0.35">
      <c r="A964" s="3"/>
      <c r="B964" s="3"/>
      <c r="C964" s="3"/>
      <c r="D964" s="3"/>
      <c r="E964" s="3"/>
      <c r="F964" s="3"/>
      <c r="G964" s="3"/>
      <c r="H964" s="3"/>
      <c r="I964" s="3"/>
      <c r="J964" s="3"/>
      <c r="K964" s="3"/>
      <c r="L964" s="3"/>
      <c r="M964" s="3"/>
      <c r="N964" s="3"/>
      <c r="O964" s="3"/>
      <c r="P964" s="3"/>
      <c r="Q964" s="261"/>
      <c r="R964" s="261"/>
    </row>
    <row r="965" spans="1:18" x14ac:dyDescent="0.35">
      <c r="A965" s="3"/>
      <c r="B965" s="3"/>
      <c r="C965" s="3"/>
      <c r="D965" s="3"/>
      <c r="E965" s="3"/>
      <c r="F965" s="3"/>
      <c r="G965" s="3"/>
      <c r="H965" s="3"/>
      <c r="I965" s="3"/>
      <c r="J965" s="3"/>
      <c r="K965" s="3"/>
      <c r="L965" s="3"/>
      <c r="M965" s="3"/>
      <c r="N965" s="3"/>
      <c r="O965" s="3"/>
      <c r="P965" s="3"/>
      <c r="Q965" s="261"/>
      <c r="R965" s="261"/>
    </row>
    <row r="966" spans="1:18" x14ac:dyDescent="0.35">
      <c r="A966" s="3"/>
      <c r="B966" s="3"/>
      <c r="C966" s="3"/>
      <c r="D966" s="3"/>
      <c r="E966" s="3"/>
      <c r="F966" s="3"/>
      <c r="G966" s="3"/>
      <c r="H966" s="3"/>
      <c r="I966" s="3"/>
      <c r="J966" s="3"/>
      <c r="K966" s="3"/>
      <c r="L966" s="3"/>
      <c r="M966" s="3"/>
      <c r="N966" s="3"/>
      <c r="O966" s="3"/>
      <c r="P966" s="3"/>
      <c r="Q966" s="261"/>
      <c r="R966" s="261"/>
    </row>
    <row r="967" spans="1:18" x14ac:dyDescent="0.35">
      <c r="A967" s="3"/>
      <c r="B967" s="3"/>
      <c r="C967" s="3"/>
      <c r="D967" s="3"/>
      <c r="E967" s="3"/>
      <c r="F967" s="3"/>
      <c r="G967" s="3"/>
      <c r="H967" s="3"/>
      <c r="I967" s="3"/>
      <c r="J967" s="3"/>
      <c r="K967" s="3"/>
      <c r="L967" s="3"/>
      <c r="M967" s="3"/>
      <c r="N967" s="3"/>
      <c r="O967" s="3"/>
      <c r="P967" s="3"/>
      <c r="Q967" s="261"/>
      <c r="R967" s="261"/>
    </row>
    <row r="968" spans="1:18" x14ac:dyDescent="0.35">
      <c r="A968" s="3"/>
      <c r="B968" s="3"/>
      <c r="C968" s="3"/>
      <c r="D968" s="3"/>
      <c r="E968" s="3"/>
      <c r="F968" s="3"/>
      <c r="G968" s="3"/>
      <c r="H968" s="3"/>
      <c r="I968" s="3"/>
      <c r="J968" s="3"/>
      <c r="K968" s="3"/>
      <c r="L968" s="3"/>
      <c r="M968" s="3"/>
      <c r="N968" s="3"/>
      <c r="O968" s="3"/>
      <c r="P968" s="3"/>
      <c r="Q968" s="261"/>
      <c r="R968" s="261"/>
    </row>
    <row r="969" spans="1:18" x14ac:dyDescent="0.35">
      <c r="A969" s="3"/>
      <c r="B969" s="3"/>
      <c r="C969" s="3"/>
      <c r="D969" s="3"/>
      <c r="E969" s="3"/>
      <c r="F969" s="3"/>
      <c r="G969" s="3"/>
      <c r="H969" s="3"/>
      <c r="I969" s="3"/>
      <c r="J969" s="3"/>
      <c r="K969" s="3"/>
      <c r="L969" s="3"/>
      <c r="M969" s="3"/>
      <c r="N969" s="3"/>
      <c r="O969" s="3"/>
      <c r="P969" s="3"/>
      <c r="Q969" s="261"/>
      <c r="R969" s="261"/>
    </row>
    <row r="970" spans="1:18" x14ac:dyDescent="0.35">
      <c r="A970" s="3"/>
      <c r="B970" s="3"/>
      <c r="C970" s="3"/>
      <c r="D970" s="3"/>
      <c r="E970" s="3"/>
      <c r="F970" s="3"/>
      <c r="G970" s="3"/>
      <c r="H970" s="3"/>
      <c r="I970" s="3"/>
      <c r="J970" s="3"/>
      <c r="K970" s="3"/>
      <c r="L970" s="3"/>
      <c r="M970" s="3"/>
      <c r="N970" s="3"/>
      <c r="O970" s="3"/>
      <c r="P970" s="3"/>
      <c r="Q970" s="261"/>
      <c r="R970" s="261"/>
    </row>
    <row r="971" spans="1:18" x14ac:dyDescent="0.35">
      <c r="A971" s="3"/>
      <c r="B971" s="3"/>
      <c r="C971" s="3"/>
      <c r="D971" s="3"/>
      <c r="E971" s="3"/>
      <c r="F971" s="3"/>
      <c r="G971" s="3"/>
      <c r="H971" s="3"/>
      <c r="I971" s="3"/>
      <c r="J971" s="3"/>
      <c r="K971" s="3"/>
      <c r="L971" s="3"/>
      <c r="M971" s="3"/>
      <c r="N971" s="3"/>
      <c r="O971" s="3"/>
      <c r="P971" s="3"/>
      <c r="Q971" s="261"/>
      <c r="R971" s="261"/>
    </row>
    <row r="972" spans="1:18" x14ac:dyDescent="0.35">
      <c r="A972" s="3"/>
      <c r="B972" s="3"/>
      <c r="C972" s="3"/>
      <c r="D972" s="3"/>
      <c r="E972" s="3"/>
      <c r="F972" s="3"/>
      <c r="G972" s="3"/>
      <c r="H972" s="3"/>
      <c r="I972" s="3"/>
      <c r="J972" s="3"/>
      <c r="K972" s="3"/>
      <c r="L972" s="3"/>
      <c r="M972" s="3"/>
      <c r="N972" s="3"/>
      <c r="O972" s="3"/>
      <c r="P972" s="3"/>
      <c r="Q972" s="261"/>
      <c r="R972" s="261"/>
    </row>
    <row r="973" spans="1:18" x14ac:dyDescent="0.35">
      <c r="A973" s="3"/>
      <c r="B973" s="3"/>
      <c r="C973" s="3"/>
      <c r="D973" s="3"/>
      <c r="E973" s="3"/>
      <c r="F973" s="3"/>
      <c r="G973" s="3"/>
      <c r="H973" s="3"/>
      <c r="I973" s="3"/>
      <c r="J973" s="3"/>
      <c r="K973" s="3"/>
      <c r="L973" s="3"/>
      <c r="M973" s="3"/>
      <c r="N973" s="3"/>
      <c r="O973" s="3"/>
      <c r="P973" s="3"/>
      <c r="Q973" s="261"/>
      <c r="R973" s="261"/>
    </row>
    <row r="974" spans="1:18" x14ac:dyDescent="0.35">
      <c r="A974" s="3"/>
      <c r="B974" s="3"/>
      <c r="C974" s="3"/>
      <c r="D974" s="3"/>
      <c r="E974" s="3"/>
      <c r="F974" s="3"/>
      <c r="G974" s="3"/>
      <c r="H974" s="3"/>
      <c r="I974" s="3"/>
      <c r="J974" s="3"/>
      <c r="K974" s="3"/>
      <c r="L974" s="3"/>
      <c r="M974" s="3"/>
      <c r="N974" s="3"/>
      <c r="O974" s="3"/>
      <c r="P974" s="3"/>
      <c r="Q974" s="261"/>
      <c r="R974" s="261"/>
    </row>
    <row r="975" spans="1:18" x14ac:dyDescent="0.35">
      <c r="A975" s="3"/>
      <c r="B975" s="3"/>
      <c r="C975" s="3"/>
      <c r="D975" s="3"/>
      <c r="E975" s="3"/>
      <c r="F975" s="3"/>
      <c r="G975" s="3"/>
      <c r="H975" s="3"/>
      <c r="I975" s="3"/>
      <c r="J975" s="3"/>
      <c r="K975" s="3"/>
      <c r="L975" s="3"/>
      <c r="M975" s="3"/>
      <c r="N975" s="3"/>
      <c r="O975" s="3"/>
      <c r="P975" s="3"/>
      <c r="Q975" s="261"/>
      <c r="R975" s="261"/>
    </row>
    <row r="976" spans="1:18" x14ac:dyDescent="0.35">
      <c r="A976" s="3"/>
      <c r="B976" s="3"/>
      <c r="C976" s="3"/>
      <c r="D976" s="3"/>
      <c r="E976" s="3"/>
      <c r="F976" s="3"/>
      <c r="G976" s="3"/>
      <c r="H976" s="3"/>
      <c r="I976" s="3"/>
      <c r="J976" s="3"/>
      <c r="K976" s="3"/>
      <c r="L976" s="3"/>
      <c r="M976" s="3"/>
      <c r="N976" s="3"/>
      <c r="O976" s="3"/>
      <c r="P976" s="3"/>
      <c r="Q976" s="261"/>
      <c r="R976" s="261"/>
    </row>
    <row r="977" spans="1:18" x14ac:dyDescent="0.35">
      <c r="A977" s="3"/>
      <c r="B977" s="3"/>
      <c r="C977" s="3"/>
      <c r="D977" s="3"/>
      <c r="E977" s="3"/>
      <c r="F977" s="3"/>
      <c r="G977" s="3"/>
      <c r="H977" s="3"/>
      <c r="I977" s="3"/>
      <c r="J977" s="3"/>
      <c r="K977" s="3"/>
      <c r="L977" s="3"/>
      <c r="M977" s="3"/>
      <c r="N977" s="3"/>
      <c r="O977" s="3"/>
      <c r="P977" s="3"/>
      <c r="Q977" s="261"/>
      <c r="R977" s="261"/>
    </row>
    <row r="978" spans="1:18" x14ac:dyDescent="0.35">
      <c r="A978" s="3"/>
      <c r="B978" s="3"/>
      <c r="C978" s="3"/>
      <c r="D978" s="3"/>
      <c r="E978" s="3"/>
      <c r="F978" s="3"/>
      <c r="G978" s="3"/>
      <c r="H978" s="3"/>
      <c r="I978" s="3"/>
      <c r="J978" s="3"/>
      <c r="K978" s="3"/>
      <c r="L978" s="3"/>
      <c r="M978" s="3"/>
      <c r="N978" s="3"/>
      <c r="O978" s="3"/>
      <c r="P978" s="3"/>
      <c r="Q978" s="261"/>
      <c r="R978" s="261"/>
    </row>
    <row r="979" spans="1:18" x14ac:dyDescent="0.35">
      <c r="A979" s="3"/>
      <c r="B979" s="3"/>
      <c r="C979" s="3"/>
      <c r="D979" s="3"/>
      <c r="E979" s="3"/>
      <c r="F979" s="3"/>
      <c r="G979" s="3"/>
      <c r="H979" s="3"/>
      <c r="I979" s="3"/>
      <c r="J979" s="3"/>
      <c r="K979" s="3"/>
      <c r="L979" s="3"/>
      <c r="M979" s="3"/>
      <c r="N979" s="3"/>
      <c r="O979" s="3"/>
      <c r="P979" s="3"/>
      <c r="Q979" s="261"/>
      <c r="R979" s="261"/>
    </row>
    <row r="980" spans="1:18" x14ac:dyDescent="0.35">
      <c r="A980" s="3"/>
      <c r="B980" s="3"/>
      <c r="C980" s="3"/>
      <c r="D980" s="3"/>
      <c r="E980" s="3"/>
      <c r="F980" s="3"/>
      <c r="G980" s="3"/>
      <c r="H980" s="3"/>
      <c r="I980" s="3"/>
      <c r="J980" s="3"/>
      <c r="K980" s="3"/>
      <c r="L980" s="3"/>
      <c r="M980" s="3"/>
      <c r="N980" s="3"/>
      <c r="O980" s="3"/>
      <c r="P980" s="3"/>
      <c r="Q980" s="261"/>
      <c r="R980" s="261"/>
    </row>
    <row r="981" spans="1:18" x14ac:dyDescent="0.35">
      <c r="A981" s="3"/>
      <c r="B981" s="3"/>
      <c r="C981" s="3"/>
      <c r="D981" s="3"/>
      <c r="E981" s="3"/>
      <c r="F981" s="3"/>
      <c r="G981" s="3"/>
      <c r="H981" s="3"/>
      <c r="I981" s="3"/>
      <c r="J981" s="3"/>
      <c r="K981" s="3"/>
      <c r="L981" s="3"/>
      <c r="M981" s="3"/>
      <c r="N981" s="3"/>
      <c r="O981" s="3"/>
      <c r="P981" s="3"/>
      <c r="Q981" s="261"/>
      <c r="R981" s="261"/>
    </row>
    <row r="982" spans="1:18" x14ac:dyDescent="0.35">
      <c r="A982" s="3"/>
      <c r="B982" s="3"/>
      <c r="C982" s="3"/>
      <c r="D982" s="3"/>
      <c r="E982" s="3"/>
      <c r="F982" s="3"/>
      <c r="G982" s="3"/>
      <c r="H982" s="3"/>
      <c r="I982" s="3"/>
      <c r="J982" s="3"/>
      <c r="K982" s="3"/>
      <c r="L982" s="3"/>
      <c r="M982" s="3"/>
      <c r="N982" s="3"/>
      <c r="O982" s="3"/>
      <c r="P982" s="3"/>
      <c r="Q982" s="261"/>
      <c r="R982" s="261"/>
    </row>
    <row r="983" spans="1:18" x14ac:dyDescent="0.35">
      <c r="A983" s="3"/>
      <c r="B983" s="3"/>
      <c r="C983" s="3"/>
      <c r="D983" s="3"/>
      <c r="E983" s="3"/>
      <c r="F983" s="3"/>
      <c r="G983" s="3"/>
      <c r="H983" s="3"/>
      <c r="I983" s="3"/>
      <c r="J983" s="3"/>
      <c r="K983" s="3"/>
      <c r="L983" s="3"/>
      <c r="M983" s="3"/>
      <c r="N983" s="3"/>
      <c r="O983" s="3"/>
      <c r="P983" s="3"/>
      <c r="Q983" s="261"/>
      <c r="R983" s="261"/>
    </row>
    <row r="984" spans="1:18" x14ac:dyDescent="0.35">
      <c r="A984" s="3"/>
      <c r="B984" s="3"/>
      <c r="C984" s="3"/>
      <c r="D984" s="3"/>
      <c r="E984" s="3"/>
      <c r="F984" s="3"/>
      <c r="G984" s="3"/>
      <c r="H984" s="3"/>
      <c r="I984" s="3"/>
      <c r="J984" s="3"/>
      <c r="K984" s="3"/>
      <c r="L984" s="3"/>
      <c r="M984" s="3"/>
      <c r="N984" s="3"/>
      <c r="O984" s="3"/>
      <c r="P984" s="3"/>
      <c r="Q984" s="261"/>
      <c r="R984" s="261"/>
    </row>
    <row r="985" spans="1:18" x14ac:dyDescent="0.35">
      <c r="A985" s="3"/>
      <c r="B985" s="3"/>
      <c r="C985" s="3"/>
      <c r="D985" s="3"/>
      <c r="E985" s="3"/>
      <c r="F985" s="3"/>
      <c r="G985" s="3"/>
      <c r="H985" s="3"/>
      <c r="I985" s="3"/>
      <c r="J985" s="3"/>
      <c r="K985" s="3"/>
      <c r="L985" s="3"/>
      <c r="M985" s="3"/>
      <c r="N985" s="3"/>
      <c r="O985" s="3"/>
      <c r="P985" s="3"/>
      <c r="Q985" s="261"/>
      <c r="R985" s="261"/>
    </row>
    <row r="986" spans="1:18" x14ac:dyDescent="0.35">
      <c r="A986" s="3"/>
      <c r="B986" s="3"/>
      <c r="C986" s="3"/>
      <c r="D986" s="3"/>
      <c r="E986" s="3"/>
      <c r="F986" s="3"/>
      <c r="G986" s="3"/>
      <c r="H986" s="3"/>
      <c r="I986" s="3"/>
      <c r="J986" s="3"/>
      <c r="K986" s="3"/>
      <c r="L986" s="3"/>
      <c r="M986" s="3"/>
      <c r="N986" s="3"/>
      <c r="O986" s="3"/>
      <c r="P986" s="3"/>
      <c r="Q986" s="261"/>
      <c r="R986" s="261"/>
    </row>
    <row r="987" spans="1:18" x14ac:dyDescent="0.35">
      <c r="A987" s="3"/>
      <c r="B987" s="3"/>
      <c r="C987" s="3"/>
      <c r="D987" s="3"/>
      <c r="E987" s="3"/>
      <c r="F987" s="3"/>
      <c r="G987" s="3"/>
      <c r="H987" s="3"/>
      <c r="I987" s="3"/>
      <c r="J987" s="3"/>
      <c r="K987" s="3"/>
      <c r="L987" s="3"/>
      <c r="M987" s="3"/>
      <c r="N987" s="3"/>
      <c r="O987" s="3"/>
      <c r="P987" s="3"/>
      <c r="Q987" s="261"/>
      <c r="R987" s="261"/>
    </row>
    <row r="988" spans="1:18" x14ac:dyDescent="0.35">
      <c r="A988" s="3"/>
      <c r="B988" s="3"/>
      <c r="C988" s="3"/>
      <c r="D988" s="3"/>
      <c r="E988" s="3"/>
      <c r="F988" s="3"/>
      <c r="G988" s="3"/>
      <c r="H988" s="3"/>
      <c r="I988" s="3"/>
      <c r="J988" s="3"/>
      <c r="K988" s="3"/>
      <c r="L988" s="3"/>
      <c r="M988" s="3"/>
      <c r="N988" s="3"/>
      <c r="O988" s="3"/>
      <c r="P988" s="3"/>
      <c r="Q988" s="261"/>
      <c r="R988" s="261"/>
    </row>
    <row r="989" spans="1:18" x14ac:dyDescent="0.35">
      <c r="A989" s="3"/>
      <c r="B989" s="3"/>
      <c r="C989" s="3"/>
      <c r="D989" s="3"/>
      <c r="E989" s="3"/>
      <c r="F989" s="3"/>
      <c r="G989" s="3"/>
      <c r="H989" s="3"/>
      <c r="I989" s="3"/>
      <c r="J989" s="3"/>
      <c r="K989" s="3"/>
      <c r="L989" s="3"/>
      <c r="M989" s="3"/>
      <c r="N989" s="3"/>
      <c r="O989" s="3"/>
      <c r="P989" s="3"/>
      <c r="Q989" s="261"/>
      <c r="R989" s="261"/>
    </row>
    <row r="990" spans="1:18" x14ac:dyDescent="0.35">
      <c r="A990" s="3"/>
      <c r="B990" s="3"/>
      <c r="C990" s="3"/>
      <c r="D990" s="3"/>
      <c r="E990" s="3"/>
      <c r="F990" s="3"/>
      <c r="G990" s="3"/>
      <c r="H990" s="3"/>
      <c r="I990" s="3"/>
      <c r="J990" s="3"/>
      <c r="K990" s="3"/>
      <c r="L990" s="3"/>
      <c r="M990" s="3"/>
      <c r="N990" s="3"/>
      <c r="O990" s="3"/>
      <c r="P990" s="3"/>
      <c r="Q990" s="261"/>
      <c r="R990" s="261"/>
    </row>
    <row r="991" spans="1:18" x14ac:dyDescent="0.35">
      <c r="A991" s="3"/>
      <c r="B991" s="3"/>
      <c r="C991" s="3"/>
      <c r="D991" s="3"/>
      <c r="E991" s="3"/>
      <c r="F991" s="3"/>
      <c r="G991" s="3"/>
      <c r="H991" s="3"/>
      <c r="I991" s="3"/>
      <c r="J991" s="3"/>
      <c r="K991" s="3"/>
      <c r="L991" s="3"/>
      <c r="M991" s="3"/>
      <c r="N991" s="3"/>
      <c r="O991" s="3"/>
      <c r="P991" s="3"/>
      <c r="Q991" s="261"/>
      <c r="R991" s="261"/>
    </row>
    <row r="992" spans="1:18" x14ac:dyDescent="0.35">
      <c r="A992" s="3"/>
      <c r="B992" s="3"/>
      <c r="C992" s="3"/>
      <c r="D992" s="3"/>
      <c r="E992" s="3"/>
      <c r="F992" s="3"/>
      <c r="G992" s="3"/>
      <c r="H992" s="3"/>
      <c r="I992" s="3"/>
      <c r="J992" s="3"/>
      <c r="K992" s="3"/>
      <c r="L992" s="3"/>
      <c r="M992" s="3"/>
      <c r="N992" s="3"/>
      <c r="O992" s="3"/>
      <c r="P992" s="3"/>
      <c r="Q992" s="261"/>
      <c r="R992" s="261"/>
    </row>
    <row r="993" spans="1:18" x14ac:dyDescent="0.35">
      <c r="A993" s="3"/>
      <c r="B993" s="3"/>
      <c r="C993" s="3"/>
      <c r="D993" s="3"/>
      <c r="E993" s="3"/>
      <c r="F993" s="3"/>
      <c r="G993" s="3"/>
      <c r="H993" s="3"/>
      <c r="I993" s="3"/>
      <c r="J993" s="3"/>
      <c r="K993" s="3"/>
      <c r="L993" s="3"/>
      <c r="M993" s="3"/>
      <c r="N993" s="3"/>
      <c r="O993" s="3"/>
      <c r="P993" s="3"/>
      <c r="Q993" s="261"/>
      <c r="R993" s="261"/>
    </row>
    <row r="994" spans="1:18" x14ac:dyDescent="0.35">
      <c r="A994" s="3"/>
      <c r="B994" s="3"/>
      <c r="C994" s="3"/>
      <c r="D994" s="3"/>
      <c r="E994" s="3"/>
      <c r="F994" s="3"/>
      <c r="G994" s="3"/>
      <c r="H994" s="3"/>
      <c r="I994" s="3"/>
      <c r="J994" s="3"/>
      <c r="K994" s="3"/>
      <c r="L994" s="3"/>
      <c r="M994" s="3"/>
      <c r="N994" s="3"/>
      <c r="O994" s="3"/>
      <c r="P994" s="3"/>
      <c r="Q994" s="261"/>
      <c r="R994" s="261"/>
    </row>
    <row r="995" spans="1:18" x14ac:dyDescent="0.35">
      <c r="A995" s="3"/>
      <c r="B995" s="3"/>
      <c r="C995" s="3"/>
      <c r="D995" s="3"/>
      <c r="E995" s="3"/>
      <c r="F995" s="3"/>
      <c r="G995" s="3"/>
      <c r="H995" s="3"/>
      <c r="I995" s="3"/>
      <c r="J995" s="3"/>
      <c r="K995" s="3"/>
      <c r="L995" s="3"/>
      <c r="M995" s="3"/>
      <c r="N995" s="3"/>
      <c r="O995" s="3"/>
      <c r="P995" s="3"/>
      <c r="Q995" s="261"/>
      <c r="R995" s="261"/>
    </row>
    <row r="996" spans="1:18" x14ac:dyDescent="0.35">
      <c r="A996" s="3"/>
      <c r="B996" s="3"/>
      <c r="C996" s="3"/>
      <c r="D996" s="3"/>
      <c r="E996" s="3"/>
      <c r="F996" s="3"/>
      <c r="G996" s="3"/>
      <c r="H996" s="3"/>
      <c r="I996" s="3"/>
      <c r="J996" s="3"/>
      <c r="K996" s="3"/>
      <c r="L996" s="3"/>
      <c r="M996" s="3"/>
      <c r="N996" s="3"/>
      <c r="O996" s="3"/>
      <c r="P996" s="3"/>
      <c r="Q996" s="261"/>
      <c r="R996" s="261"/>
    </row>
    <row r="997" spans="1:18" x14ac:dyDescent="0.35">
      <c r="A997" s="3"/>
      <c r="B997" s="3"/>
      <c r="C997" s="3"/>
      <c r="D997" s="3"/>
      <c r="E997" s="3"/>
      <c r="F997" s="3"/>
      <c r="G997" s="3"/>
      <c r="H997" s="3"/>
      <c r="I997" s="3"/>
      <c r="J997" s="3"/>
      <c r="K997" s="3"/>
      <c r="L997" s="3"/>
      <c r="M997" s="3"/>
      <c r="N997" s="3"/>
      <c r="O997" s="3"/>
      <c r="P997" s="3"/>
      <c r="Q997" s="261"/>
      <c r="R997" s="261"/>
    </row>
    <row r="998" spans="1:18" x14ac:dyDescent="0.35">
      <c r="A998" s="3"/>
      <c r="B998" s="3"/>
      <c r="C998" s="3"/>
      <c r="D998" s="3"/>
      <c r="E998" s="3"/>
      <c r="F998" s="3"/>
      <c r="G998" s="3"/>
      <c r="H998" s="3"/>
      <c r="I998" s="3"/>
      <c r="J998" s="3"/>
      <c r="K998" s="3"/>
      <c r="L998" s="3"/>
      <c r="M998" s="3"/>
      <c r="N998" s="3"/>
      <c r="O998" s="3"/>
      <c r="P998" s="3"/>
      <c r="Q998" s="261"/>
      <c r="R998" s="261"/>
    </row>
    <row r="999" spans="1:18" x14ac:dyDescent="0.35">
      <c r="A999" s="3"/>
      <c r="B999" s="3"/>
      <c r="C999" s="3"/>
      <c r="D999" s="3"/>
      <c r="E999" s="3"/>
      <c r="F999" s="3"/>
      <c r="G999" s="3"/>
      <c r="H999" s="3"/>
      <c r="I999" s="3"/>
      <c r="J999" s="3"/>
      <c r="K999" s="3"/>
      <c r="L999" s="3"/>
      <c r="M999" s="3"/>
      <c r="N999" s="3"/>
      <c r="O999" s="3"/>
      <c r="P999" s="3"/>
      <c r="Q999" s="261"/>
      <c r="R999" s="261"/>
    </row>
    <row r="1000" spans="1:18" x14ac:dyDescent="0.35">
      <c r="A1000" s="3"/>
      <c r="B1000" s="3"/>
      <c r="C1000" s="3"/>
      <c r="D1000" s="3"/>
      <c r="E1000" s="3"/>
      <c r="F1000" s="3"/>
      <c r="G1000" s="3"/>
      <c r="H1000" s="3"/>
      <c r="I1000" s="3"/>
      <c r="J1000" s="3"/>
      <c r="K1000" s="3"/>
      <c r="L1000" s="3"/>
      <c r="M1000" s="3"/>
      <c r="N1000" s="3"/>
      <c r="O1000" s="3"/>
      <c r="P1000" s="3"/>
      <c r="Q1000" s="261"/>
      <c r="R1000" s="261"/>
    </row>
    <row r="1001" spans="1:18" x14ac:dyDescent="0.35">
      <c r="A1001" s="3"/>
      <c r="B1001" s="3"/>
      <c r="C1001" s="3"/>
      <c r="D1001" s="3"/>
      <c r="E1001" s="3"/>
      <c r="F1001" s="3"/>
      <c r="G1001" s="3"/>
      <c r="H1001" s="3"/>
      <c r="I1001" s="3"/>
      <c r="J1001" s="3"/>
      <c r="K1001" s="3"/>
      <c r="L1001" s="3"/>
      <c r="M1001" s="3"/>
      <c r="N1001" s="3"/>
      <c r="O1001" s="3"/>
      <c r="P1001" s="3"/>
      <c r="Q1001" s="261"/>
      <c r="R1001" s="261"/>
    </row>
    <row r="1002" spans="1:18" x14ac:dyDescent="0.35">
      <c r="A1002" s="3"/>
      <c r="B1002" s="3"/>
      <c r="C1002" s="3"/>
      <c r="D1002" s="3"/>
      <c r="E1002" s="3"/>
      <c r="F1002" s="3"/>
      <c r="G1002" s="3"/>
      <c r="H1002" s="3"/>
      <c r="I1002" s="3"/>
      <c r="J1002" s="3"/>
      <c r="K1002" s="3"/>
      <c r="L1002" s="3"/>
      <c r="M1002" s="3"/>
      <c r="N1002" s="3"/>
      <c r="O1002" s="3"/>
      <c r="P1002" s="3"/>
      <c r="Q1002" s="261"/>
      <c r="R1002" s="261"/>
    </row>
    <row r="1003" spans="1:18" x14ac:dyDescent="0.35">
      <c r="A1003" s="3"/>
      <c r="B1003" s="3"/>
      <c r="C1003" s="3"/>
      <c r="D1003" s="3"/>
      <c r="E1003" s="3"/>
      <c r="F1003" s="3"/>
      <c r="G1003" s="3"/>
      <c r="H1003" s="3"/>
      <c r="I1003" s="3"/>
      <c r="J1003" s="3"/>
      <c r="K1003" s="3"/>
      <c r="L1003" s="3"/>
      <c r="M1003" s="3"/>
      <c r="N1003" s="3"/>
      <c r="O1003" s="3"/>
      <c r="P1003" s="3"/>
      <c r="Q1003" s="261"/>
      <c r="R1003" s="261"/>
    </row>
    <row r="1004" spans="1:18" x14ac:dyDescent="0.35">
      <c r="A1004" s="3"/>
      <c r="B1004" s="3"/>
      <c r="C1004" s="3"/>
      <c r="D1004" s="3"/>
      <c r="E1004" s="3"/>
      <c r="F1004" s="3"/>
      <c r="G1004" s="3"/>
      <c r="H1004" s="3"/>
      <c r="I1004" s="3"/>
      <c r="J1004" s="3"/>
      <c r="K1004" s="3"/>
      <c r="L1004" s="3"/>
      <c r="M1004" s="3"/>
      <c r="N1004" s="3"/>
      <c r="O1004" s="3"/>
      <c r="P1004" s="3"/>
      <c r="Q1004" s="261"/>
      <c r="R1004" s="261"/>
    </row>
    <row r="1005" spans="1:18" x14ac:dyDescent="0.35">
      <c r="A1005" s="3"/>
      <c r="B1005" s="3"/>
      <c r="C1005" s="3"/>
      <c r="D1005" s="3"/>
      <c r="E1005" s="3"/>
      <c r="F1005" s="3"/>
      <c r="G1005" s="3"/>
      <c r="H1005" s="3"/>
      <c r="I1005" s="3"/>
      <c r="J1005" s="3"/>
      <c r="K1005" s="3"/>
      <c r="L1005" s="3"/>
      <c r="M1005" s="3"/>
      <c r="N1005" s="3"/>
      <c r="O1005" s="3"/>
      <c r="P1005" s="3"/>
      <c r="Q1005" s="261"/>
      <c r="R1005" s="261"/>
    </row>
    <row r="1006" spans="1:18" x14ac:dyDescent="0.35">
      <c r="A1006" s="3"/>
      <c r="B1006" s="3"/>
      <c r="C1006" s="3"/>
      <c r="D1006" s="3"/>
      <c r="E1006" s="3"/>
      <c r="F1006" s="3"/>
      <c r="G1006" s="3"/>
      <c r="H1006" s="3"/>
      <c r="I1006" s="3"/>
      <c r="J1006" s="3"/>
      <c r="K1006" s="3"/>
      <c r="L1006" s="3"/>
      <c r="M1006" s="3"/>
      <c r="N1006" s="3"/>
      <c r="O1006" s="3"/>
      <c r="P1006" s="3"/>
      <c r="Q1006" s="261"/>
      <c r="R1006" s="261"/>
    </row>
    <row r="1007" spans="1:18" x14ac:dyDescent="0.35">
      <c r="A1007" s="3"/>
      <c r="B1007" s="3"/>
      <c r="C1007" s="3"/>
      <c r="D1007" s="3"/>
      <c r="E1007" s="3"/>
      <c r="F1007" s="3"/>
      <c r="G1007" s="3"/>
      <c r="H1007" s="3"/>
      <c r="I1007" s="3"/>
      <c r="J1007" s="3"/>
      <c r="K1007" s="3"/>
      <c r="L1007" s="3"/>
      <c r="M1007" s="3"/>
      <c r="N1007" s="3"/>
      <c r="O1007" s="3"/>
      <c r="P1007" s="3"/>
      <c r="Q1007" s="261"/>
      <c r="R1007" s="261"/>
    </row>
    <row r="1008" spans="1:18" x14ac:dyDescent="0.35">
      <c r="A1008" s="3"/>
      <c r="B1008" s="3"/>
      <c r="C1008" s="3"/>
      <c r="D1008" s="3"/>
      <c r="E1008" s="3"/>
      <c r="F1008" s="3"/>
      <c r="G1008" s="3"/>
      <c r="H1008" s="3"/>
      <c r="I1008" s="3"/>
      <c r="J1008" s="3"/>
      <c r="K1008" s="3"/>
      <c r="L1008" s="3"/>
      <c r="M1008" s="3"/>
      <c r="N1008" s="3"/>
      <c r="O1008" s="3"/>
      <c r="P1008" s="3"/>
      <c r="Q1008" s="261"/>
      <c r="R1008" s="261"/>
    </row>
    <row r="1009" spans="1:18" x14ac:dyDescent="0.35">
      <c r="A1009" s="3"/>
      <c r="B1009" s="3"/>
      <c r="C1009" s="3"/>
      <c r="D1009" s="3"/>
      <c r="E1009" s="3"/>
      <c r="F1009" s="3"/>
      <c r="G1009" s="3"/>
      <c r="H1009" s="3"/>
      <c r="I1009" s="3"/>
      <c r="J1009" s="3"/>
      <c r="K1009" s="3"/>
      <c r="L1009" s="3"/>
      <c r="M1009" s="3"/>
      <c r="N1009" s="3"/>
      <c r="O1009" s="3"/>
      <c r="P1009" s="3"/>
      <c r="Q1009" s="261"/>
      <c r="R1009" s="261"/>
    </row>
    <row r="1010" spans="1:18" x14ac:dyDescent="0.35">
      <c r="A1010" s="3"/>
      <c r="B1010" s="3"/>
      <c r="C1010" s="3"/>
      <c r="D1010" s="3"/>
      <c r="E1010" s="3"/>
      <c r="F1010" s="3"/>
      <c r="G1010" s="3"/>
      <c r="H1010" s="3"/>
      <c r="I1010" s="3"/>
      <c r="J1010" s="3"/>
      <c r="K1010" s="3"/>
      <c r="L1010" s="3"/>
      <c r="M1010" s="3"/>
      <c r="N1010" s="3"/>
      <c r="O1010" s="3"/>
      <c r="P1010" s="3"/>
      <c r="Q1010" s="261"/>
      <c r="R1010" s="261"/>
    </row>
    <row r="1011" spans="1:18" x14ac:dyDescent="0.35">
      <c r="A1011" s="3"/>
      <c r="B1011" s="3"/>
      <c r="C1011" s="3"/>
      <c r="D1011" s="3"/>
      <c r="E1011" s="3"/>
      <c r="F1011" s="3"/>
      <c r="G1011" s="3"/>
      <c r="H1011" s="3"/>
      <c r="I1011" s="3"/>
      <c r="J1011" s="3"/>
      <c r="K1011" s="3"/>
      <c r="L1011" s="3"/>
      <c r="M1011" s="3"/>
      <c r="N1011" s="3"/>
      <c r="O1011" s="3"/>
      <c r="P1011" s="3"/>
      <c r="Q1011" s="261"/>
      <c r="R1011" s="261"/>
    </row>
    <row r="1012" spans="1:18" x14ac:dyDescent="0.35">
      <c r="A1012" s="3"/>
      <c r="B1012" s="3"/>
      <c r="C1012" s="3"/>
      <c r="D1012" s="3"/>
      <c r="E1012" s="3"/>
      <c r="F1012" s="3"/>
      <c r="G1012" s="3"/>
      <c r="H1012" s="3"/>
      <c r="I1012" s="3"/>
      <c r="J1012" s="3"/>
      <c r="K1012" s="3"/>
      <c r="L1012" s="3"/>
      <c r="M1012" s="3"/>
      <c r="N1012" s="3"/>
      <c r="O1012" s="3"/>
      <c r="P1012" s="3"/>
      <c r="Q1012" s="261"/>
      <c r="R1012" s="261"/>
    </row>
    <row r="1013" spans="1:18" x14ac:dyDescent="0.35">
      <c r="A1013" s="3"/>
      <c r="B1013" s="3"/>
      <c r="C1013" s="3"/>
      <c r="D1013" s="3"/>
      <c r="E1013" s="3"/>
      <c r="F1013" s="3"/>
      <c r="G1013" s="3"/>
      <c r="H1013" s="3"/>
      <c r="I1013" s="3"/>
      <c r="J1013" s="3"/>
      <c r="K1013" s="3"/>
      <c r="L1013" s="3"/>
      <c r="M1013" s="3"/>
      <c r="N1013" s="3"/>
      <c r="O1013" s="3"/>
      <c r="P1013" s="3"/>
      <c r="Q1013" s="261"/>
      <c r="R1013" s="261"/>
    </row>
    <row r="1014" spans="1:18" x14ac:dyDescent="0.35">
      <c r="A1014" s="3"/>
      <c r="B1014" s="3"/>
      <c r="C1014" s="3"/>
      <c r="D1014" s="3"/>
      <c r="E1014" s="3"/>
      <c r="F1014" s="3"/>
      <c r="G1014" s="3"/>
      <c r="H1014" s="3"/>
      <c r="I1014" s="3"/>
      <c r="J1014" s="3"/>
      <c r="K1014" s="3"/>
      <c r="L1014" s="3"/>
      <c r="M1014" s="3"/>
      <c r="N1014" s="3"/>
      <c r="O1014" s="3"/>
      <c r="P1014" s="3"/>
      <c r="Q1014" s="261"/>
      <c r="R1014" s="261"/>
    </row>
    <row r="1015" spans="1:18" x14ac:dyDescent="0.35">
      <c r="A1015" s="3"/>
      <c r="B1015" s="3"/>
      <c r="C1015" s="3"/>
      <c r="D1015" s="3"/>
      <c r="E1015" s="3"/>
      <c r="F1015" s="3"/>
      <c r="G1015" s="3"/>
      <c r="H1015" s="3"/>
      <c r="I1015" s="3"/>
      <c r="J1015" s="3"/>
      <c r="K1015" s="3"/>
      <c r="L1015" s="3"/>
      <c r="M1015" s="3"/>
      <c r="N1015" s="3"/>
      <c r="O1015" s="3"/>
      <c r="P1015" s="3"/>
      <c r="Q1015" s="261"/>
      <c r="R1015" s="261"/>
    </row>
    <row r="1016" spans="1:18" x14ac:dyDescent="0.35">
      <c r="A1016" s="3"/>
      <c r="B1016" s="3"/>
      <c r="C1016" s="3"/>
      <c r="D1016" s="3"/>
      <c r="E1016" s="3"/>
      <c r="F1016" s="3"/>
      <c r="G1016" s="3"/>
      <c r="H1016" s="3"/>
      <c r="I1016" s="3"/>
      <c r="J1016" s="3"/>
      <c r="K1016" s="3"/>
      <c r="L1016" s="3"/>
      <c r="M1016" s="3"/>
      <c r="N1016" s="3"/>
      <c r="O1016" s="3"/>
      <c r="P1016" s="3"/>
      <c r="Q1016" s="261"/>
      <c r="R1016" s="261"/>
    </row>
    <row r="1017" spans="1:18" x14ac:dyDescent="0.35">
      <c r="A1017" s="3"/>
      <c r="B1017" s="3"/>
      <c r="C1017" s="3"/>
      <c r="D1017" s="3"/>
      <c r="E1017" s="3"/>
      <c r="F1017" s="3"/>
      <c r="G1017" s="3"/>
      <c r="H1017" s="3"/>
      <c r="I1017" s="3"/>
      <c r="J1017" s="3"/>
      <c r="K1017" s="3"/>
      <c r="L1017" s="3"/>
      <c r="M1017" s="3"/>
      <c r="N1017" s="3"/>
      <c r="O1017" s="3"/>
      <c r="P1017" s="3"/>
      <c r="Q1017" s="261"/>
      <c r="R1017" s="261"/>
    </row>
    <row r="1018" spans="1:18" x14ac:dyDescent="0.35">
      <c r="A1018" s="3"/>
      <c r="B1018" s="3"/>
      <c r="C1018" s="3"/>
      <c r="D1018" s="3"/>
      <c r="E1018" s="3"/>
      <c r="F1018" s="3"/>
      <c r="G1018" s="3"/>
      <c r="H1018" s="3"/>
      <c r="I1018" s="3"/>
      <c r="J1018" s="3"/>
      <c r="K1018" s="3"/>
      <c r="L1018" s="3"/>
      <c r="M1018" s="3"/>
      <c r="N1018" s="3"/>
      <c r="O1018" s="3"/>
      <c r="P1018" s="3"/>
      <c r="Q1018" s="261"/>
      <c r="R1018" s="261"/>
    </row>
    <row r="1019" spans="1:18" x14ac:dyDescent="0.35">
      <c r="A1019" s="3"/>
      <c r="B1019" s="3"/>
      <c r="C1019" s="3"/>
      <c r="D1019" s="3"/>
      <c r="E1019" s="3"/>
      <c r="F1019" s="3"/>
      <c r="G1019" s="3"/>
      <c r="H1019" s="3"/>
      <c r="I1019" s="3"/>
      <c r="J1019" s="3"/>
      <c r="K1019" s="3"/>
      <c r="L1019" s="3"/>
      <c r="M1019" s="3"/>
      <c r="N1019" s="3"/>
      <c r="O1019" s="3"/>
      <c r="P1019" s="3"/>
      <c r="Q1019" s="261"/>
      <c r="R1019" s="261"/>
    </row>
    <row r="1020" spans="1:18" x14ac:dyDescent="0.35">
      <c r="A1020" s="3"/>
      <c r="B1020" s="3"/>
      <c r="C1020" s="3"/>
      <c r="D1020" s="3"/>
      <c r="E1020" s="3"/>
      <c r="F1020" s="3"/>
      <c r="G1020" s="3"/>
      <c r="H1020" s="3"/>
      <c r="I1020" s="3"/>
      <c r="J1020" s="3"/>
      <c r="K1020" s="3"/>
      <c r="L1020" s="3"/>
      <c r="M1020" s="3"/>
      <c r="N1020" s="3"/>
      <c r="O1020" s="3"/>
      <c r="P1020" s="3"/>
      <c r="Q1020" s="261"/>
      <c r="R1020" s="261"/>
    </row>
    <row r="1021" spans="1:18" x14ac:dyDescent="0.35">
      <c r="A1021" s="3"/>
      <c r="B1021" s="3"/>
      <c r="C1021" s="3"/>
      <c r="D1021" s="3"/>
      <c r="E1021" s="3"/>
      <c r="F1021" s="3"/>
      <c r="G1021" s="3"/>
      <c r="H1021" s="3"/>
      <c r="I1021" s="3"/>
      <c r="J1021" s="3"/>
      <c r="K1021" s="3"/>
      <c r="L1021" s="3"/>
      <c r="M1021" s="3"/>
      <c r="N1021" s="3"/>
      <c r="O1021" s="3"/>
      <c r="P1021" s="3"/>
      <c r="Q1021" s="261"/>
      <c r="R1021" s="261"/>
    </row>
    <row r="1022" spans="1:18" x14ac:dyDescent="0.35">
      <c r="A1022" s="3"/>
      <c r="B1022" s="3"/>
      <c r="C1022" s="3"/>
      <c r="D1022" s="3"/>
      <c r="E1022" s="3"/>
      <c r="F1022" s="3"/>
      <c r="G1022" s="3"/>
      <c r="H1022" s="3"/>
      <c r="I1022" s="3"/>
      <c r="J1022" s="3"/>
      <c r="K1022" s="3"/>
      <c r="L1022" s="3"/>
      <c r="M1022" s="3"/>
      <c r="N1022" s="3"/>
      <c r="O1022" s="3"/>
      <c r="P1022" s="3"/>
      <c r="Q1022" s="261"/>
      <c r="R1022" s="261"/>
    </row>
    <row r="1023" spans="1:18" x14ac:dyDescent="0.35">
      <c r="A1023" s="3"/>
      <c r="B1023" s="3"/>
      <c r="C1023" s="3"/>
      <c r="D1023" s="3"/>
      <c r="E1023" s="3"/>
      <c r="F1023" s="3"/>
      <c r="G1023" s="3"/>
      <c r="H1023" s="3"/>
      <c r="I1023" s="3"/>
      <c r="J1023" s="3"/>
      <c r="K1023" s="3"/>
      <c r="L1023" s="3"/>
      <c r="M1023" s="3"/>
      <c r="N1023" s="3"/>
      <c r="O1023" s="3"/>
      <c r="P1023" s="3"/>
      <c r="Q1023" s="261"/>
      <c r="R1023" s="261"/>
    </row>
    <row r="1024" spans="1:18" x14ac:dyDescent="0.35">
      <c r="A1024" s="3"/>
      <c r="B1024" s="3"/>
      <c r="C1024" s="3"/>
      <c r="D1024" s="3"/>
      <c r="E1024" s="3"/>
      <c r="F1024" s="3"/>
      <c r="G1024" s="3"/>
      <c r="H1024" s="3"/>
      <c r="I1024" s="3"/>
      <c r="J1024" s="3"/>
      <c r="K1024" s="3"/>
      <c r="L1024" s="3"/>
      <c r="M1024" s="3"/>
      <c r="N1024" s="3"/>
      <c r="O1024" s="3"/>
      <c r="P1024" s="3"/>
      <c r="Q1024" s="261"/>
      <c r="R1024" s="261"/>
    </row>
    <row r="1025" spans="1:18" x14ac:dyDescent="0.35">
      <c r="A1025" s="3"/>
      <c r="B1025" s="3"/>
      <c r="C1025" s="3"/>
      <c r="D1025" s="3"/>
      <c r="E1025" s="3"/>
      <c r="F1025" s="3"/>
      <c r="G1025" s="3"/>
      <c r="H1025" s="3"/>
      <c r="I1025" s="3"/>
      <c r="J1025" s="3"/>
      <c r="K1025" s="3"/>
      <c r="L1025" s="3"/>
      <c r="M1025" s="3"/>
      <c r="N1025" s="3"/>
      <c r="O1025" s="3"/>
      <c r="P1025" s="3"/>
      <c r="Q1025" s="261"/>
      <c r="R1025" s="261"/>
    </row>
    <row r="1026" spans="1:18" x14ac:dyDescent="0.35">
      <c r="A1026" s="3"/>
      <c r="B1026" s="3"/>
      <c r="C1026" s="3"/>
      <c r="D1026" s="3"/>
      <c r="E1026" s="3"/>
      <c r="F1026" s="3"/>
      <c r="G1026" s="3"/>
      <c r="H1026" s="3"/>
      <c r="I1026" s="3"/>
      <c r="J1026" s="3"/>
      <c r="K1026" s="3"/>
      <c r="L1026" s="3"/>
      <c r="M1026" s="3"/>
      <c r="N1026" s="3"/>
      <c r="O1026" s="3"/>
      <c r="P1026" s="3"/>
      <c r="Q1026" s="261"/>
      <c r="R1026" s="261"/>
    </row>
    <row r="1027" spans="1:18" x14ac:dyDescent="0.35">
      <c r="A1027" s="3"/>
      <c r="B1027" s="3"/>
      <c r="C1027" s="3"/>
      <c r="D1027" s="3"/>
      <c r="E1027" s="3"/>
      <c r="F1027" s="3"/>
      <c r="G1027" s="3"/>
      <c r="H1027" s="3"/>
      <c r="I1027" s="3"/>
      <c r="J1027" s="3"/>
      <c r="K1027" s="3"/>
      <c r="L1027" s="3"/>
      <c r="M1027" s="3"/>
      <c r="N1027" s="3"/>
      <c r="O1027" s="3"/>
      <c r="P1027" s="3"/>
      <c r="Q1027" s="261"/>
      <c r="R1027" s="261"/>
    </row>
    <row r="1028" spans="1:18" x14ac:dyDescent="0.35">
      <c r="A1028" s="3"/>
      <c r="B1028" s="3"/>
      <c r="C1028" s="3"/>
      <c r="D1028" s="3"/>
      <c r="E1028" s="3"/>
      <c r="F1028" s="3"/>
      <c r="G1028" s="3"/>
      <c r="H1028" s="3"/>
      <c r="I1028" s="3"/>
      <c r="J1028" s="3"/>
      <c r="K1028" s="3"/>
      <c r="L1028" s="3"/>
      <c r="M1028" s="3"/>
      <c r="N1028" s="3"/>
      <c r="O1028" s="3"/>
      <c r="P1028" s="3"/>
      <c r="Q1028" s="261"/>
      <c r="R1028" s="261"/>
    </row>
    <row r="1029" spans="1:18" x14ac:dyDescent="0.35">
      <c r="A1029" s="3"/>
      <c r="B1029" s="3"/>
      <c r="C1029" s="3"/>
      <c r="D1029" s="3"/>
      <c r="E1029" s="3"/>
      <c r="F1029" s="3"/>
      <c r="G1029" s="3"/>
      <c r="H1029" s="3"/>
      <c r="I1029" s="3"/>
      <c r="J1029" s="3"/>
      <c r="K1029" s="3"/>
      <c r="L1029" s="3"/>
      <c r="M1029" s="3"/>
      <c r="N1029" s="3"/>
      <c r="O1029" s="3"/>
      <c r="P1029" s="3"/>
      <c r="Q1029" s="261"/>
      <c r="R1029" s="261"/>
    </row>
    <row r="1030" spans="1:18" x14ac:dyDescent="0.35">
      <c r="A1030" s="3"/>
      <c r="B1030" s="3"/>
      <c r="C1030" s="3"/>
      <c r="D1030" s="3"/>
      <c r="E1030" s="3"/>
      <c r="F1030" s="3"/>
      <c r="G1030" s="3"/>
      <c r="H1030" s="3"/>
      <c r="I1030" s="3"/>
      <c r="J1030" s="3"/>
      <c r="K1030" s="3"/>
      <c r="L1030" s="3"/>
      <c r="M1030" s="3"/>
      <c r="N1030" s="3"/>
      <c r="O1030" s="3"/>
      <c r="P1030" s="3"/>
      <c r="Q1030" s="261"/>
      <c r="R1030" s="261"/>
    </row>
    <row r="1031" spans="1:18" x14ac:dyDescent="0.35">
      <c r="A1031" s="3"/>
      <c r="B1031" s="3"/>
      <c r="C1031" s="3"/>
      <c r="D1031" s="3"/>
      <c r="E1031" s="3"/>
      <c r="F1031" s="3"/>
      <c r="G1031" s="3"/>
      <c r="H1031" s="3"/>
      <c r="I1031" s="3"/>
      <c r="J1031" s="3"/>
      <c r="K1031" s="3"/>
      <c r="L1031" s="3"/>
      <c r="M1031" s="3"/>
      <c r="N1031" s="3"/>
      <c r="O1031" s="3"/>
      <c r="P1031" s="3"/>
      <c r="Q1031" s="261"/>
      <c r="R1031" s="261"/>
    </row>
    <row r="1032" spans="1:18" x14ac:dyDescent="0.35">
      <c r="A1032" s="3"/>
      <c r="B1032" s="3"/>
      <c r="C1032" s="3"/>
      <c r="D1032" s="3"/>
      <c r="E1032" s="3"/>
      <c r="F1032" s="3"/>
      <c r="G1032" s="3"/>
      <c r="H1032" s="3"/>
      <c r="I1032" s="3"/>
      <c r="J1032" s="3"/>
      <c r="K1032" s="3"/>
      <c r="L1032" s="3"/>
      <c r="M1032" s="3"/>
      <c r="N1032" s="3"/>
      <c r="O1032" s="3"/>
      <c r="P1032" s="3"/>
      <c r="Q1032" s="261"/>
      <c r="R1032" s="261"/>
    </row>
    <row r="1033" spans="1:18" x14ac:dyDescent="0.35">
      <c r="A1033" s="3"/>
      <c r="B1033" s="3"/>
      <c r="C1033" s="3"/>
      <c r="D1033" s="3"/>
      <c r="E1033" s="3"/>
      <c r="F1033" s="3"/>
      <c r="G1033" s="3"/>
      <c r="H1033" s="3"/>
      <c r="I1033" s="3"/>
      <c r="J1033" s="3"/>
      <c r="K1033" s="3"/>
      <c r="L1033" s="3"/>
      <c r="M1033" s="3"/>
      <c r="N1033" s="3"/>
      <c r="O1033" s="3"/>
      <c r="P1033" s="3"/>
      <c r="Q1033" s="261"/>
      <c r="R1033" s="261"/>
    </row>
    <row r="1034" spans="1:18" x14ac:dyDescent="0.35">
      <c r="A1034" s="3"/>
      <c r="B1034" s="3"/>
      <c r="C1034" s="3"/>
      <c r="D1034" s="3"/>
      <c r="E1034" s="3"/>
      <c r="F1034" s="3"/>
      <c r="G1034" s="3"/>
      <c r="H1034" s="3"/>
      <c r="I1034" s="3"/>
      <c r="J1034" s="3"/>
      <c r="K1034" s="3"/>
      <c r="L1034" s="3"/>
      <c r="M1034" s="3"/>
      <c r="N1034" s="3"/>
      <c r="O1034" s="3"/>
      <c r="P1034" s="3"/>
      <c r="Q1034" s="261"/>
      <c r="R1034" s="261"/>
    </row>
    <row r="1035" spans="1:18" x14ac:dyDescent="0.35">
      <c r="A1035" s="3"/>
      <c r="B1035" s="3"/>
      <c r="C1035" s="3"/>
      <c r="D1035" s="3"/>
      <c r="E1035" s="3"/>
      <c r="F1035" s="3"/>
      <c r="G1035" s="3"/>
      <c r="H1035" s="3"/>
      <c r="I1035" s="3"/>
      <c r="J1035" s="3"/>
      <c r="K1035" s="3"/>
      <c r="L1035" s="3"/>
      <c r="M1035" s="3"/>
      <c r="N1035" s="3"/>
      <c r="O1035" s="3"/>
      <c r="P1035" s="3"/>
      <c r="Q1035" s="261"/>
      <c r="R1035" s="261"/>
    </row>
    <row r="1036" spans="1:18" x14ac:dyDescent="0.35">
      <c r="A1036" s="3"/>
      <c r="B1036" s="3"/>
      <c r="C1036" s="3"/>
      <c r="D1036" s="3"/>
      <c r="E1036" s="3"/>
      <c r="F1036" s="3"/>
      <c r="G1036" s="3"/>
      <c r="H1036" s="3"/>
      <c r="I1036" s="3"/>
      <c r="J1036" s="3"/>
      <c r="K1036" s="3"/>
      <c r="L1036" s="3"/>
      <c r="M1036" s="3"/>
      <c r="N1036" s="3"/>
      <c r="O1036" s="3"/>
      <c r="P1036" s="3"/>
      <c r="Q1036" s="261"/>
      <c r="R1036" s="261"/>
    </row>
    <row r="1037" spans="1:18" x14ac:dyDescent="0.35">
      <c r="A1037" s="3"/>
      <c r="B1037" s="3"/>
      <c r="C1037" s="3"/>
      <c r="D1037" s="3"/>
      <c r="E1037" s="3"/>
      <c r="F1037" s="3"/>
      <c r="G1037" s="3"/>
      <c r="H1037" s="3"/>
      <c r="I1037" s="3"/>
      <c r="J1037" s="3"/>
      <c r="K1037" s="3"/>
      <c r="L1037" s="3"/>
      <c r="M1037" s="3"/>
      <c r="N1037" s="3"/>
      <c r="O1037" s="3"/>
      <c r="P1037" s="3"/>
      <c r="Q1037" s="261"/>
      <c r="R1037" s="261"/>
    </row>
    <row r="1038" spans="1:18" x14ac:dyDescent="0.35">
      <c r="A1038" s="3"/>
      <c r="B1038" s="3"/>
      <c r="C1038" s="3"/>
      <c r="D1038" s="3"/>
      <c r="E1038" s="3"/>
      <c r="F1038" s="3"/>
      <c r="G1038" s="3"/>
      <c r="H1038" s="3"/>
      <c r="I1038" s="3"/>
      <c r="J1038" s="3"/>
      <c r="K1038" s="3"/>
      <c r="L1038" s="3"/>
      <c r="M1038" s="3"/>
      <c r="N1038" s="3"/>
      <c r="O1038" s="3"/>
      <c r="P1038" s="3"/>
      <c r="Q1038" s="261"/>
      <c r="R1038" s="261"/>
    </row>
    <row r="1039" spans="1:18" x14ac:dyDescent="0.35">
      <c r="A1039" s="3"/>
      <c r="B1039" s="3"/>
      <c r="C1039" s="3"/>
      <c r="D1039" s="3"/>
      <c r="E1039" s="3"/>
      <c r="F1039" s="3"/>
      <c r="G1039" s="3"/>
      <c r="H1039" s="3"/>
      <c r="I1039" s="3"/>
      <c r="J1039" s="3"/>
      <c r="K1039" s="3"/>
      <c r="L1039" s="3"/>
      <c r="M1039" s="3"/>
      <c r="N1039" s="3"/>
      <c r="O1039" s="3"/>
      <c r="P1039" s="3"/>
      <c r="Q1039" s="261"/>
      <c r="R1039" s="261"/>
    </row>
    <row r="1040" spans="1:18" x14ac:dyDescent="0.35">
      <c r="A1040" s="3"/>
      <c r="B1040" s="3"/>
      <c r="C1040" s="3"/>
      <c r="D1040" s="3"/>
      <c r="E1040" s="3"/>
      <c r="F1040" s="3"/>
      <c r="G1040" s="3"/>
      <c r="H1040" s="3"/>
      <c r="I1040" s="3"/>
      <c r="J1040" s="3"/>
      <c r="K1040" s="3"/>
      <c r="L1040" s="3"/>
      <c r="M1040" s="3"/>
      <c r="N1040" s="3"/>
      <c r="O1040" s="3"/>
      <c r="P1040" s="3"/>
      <c r="Q1040" s="261"/>
      <c r="R1040" s="261"/>
    </row>
    <row r="1041" spans="1:18" x14ac:dyDescent="0.35">
      <c r="A1041" s="3"/>
      <c r="B1041" s="3"/>
      <c r="C1041" s="3"/>
      <c r="D1041" s="3"/>
      <c r="E1041" s="3"/>
      <c r="F1041" s="3"/>
      <c r="G1041" s="3"/>
      <c r="H1041" s="3"/>
      <c r="I1041" s="3"/>
      <c r="J1041" s="3"/>
      <c r="K1041" s="3"/>
      <c r="L1041" s="3"/>
      <c r="M1041" s="3"/>
      <c r="N1041" s="3"/>
      <c r="O1041" s="3"/>
      <c r="P1041" s="3"/>
      <c r="Q1041" s="261"/>
      <c r="R1041" s="261"/>
    </row>
    <row r="1042" spans="1:18" x14ac:dyDescent="0.35">
      <c r="A1042" s="3"/>
      <c r="B1042" s="3"/>
      <c r="C1042" s="3"/>
      <c r="D1042" s="3"/>
      <c r="E1042" s="3"/>
      <c r="F1042" s="3"/>
      <c r="G1042" s="3"/>
      <c r="H1042" s="3"/>
      <c r="I1042" s="3"/>
      <c r="J1042" s="3"/>
      <c r="K1042" s="3"/>
      <c r="L1042" s="3"/>
      <c r="M1042" s="3"/>
      <c r="N1042" s="3"/>
      <c r="O1042" s="3"/>
      <c r="P1042" s="3"/>
      <c r="Q1042" s="261"/>
      <c r="R1042" s="261"/>
    </row>
    <row r="1043" spans="1:18" x14ac:dyDescent="0.35">
      <c r="A1043" s="3"/>
      <c r="B1043" s="3"/>
      <c r="C1043" s="3"/>
      <c r="D1043" s="3"/>
      <c r="E1043" s="3"/>
      <c r="F1043" s="3"/>
      <c r="G1043" s="3"/>
      <c r="H1043" s="3"/>
      <c r="I1043" s="3"/>
      <c r="J1043" s="3"/>
      <c r="K1043" s="3"/>
      <c r="L1043" s="3"/>
      <c r="M1043" s="3"/>
      <c r="N1043" s="3"/>
      <c r="O1043" s="3"/>
      <c r="P1043" s="3"/>
      <c r="Q1043" s="261"/>
      <c r="R1043" s="261"/>
    </row>
    <row r="1044" spans="1:18" x14ac:dyDescent="0.35">
      <c r="A1044" s="3"/>
      <c r="B1044" s="3"/>
      <c r="C1044" s="3"/>
      <c r="D1044" s="3"/>
      <c r="E1044" s="3"/>
      <c r="F1044" s="3"/>
      <c r="G1044" s="3"/>
      <c r="H1044" s="3"/>
      <c r="I1044" s="3"/>
      <c r="J1044" s="3"/>
      <c r="K1044" s="3"/>
      <c r="L1044" s="3"/>
      <c r="M1044" s="3"/>
      <c r="N1044" s="3"/>
      <c r="O1044" s="3"/>
      <c r="P1044" s="3"/>
      <c r="Q1044" s="261"/>
      <c r="R1044" s="261"/>
    </row>
    <row r="1045" spans="1:18" x14ac:dyDescent="0.35">
      <c r="A1045" s="3"/>
      <c r="B1045" s="3"/>
      <c r="C1045" s="3"/>
      <c r="D1045" s="3"/>
      <c r="E1045" s="3"/>
      <c r="F1045" s="3"/>
      <c r="G1045" s="3"/>
      <c r="H1045" s="3"/>
      <c r="I1045" s="3"/>
      <c r="J1045" s="3"/>
      <c r="K1045" s="3"/>
      <c r="L1045" s="3"/>
      <c r="M1045" s="3"/>
      <c r="N1045" s="3"/>
      <c r="O1045" s="3"/>
      <c r="P1045" s="3"/>
      <c r="Q1045" s="261"/>
      <c r="R1045" s="261"/>
    </row>
    <row r="1046" spans="1:18" x14ac:dyDescent="0.35">
      <c r="A1046" s="3"/>
      <c r="B1046" s="3"/>
      <c r="C1046" s="3"/>
      <c r="D1046" s="3"/>
      <c r="E1046" s="3"/>
      <c r="F1046" s="3"/>
      <c r="G1046" s="3"/>
      <c r="H1046" s="3"/>
      <c r="I1046" s="3"/>
      <c r="J1046" s="3"/>
      <c r="K1046" s="3"/>
      <c r="L1046" s="3"/>
      <c r="M1046" s="3"/>
      <c r="N1046" s="3"/>
      <c r="O1046" s="3"/>
      <c r="P1046" s="3"/>
      <c r="Q1046" s="261"/>
      <c r="R1046" s="261"/>
    </row>
    <row r="1047" spans="1:18" x14ac:dyDescent="0.35">
      <c r="A1047" s="3"/>
      <c r="B1047" s="3"/>
      <c r="C1047" s="3"/>
      <c r="D1047" s="3"/>
      <c r="E1047" s="3"/>
      <c r="F1047" s="3"/>
      <c r="G1047" s="3"/>
      <c r="H1047" s="3"/>
      <c r="I1047" s="3"/>
      <c r="J1047" s="3"/>
      <c r="K1047" s="3"/>
      <c r="L1047" s="3"/>
      <c r="M1047" s="3"/>
      <c r="N1047" s="3"/>
      <c r="O1047" s="3"/>
      <c r="P1047" s="3"/>
      <c r="Q1047" s="261"/>
      <c r="R1047" s="261"/>
    </row>
    <row r="1048" spans="1:18" x14ac:dyDescent="0.35">
      <c r="A1048" s="3"/>
      <c r="B1048" s="3"/>
      <c r="C1048" s="3"/>
      <c r="D1048" s="3"/>
      <c r="E1048" s="3"/>
      <c r="F1048" s="3"/>
      <c r="G1048" s="3"/>
      <c r="H1048" s="3"/>
      <c r="I1048" s="3"/>
      <c r="J1048" s="3"/>
      <c r="K1048" s="3"/>
      <c r="L1048" s="3"/>
      <c r="M1048" s="3"/>
      <c r="N1048" s="3"/>
      <c r="O1048" s="3"/>
      <c r="P1048" s="3"/>
      <c r="Q1048" s="261"/>
      <c r="R1048" s="261"/>
    </row>
    <row r="1049" spans="1:18" x14ac:dyDescent="0.35">
      <c r="A1049" s="3"/>
      <c r="B1049" s="3"/>
      <c r="C1049" s="3"/>
      <c r="D1049" s="3"/>
      <c r="E1049" s="3"/>
      <c r="F1049" s="3"/>
      <c r="G1049" s="3"/>
      <c r="H1049" s="3"/>
      <c r="I1049" s="3"/>
      <c r="J1049" s="3"/>
      <c r="K1049" s="3"/>
      <c r="L1049" s="3"/>
      <c r="M1049" s="3"/>
      <c r="N1049" s="3"/>
      <c r="O1049" s="3"/>
      <c r="P1049" s="3"/>
      <c r="Q1049" s="261"/>
      <c r="R1049" s="261"/>
    </row>
    <row r="1050" spans="1:18" x14ac:dyDescent="0.35">
      <c r="A1050" s="3"/>
      <c r="B1050" s="3"/>
      <c r="C1050" s="3"/>
      <c r="D1050" s="3"/>
      <c r="E1050" s="3"/>
      <c r="F1050" s="3"/>
      <c r="G1050" s="3"/>
      <c r="H1050" s="3"/>
      <c r="I1050" s="3"/>
      <c r="J1050" s="3"/>
      <c r="K1050" s="3"/>
      <c r="L1050" s="3"/>
      <c r="M1050" s="3"/>
      <c r="N1050" s="3"/>
      <c r="O1050" s="3"/>
      <c r="P1050" s="3"/>
      <c r="Q1050" s="261"/>
      <c r="R1050" s="261"/>
    </row>
    <row r="1051" spans="1:18" x14ac:dyDescent="0.35">
      <c r="A1051" s="3"/>
      <c r="B1051" s="3"/>
      <c r="C1051" s="3"/>
      <c r="D1051" s="3"/>
      <c r="E1051" s="3"/>
      <c r="F1051" s="3"/>
      <c r="G1051" s="3"/>
      <c r="H1051" s="3"/>
      <c r="I1051" s="3"/>
      <c r="J1051" s="3"/>
      <c r="K1051" s="3"/>
      <c r="L1051" s="3"/>
      <c r="M1051" s="3"/>
      <c r="N1051" s="3"/>
      <c r="O1051" s="3"/>
      <c r="P1051" s="3"/>
      <c r="Q1051" s="261"/>
      <c r="R1051" s="261"/>
    </row>
    <row r="1052" spans="1:18" x14ac:dyDescent="0.35">
      <c r="A1052" s="3"/>
      <c r="B1052" s="3"/>
      <c r="C1052" s="3"/>
      <c r="D1052" s="3"/>
      <c r="E1052" s="3"/>
      <c r="F1052" s="3"/>
      <c r="G1052" s="3"/>
      <c r="H1052" s="3"/>
      <c r="I1052" s="3"/>
      <c r="J1052" s="3"/>
      <c r="K1052" s="3"/>
      <c r="L1052" s="3"/>
      <c r="M1052" s="3"/>
      <c r="N1052" s="3"/>
      <c r="O1052" s="3"/>
      <c r="P1052" s="3"/>
      <c r="Q1052" s="261"/>
      <c r="R1052" s="261"/>
    </row>
    <row r="1053" spans="1:18" x14ac:dyDescent="0.35">
      <c r="A1053" s="3"/>
      <c r="B1053" s="3"/>
      <c r="C1053" s="3"/>
      <c r="D1053" s="3"/>
      <c r="E1053" s="3"/>
      <c r="F1053" s="3"/>
      <c r="G1053" s="3"/>
      <c r="H1053" s="3"/>
      <c r="I1053" s="3"/>
      <c r="J1053" s="3"/>
      <c r="K1053" s="3"/>
      <c r="L1053" s="3"/>
      <c r="M1053" s="3"/>
      <c r="N1053" s="3"/>
      <c r="O1053" s="3"/>
      <c r="P1053" s="3"/>
      <c r="Q1053" s="261"/>
      <c r="R1053" s="261"/>
    </row>
    <row r="1054" spans="1:18" x14ac:dyDescent="0.35">
      <c r="A1054" s="3"/>
      <c r="B1054" s="3"/>
      <c r="C1054" s="3"/>
      <c r="D1054" s="3"/>
      <c r="E1054" s="3"/>
      <c r="F1054" s="3"/>
      <c r="G1054" s="3"/>
      <c r="H1054" s="3"/>
      <c r="I1054" s="3"/>
      <c r="J1054" s="3"/>
      <c r="K1054" s="3"/>
      <c r="L1054" s="3"/>
      <c r="M1054" s="3"/>
      <c r="N1054" s="3"/>
      <c r="O1054" s="3"/>
      <c r="P1054" s="3"/>
      <c r="Q1054" s="261"/>
      <c r="R1054" s="261"/>
    </row>
    <row r="1055" spans="1:18" x14ac:dyDescent="0.35">
      <c r="A1055" s="3"/>
      <c r="B1055" s="3"/>
      <c r="C1055" s="3"/>
      <c r="D1055" s="3"/>
      <c r="E1055" s="3"/>
      <c r="F1055" s="3"/>
      <c r="G1055" s="3"/>
      <c r="H1055" s="3"/>
      <c r="I1055" s="3"/>
      <c r="J1055" s="3"/>
      <c r="K1055" s="3"/>
      <c r="L1055" s="3"/>
      <c r="M1055" s="3"/>
      <c r="N1055" s="3"/>
      <c r="O1055" s="3"/>
      <c r="P1055" s="3"/>
      <c r="Q1055" s="261"/>
      <c r="R1055" s="261"/>
    </row>
    <row r="1056" spans="1:18" x14ac:dyDescent="0.35">
      <c r="A1056" s="3"/>
      <c r="B1056" s="3"/>
      <c r="C1056" s="3"/>
      <c r="D1056" s="3"/>
      <c r="E1056" s="3"/>
      <c r="F1056" s="3"/>
      <c r="G1056" s="3"/>
      <c r="H1056" s="3"/>
      <c r="I1056" s="3"/>
      <c r="J1056" s="3"/>
      <c r="K1056" s="3"/>
      <c r="L1056" s="3"/>
      <c r="M1056" s="3"/>
      <c r="N1056" s="3"/>
      <c r="O1056" s="3"/>
      <c r="P1056" s="3"/>
      <c r="Q1056" s="261"/>
      <c r="R1056" s="261"/>
    </row>
    <row r="1057" spans="1:18" x14ac:dyDescent="0.35">
      <c r="A1057" s="3"/>
      <c r="B1057" s="3"/>
      <c r="C1057" s="3"/>
      <c r="D1057" s="3"/>
      <c r="E1057" s="3"/>
      <c r="F1057" s="3"/>
      <c r="G1057" s="3"/>
      <c r="H1057" s="3"/>
      <c r="I1057" s="3"/>
      <c r="J1057" s="3"/>
      <c r="K1057" s="3"/>
      <c r="L1057" s="3"/>
      <c r="M1057" s="3"/>
      <c r="N1057" s="3"/>
      <c r="O1057" s="3"/>
      <c r="P1057" s="3"/>
      <c r="Q1057" s="261"/>
      <c r="R1057" s="261"/>
    </row>
    <row r="1058" spans="1:18" x14ac:dyDescent="0.35">
      <c r="A1058" s="3"/>
      <c r="B1058" s="3"/>
      <c r="C1058" s="3"/>
      <c r="D1058" s="3"/>
      <c r="E1058" s="3"/>
      <c r="F1058" s="3"/>
      <c r="G1058" s="3"/>
      <c r="H1058" s="3"/>
      <c r="I1058" s="3"/>
      <c r="J1058" s="3"/>
      <c r="K1058" s="3"/>
      <c r="L1058" s="3"/>
      <c r="M1058" s="3"/>
      <c r="N1058" s="3"/>
      <c r="O1058" s="3"/>
      <c r="P1058" s="3"/>
      <c r="Q1058" s="261"/>
      <c r="R1058" s="261"/>
    </row>
    <row r="1059" spans="1:18" x14ac:dyDescent="0.35">
      <c r="A1059" s="3"/>
      <c r="B1059" s="3"/>
      <c r="C1059" s="3"/>
      <c r="D1059" s="3"/>
      <c r="E1059" s="3"/>
      <c r="F1059" s="3"/>
      <c r="G1059" s="3"/>
      <c r="H1059" s="3"/>
      <c r="I1059" s="3"/>
      <c r="J1059" s="3"/>
      <c r="K1059" s="3"/>
      <c r="L1059" s="3"/>
      <c r="M1059" s="3"/>
      <c r="N1059" s="3"/>
      <c r="O1059" s="3"/>
      <c r="P1059" s="3"/>
      <c r="Q1059" s="261"/>
      <c r="R1059" s="261"/>
    </row>
    <row r="1060" spans="1:18" x14ac:dyDescent="0.35">
      <c r="A1060" s="3"/>
      <c r="B1060" s="3"/>
      <c r="C1060" s="3"/>
      <c r="D1060" s="3"/>
      <c r="E1060" s="3"/>
      <c r="F1060" s="3"/>
      <c r="G1060" s="3"/>
      <c r="H1060" s="3"/>
      <c r="I1060" s="3"/>
      <c r="J1060" s="3"/>
      <c r="K1060" s="3"/>
      <c r="L1060" s="3"/>
      <c r="M1060" s="3"/>
      <c r="N1060" s="3"/>
      <c r="O1060" s="3"/>
      <c r="P1060" s="3"/>
      <c r="Q1060" s="261"/>
      <c r="R1060" s="261"/>
    </row>
    <row r="1061" spans="1:18" x14ac:dyDescent="0.35">
      <c r="A1061" s="3"/>
      <c r="B1061" s="3"/>
      <c r="C1061" s="3"/>
      <c r="D1061" s="3"/>
      <c r="E1061" s="3"/>
      <c r="F1061" s="3"/>
      <c r="G1061" s="3"/>
      <c r="H1061" s="3"/>
      <c r="I1061" s="3"/>
      <c r="J1061" s="3"/>
      <c r="K1061" s="3"/>
      <c r="L1061" s="3"/>
      <c r="M1061" s="3"/>
      <c r="N1061" s="3"/>
      <c r="O1061" s="3"/>
      <c r="P1061" s="3"/>
      <c r="Q1061" s="261"/>
      <c r="R1061" s="261"/>
    </row>
    <row r="1062" spans="1:18" x14ac:dyDescent="0.35">
      <c r="A1062" s="3"/>
      <c r="B1062" s="3"/>
      <c r="C1062" s="3"/>
      <c r="D1062" s="3"/>
      <c r="E1062" s="3"/>
      <c r="F1062" s="3"/>
      <c r="G1062" s="3"/>
      <c r="H1062" s="3"/>
      <c r="I1062" s="3"/>
      <c r="J1062" s="3"/>
      <c r="K1062" s="3"/>
      <c r="L1062" s="3"/>
      <c r="M1062" s="3"/>
      <c r="N1062" s="3"/>
      <c r="O1062" s="3"/>
      <c r="P1062" s="3"/>
      <c r="Q1062" s="261"/>
      <c r="R1062" s="261"/>
    </row>
    <row r="1063" spans="1:18" x14ac:dyDescent="0.35">
      <c r="A1063" s="3"/>
      <c r="B1063" s="3"/>
      <c r="C1063" s="3"/>
      <c r="D1063" s="3"/>
      <c r="E1063" s="3"/>
      <c r="F1063" s="3"/>
      <c r="G1063" s="3"/>
      <c r="H1063" s="3"/>
      <c r="I1063" s="3"/>
      <c r="J1063" s="3"/>
      <c r="K1063" s="3"/>
      <c r="L1063" s="3"/>
      <c r="M1063" s="3"/>
      <c r="N1063" s="3"/>
      <c r="O1063" s="3"/>
      <c r="P1063" s="3"/>
      <c r="Q1063" s="261"/>
      <c r="R1063" s="261"/>
    </row>
    <row r="1064" spans="1:18" x14ac:dyDescent="0.35">
      <c r="A1064" s="3"/>
      <c r="B1064" s="3"/>
      <c r="C1064" s="3"/>
      <c r="D1064" s="3"/>
      <c r="E1064" s="3"/>
      <c r="F1064" s="3"/>
      <c r="G1064" s="3"/>
      <c r="H1064" s="3"/>
      <c r="I1064" s="3"/>
      <c r="J1064" s="3"/>
      <c r="K1064" s="3"/>
      <c r="L1064" s="3"/>
      <c r="M1064" s="3"/>
      <c r="N1064" s="3"/>
      <c r="O1064" s="3"/>
      <c r="P1064" s="3"/>
      <c r="Q1064" s="261"/>
      <c r="R1064" s="261"/>
    </row>
    <row r="1065" spans="1:18" x14ac:dyDescent="0.35">
      <c r="A1065" s="3"/>
      <c r="B1065" s="3"/>
      <c r="C1065" s="3"/>
      <c r="D1065" s="3"/>
      <c r="E1065" s="3"/>
      <c r="F1065" s="3"/>
      <c r="G1065" s="3"/>
      <c r="H1065" s="3"/>
      <c r="I1065" s="3"/>
      <c r="J1065" s="3"/>
      <c r="K1065" s="3"/>
      <c r="L1065" s="3"/>
      <c r="M1065" s="3"/>
      <c r="N1065" s="3"/>
      <c r="O1065" s="3"/>
      <c r="P1065" s="3"/>
      <c r="Q1065" s="261"/>
      <c r="R1065" s="261"/>
    </row>
    <row r="1066" spans="1:18" x14ac:dyDescent="0.35">
      <c r="A1066" s="3"/>
      <c r="B1066" s="3"/>
      <c r="C1066" s="3"/>
      <c r="D1066" s="3"/>
      <c r="E1066" s="3"/>
      <c r="F1066" s="3"/>
      <c r="G1066" s="3"/>
      <c r="H1066" s="3"/>
      <c r="I1066" s="3"/>
      <c r="J1066" s="3"/>
      <c r="K1066" s="3"/>
      <c r="L1066" s="3"/>
      <c r="M1066" s="3"/>
      <c r="N1066" s="3"/>
      <c r="O1066" s="3"/>
      <c r="P1066" s="3"/>
      <c r="Q1066" s="261"/>
      <c r="R1066" s="261"/>
    </row>
    <row r="1067" spans="1:18" x14ac:dyDescent="0.35">
      <c r="A1067" s="3"/>
      <c r="B1067" s="3"/>
      <c r="C1067" s="3"/>
      <c r="D1067" s="3"/>
      <c r="E1067" s="3"/>
      <c r="F1067" s="3"/>
      <c r="G1067" s="3"/>
      <c r="H1067" s="3"/>
      <c r="I1067" s="3"/>
      <c r="J1067" s="3"/>
      <c r="K1067" s="3"/>
      <c r="L1067" s="3"/>
      <c r="M1067" s="3"/>
      <c r="N1067" s="3"/>
      <c r="O1067" s="3"/>
      <c r="P1067" s="3"/>
      <c r="Q1067" s="261"/>
      <c r="R1067" s="261"/>
    </row>
    <row r="1068" spans="1:18" x14ac:dyDescent="0.35">
      <c r="A1068" s="3"/>
      <c r="B1068" s="3"/>
      <c r="C1068" s="3"/>
      <c r="D1068" s="3"/>
      <c r="E1068" s="3"/>
      <c r="F1068" s="3"/>
      <c r="G1068" s="3"/>
      <c r="H1068" s="3"/>
      <c r="I1068" s="3"/>
      <c r="J1068" s="3"/>
      <c r="K1068" s="3"/>
      <c r="L1068" s="3"/>
      <c r="M1068" s="3"/>
      <c r="N1068" s="3"/>
      <c r="O1068" s="3"/>
      <c r="P1068" s="3"/>
      <c r="Q1068" s="261"/>
      <c r="R1068" s="261"/>
    </row>
    <row r="1069" spans="1:18" x14ac:dyDescent="0.35">
      <c r="A1069" s="3"/>
      <c r="B1069" s="3"/>
      <c r="C1069" s="3"/>
      <c r="D1069" s="3"/>
      <c r="E1069" s="3"/>
      <c r="F1069" s="3"/>
      <c r="G1069" s="3"/>
      <c r="H1069" s="3"/>
      <c r="I1069" s="3"/>
      <c r="J1069" s="3"/>
      <c r="K1069" s="3"/>
      <c r="L1069" s="3"/>
      <c r="M1069" s="3"/>
      <c r="N1069" s="3"/>
      <c r="O1069" s="3"/>
      <c r="P1069" s="3"/>
      <c r="Q1069" s="261"/>
      <c r="R1069" s="261"/>
    </row>
    <row r="1070" spans="1:18" x14ac:dyDescent="0.35">
      <c r="A1070" s="3"/>
      <c r="B1070" s="3"/>
      <c r="C1070" s="3"/>
      <c r="D1070" s="3"/>
      <c r="E1070" s="3"/>
      <c r="F1070" s="3"/>
      <c r="G1070" s="3"/>
      <c r="H1070" s="3"/>
      <c r="I1070" s="3"/>
      <c r="J1070" s="3"/>
      <c r="K1070" s="3"/>
      <c r="L1070" s="3"/>
      <c r="M1070" s="3"/>
      <c r="N1070" s="3"/>
      <c r="O1070" s="3"/>
      <c r="P1070" s="3"/>
      <c r="Q1070" s="261"/>
      <c r="R1070" s="261"/>
    </row>
    <row r="1071" spans="1:18" x14ac:dyDescent="0.35">
      <c r="A1071" s="3"/>
      <c r="B1071" s="3"/>
      <c r="C1071" s="3"/>
      <c r="D1071" s="3"/>
      <c r="E1071" s="3"/>
      <c r="F1071" s="3"/>
      <c r="G1071" s="3"/>
      <c r="H1071" s="3"/>
      <c r="I1071" s="3"/>
      <c r="J1071" s="3"/>
      <c r="K1071" s="3"/>
      <c r="L1071" s="3"/>
      <c r="M1071" s="3"/>
      <c r="N1071" s="3"/>
      <c r="O1071" s="3"/>
      <c r="P1071" s="3"/>
      <c r="Q1071" s="261"/>
      <c r="R1071" s="261"/>
    </row>
    <row r="1072" spans="1:18" x14ac:dyDescent="0.35">
      <c r="A1072" s="3"/>
      <c r="B1072" s="3"/>
      <c r="C1072" s="3"/>
      <c r="D1072" s="3"/>
      <c r="E1072" s="3"/>
      <c r="F1072" s="3"/>
      <c r="G1072" s="3"/>
      <c r="H1072" s="3"/>
      <c r="I1072" s="3"/>
      <c r="J1072" s="3"/>
      <c r="K1072" s="3"/>
      <c r="L1072" s="3"/>
      <c r="M1072" s="3"/>
      <c r="N1072" s="3"/>
      <c r="O1072" s="3"/>
      <c r="P1072" s="3"/>
      <c r="Q1072" s="261"/>
      <c r="R1072" s="261"/>
    </row>
    <row r="1073" spans="1:18" x14ac:dyDescent="0.35">
      <c r="A1073" s="3"/>
      <c r="B1073" s="3"/>
      <c r="C1073" s="3"/>
      <c r="D1073" s="3"/>
      <c r="E1073" s="3"/>
      <c r="F1073" s="3"/>
      <c r="G1073" s="3"/>
      <c r="H1073" s="3"/>
      <c r="I1073" s="3"/>
      <c r="J1073" s="3"/>
      <c r="K1073" s="3"/>
      <c r="L1073" s="3"/>
      <c r="M1073" s="3"/>
      <c r="N1073" s="3"/>
      <c r="O1073" s="3"/>
      <c r="P1073" s="3"/>
      <c r="Q1073" s="261"/>
      <c r="R1073" s="261"/>
    </row>
    <row r="1074" spans="1:18" x14ac:dyDescent="0.35">
      <c r="A1074" s="3"/>
      <c r="B1074" s="3"/>
      <c r="C1074" s="3"/>
      <c r="D1074" s="3"/>
      <c r="E1074" s="3"/>
      <c r="F1074" s="3"/>
      <c r="G1074" s="3"/>
      <c r="H1074" s="3"/>
      <c r="I1074" s="3"/>
      <c r="J1074" s="3"/>
      <c r="K1074" s="3"/>
      <c r="L1074" s="3"/>
      <c r="M1074" s="3"/>
      <c r="N1074" s="3"/>
      <c r="O1074" s="3"/>
      <c r="P1074" s="3"/>
      <c r="Q1074" s="261"/>
      <c r="R1074" s="261"/>
    </row>
    <row r="1075" spans="1:18" x14ac:dyDescent="0.35">
      <c r="A1075" s="3"/>
      <c r="B1075" s="3"/>
      <c r="C1075" s="3"/>
      <c r="D1075" s="3"/>
      <c r="E1075" s="3"/>
      <c r="F1075" s="3"/>
      <c r="G1075" s="3"/>
      <c r="H1075" s="3"/>
      <c r="I1075" s="3"/>
      <c r="J1075" s="3"/>
      <c r="K1075" s="3"/>
      <c r="L1075" s="3"/>
      <c r="M1075" s="3"/>
      <c r="N1075" s="3"/>
      <c r="O1075" s="3"/>
      <c r="P1075" s="3"/>
      <c r="Q1075" s="261"/>
      <c r="R1075" s="261"/>
    </row>
    <row r="1076" spans="1:18" x14ac:dyDescent="0.35">
      <c r="A1076" s="3"/>
      <c r="B1076" s="3"/>
      <c r="C1076" s="3"/>
      <c r="D1076" s="3"/>
      <c r="E1076" s="3"/>
      <c r="F1076" s="3"/>
      <c r="G1076" s="3"/>
      <c r="H1076" s="3"/>
      <c r="I1076" s="3"/>
      <c r="J1076" s="3"/>
      <c r="K1076" s="3"/>
      <c r="L1076" s="3"/>
      <c r="M1076" s="3"/>
      <c r="N1076" s="3"/>
      <c r="O1076" s="3"/>
      <c r="P1076" s="3"/>
      <c r="Q1076" s="261"/>
      <c r="R1076" s="261"/>
    </row>
    <row r="1077" spans="1:18" x14ac:dyDescent="0.35">
      <c r="A1077" s="3"/>
      <c r="B1077" s="3"/>
      <c r="C1077" s="3"/>
      <c r="D1077" s="3"/>
      <c r="E1077" s="3"/>
      <c r="F1077" s="3"/>
      <c r="G1077" s="3"/>
      <c r="H1077" s="3"/>
      <c r="I1077" s="3"/>
      <c r="J1077" s="3"/>
      <c r="K1077" s="3"/>
      <c r="L1077" s="3"/>
      <c r="M1077" s="3"/>
      <c r="N1077" s="3"/>
      <c r="O1077" s="3"/>
      <c r="P1077" s="3"/>
      <c r="Q1077" s="261"/>
      <c r="R1077" s="261"/>
    </row>
    <row r="1078" spans="1:18" x14ac:dyDescent="0.35">
      <c r="A1078" s="3"/>
      <c r="B1078" s="3"/>
      <c r="C1078" s="3"/>
      <c r="D1078" s="3"/>
      <c r="E1078" s="3"/>
      <c r="F1078" s="3"/>
      <c r="G1078" s="3"/>
      <c r="H1078" s="3"/>
      <c r="I1078" s="3"/>
      <c r="J1078" s="3"/>
      <c r="K1078" s="3"/>
      <c r="L1078" s="3"/>
      <c r="M1078" s="3"/>
      <c r="N1078" s="3"/>
      <c r="O1078" s="3"/>
      <c r="P1078" s="3"/>
      <c r="Q1078" s="261"/>
      <c r="R1078" s="261"/>
    </row>
    <row r="1079" spans="1:18" x14ac:dyDescent="0.35">
      <c r="A1079" s="3"/>
      <c r="B1079" s="3"/>
      <c r="C1079" s="3"/>
      <c r="D1079" s="3"/>
      <c r="E1079" s="3"/>
      <c r="F1079" s="3"/>
      <c r="G1079" s="3"/>
      <c r="H1079" s="3"/>
      <c r="I1079" s="3"/>
      <c r="J1079" s="3"/>
      <c r="K1079" s="3"/>
      <c r="L1079" s="3"/>
      <c r="M1079" s="3"/>
      <c r="N1079" s="3"/>
      <c r="O1079" s="3"/>
      <c r="P1079" s="3"/>
      <c r="Q1079" s="261"/>
      <c r="R1079" s="261"/>
    </row>
    <row r="1080" spans="1:18" x14ac:dyDescent="0.35">
      <c r="A1080" s="3"/>
      <c r="B1080" s="3"/>
      <c r="C1080" s="3"/>
      <c r="D1080" s="3"/>
      <c r="E1080" s="3"/>
      <c r="F1080" s="3"/>
      <c r="G1080" s="3"/>
      <c r="H1080" s="3"/>
      <c r="I1080" s="3"/>
      <c r="J1080" s="3"/>
      <c r="K1080" s="3"/>
      <c r="L1080" s="3"/>
      <c r="M1080" s="3"/>
      <c r="N1080" s="3"/>
      <c r="O1080" s="3"/>
      <c r="P1080" s="3"/>
      <c r="Q1080" s="261"/>
      <c r="R1080" s="261"/>
    </row>
    <row r="1081" spans="1:18" x14ac:dyDescent="0.35">
      <c r="A1081" s="3"/>
      <c r="B1081" s="3"/>
      <c r="C1081" s="3"/>
      <c r="D1081" s="3"/>
      <c r="E1081" s="3"/>
      <c r="F1081" s="3"/>
      <c r="G1081" s="3"/>
      <c r="H1081" s="3"/>
      <c r="I1081" s="3"/>
      <c r="J1081" s="3"/>
      <c r="K1081" s="3"/>
      <c r="L1081" s="3"/>
      <c r="M1081" s="3"/>
      <c r="N1081" s="3"/>
      <c r="O1081" s="3"/>
      <c r="P1081" s="3"/>
      <c r="Q1081" s="261"/>
      <c r="R1081" s="261"/>
    </row>
    <row r="1082" spans="1:18" x14ac:dyDescent="0.35">
      <c r="A1082" s="3"/>
      <c r="B1082" s="3"/>
      <c r="C1082" s="3"/>
      <c r="D1082" s="3"/>
      <c r="E1082" s="3"/>
      <c r="F1082" s="3"/>
      <c r="G1082" s="3"/>
      <c r="H1082" s="3"/>
      <c r="I1082" s="3"/>
      <c r="J1082" s="3"/>
      <c r="K1082" s="3"/>
      <c r="L1082" s="3"/>
      <c r="M1082" s="3"/>
      <c r="N1082" s="3"/>
      <c r="O1082" s="3"/>
      <c r="P1082" s="3"/>
      <c r="Q1082" s="261"/>
      <c r="R1082" s="261"/>
    </row>
    <row r="1083" spans="1:18" x14ac:dyDescent="0.35">
      <c r="A1083" s="3"/>
      <c r="B1083" s="3"/>
      <c r="C1083" s="3"/>
      <c r="D1083" s="3"/>
      <c r="E1083" s="3"/>
      <c r="F1083" s="3"/>
      <c r="G1083" s="3"/>
      <c r="H1083" s="3"/>
      <c r="I1083" s="3"/>
      <c r="J1083" s="3"/>
      <c r="K1083" s="3"/>
      <c r="L1083" s="3"/>
      <c r="M1083" s="3"/>
      <c r="N1083" s="3"/>
      <c r="O1083" s="3"/>
      <c r="P1083" s="3"/>
      <c r="Q1083" s="261"/>
      <c r="R1083" s="261"/>
    </row>
    <row r="1084" spans="1:18" x14ac:dyDescent="0.35">
      <c r="A1084" s="3"/>
      <c r="B1084" s="3"/>
      <c r="C1084" s="3"/>
      <c r="D1084" s="3"/>
      <c r="E1084" s="3"/>
      <c r="F1084" s="3"/>
      <c r="G1084" s="3"/>
      <c r="H1084" s="3"/>
      <c r="I1084" s="3"/>
      <c r="J1084" s="3"/>
      <c r="K1084" s="3"/>
      <c r="L1084" s="3"/>
      <c r="M1084" s="3"/>
      <c r="N1084" s="3"/>
      <c r="O1084" s="3"/>
      <c r="P1084" s="3"/>
      <c r="Q1084" s="261"/>
      <c r="R1084" s="261"/>
    </row>
    <row r="1085" spans="1:18" x14ac:dyDescent="0.35">
      <c r="A1085" s="3"/>
      <c r="B1085" s="3"/>
      <c r="C1085" s="3"/>
      <c r="D1085" s="3"/>
      <c r="E1085" s="3"/>
      <c r="F1085" s="3"/>
      <c r="G1085" s="3"/>
      <c r="H1085" s="3"/>
      <c r="I1085" s="3"/>
      <c r="J1085" s="3"/>
      <c r="K1085" s="3"/>
      <c r="L1085" s="3"/>
      <c r="M1085" s="3"/>
      <c r="N1085" s="3"/>
      <c r="O1085" s="3"/>
      <c r="P1085" s="3"/>
      <c r="Q1085" s="261"/>
      <c r="R1085" s="261"/>
    </row>
    <row r="1086" spans="1:18" x14ac:dyDescent="0.35">
      <c r="A1086" s="3"/>
      <c r="B1086" s="3"/>
      <c r="C1086" s="3"/>
      <c r="D1086" s="3"/>
      <c r="E1086" s="3"/>
      <c r="F1086" s="3"/>
      <c r="G1086" s="3"/>
      <c r="H1086" s="3"/>
      <c r="I1086" s="3"/>
      <c r="J1086" s="3"/>
      <c r="K1086" s="3"/>
      <c r="L1086" s="3"/>
      <c r="M1086" s="3"/>
      <c r="N1086" s="3"/>
      <c r="O1086" s="3"/>
      <c r="P1086" s="3"/>
      <c r="Q1086" s="261"/>
      <c r="R1086" s="261"/>
    </row>
    <row r="1087" spans="1:18" x14ac:dyDescent="0.35">
      <c r="A1087" s="3"/>
      <c r="B1087" s="3"/>
      <c r="C1087" s="3"/>
      <c r="D1087" s="3"/>
      <c r="E1087" s="3"/>
      <c r="F1087" s="3"/>
      <c r="G1087" s="3"/>
      <c r="H1087" s="3"/>
      <c r="I1087" s="3"/>
      <c r="J1087" s="3"/>
      <c r="K1087" s="3"/>
      <c r="L1087" s="3"/>
      <c r="M1087" s="3"/>
      <c r="N1087" s="3"/>
      <c r="O1087" s="3"/>
      <c r="P1087" s="3"/>
      <c r="Q1087" s="261"/>
      <c r="R1087" s="261"/>
    </row>
    <row r="1088" spans="1:18" x14ac:dyDescent="0.35">
      <c r="A1088" s="3"/>
      <c r="B1088" s="3"/>
      <c r="C1088" s="3"/>
      <c r="D1088" s="3"/>
      <c r="E1088" s="3"/>
      <c r="F1088" s="3"/>
      <c r="G1088" s="3"/>
      <c r="H1088" s="3"/>
      <c r="I1088" s="3"/>
      <c r="J1088" s="3"/>
      <c r="K1088" s="3"/>
      <c r="L1088" s="3"/>
      <c r="M1088" s="3"/>
      <c r="N1088" s="3"/>
      <c r="O1088" s="3"/>
      <c r="P1088" s="3"/>
      <c r="Q1088" s="261"/>
      <c r="R1088" s="261"/>
    </row>
    <row r="1089" spans="1:18" x14ac:dyDescent="0.35">
      <c r="A1089" s="3"/>
      <c r="B1089" s="3"/>
      <c r="C1089" s="3"/>
      <c r="D1089" s="3"/>
      <c r="E1089" s="3"/>
      <c r="F1089" s="3"/>
      <c r="G1089" s="3"/>
      <c r="H1089" s="3"/>
      <c r="I1089" s="3"/>
      <c r="J1089" s="3"/>
      <c r="K1089" s="3"/>
      <c r="L1089" s="3"/>
      <c r="M1089" s="3"/>
      <c r="N1089" s="3"/>
      <c r="O1089" s="3"/>
      <c r="P1089" s="3"/>
      <c r="Q1089" s="261"/>
      <c r="R1089" s="261"/>
    </row>
    <row r="1090" spans="1:18" x14ac:dyDescent="0.35">
      <c r="A1090" s="3"/>
      <c r="B1090" s="3"/>
      <c r="C1090" s="3"/>
      <c r="D1090" s="3"/>
      <c r="E1090" s="3"/>
      <c r="F1090" s="3"/>
      <c r="G1090" s="3"/>
      <c r="H1090" s="3"/>
      <c r="I1090" s="3"/>
      <c r="J1090" s="3"/>
      <c r="K1090" s="3"/>
      <c r="L1090" s="3"/>
      <c r="M1090" s="3"/>
      <c r="N1090" s="3"/>
      <c r="O1090" s="3"/>
      <c r="P1090" s="3"/>
      <c r="Q1090" s="261"/>
      <c r="R1090" s="261"/>
    </row>
    <row r="1091" spans="1:18" x14ac:dyDescent="0.35">
      <c r="A1091" s="3"/>
      <c r="B1091" s="3"/>
      <c r="C1091" s="3"/>
      <c r="D1091" s="3"/>
      <c r="E1091" s="3"/>
      <c r="F1091" s="3"/>
      <c r="G1091" s="3"/>
      <c r="H1091" s="3"/>
      <c r="I1091" s="3"/>
      <c r="J1091" s="3"/>
      <c r="K1091" s="3"/>
      <c r="L1091" s="3"/>
      <c r="M1091" s="3"/>
      <c r="N1091" s="3"/>
      <c r="O1091" s="3"/>
      <c r="P1091" s="3"/>
      <c r="Q1091" s="261"/>
      <c r="R1091" s="261"/>
    </row>
    <row r="1092" spans="1:18" x14ac:dyDescent="0.35">
      <c r="A1092" s="3"/>
      <c r="B1092" s="3"/>
      <c r="C1092" s="3"/>
      <c r="D1092" s="3"/>
      <c r="E1092" s="3"/>
      <c r="F1092" s="3"/>
      <c r="G1092" s="3"/>
      <c r="H1092" s="3"/>
      <c r="I1092" s="3"/>
      <c r="J1092" s="3"/>
      <c r="K1092" s="3"/>
      <c r="L1092" s="3"/>
      <c r="M1092" s="3"/>
      <c r="N1092" s="3"/>
      <c r="O1092" s="3"/>
      <c r="P1092" s="3"/>
      <c r="Q1092" s="261"/>
      <c r="R1092" s="261"/>
    </row>
    <row r="1093" spans="1:18" x14ac:dyDescent="0.35">
      <c r="A1093" s="3"/>
      <c r="B1093" s="3"/>
      <c r="C1093" s="3"/>
      <c r="D1093" s="3"/>
      <c r="E1093" s="3"/>
      <c r="F1093" s="3"/>
      <c r="G1093" s="3"/>
      <c r="H1093" s="3"/>
      <c r="I1093" s="3"/>
      <c r="J1093" s="3"/>
      <c r="K1093" s="3"/>
      <c r="L1093" s="3"/>
      <c r="M1093" s="3"/>
      <c r="N1093" s="3"/>
      <c r="O1093" s="3"/>
      <c r="P1093" s="3"/>
      <c r="Q1093" s="261"/>
      <c r="R1093" s="261"/>
    </row>
    <row r="1094" spans="1:18" x14ac:dyDescent="0.35">
      <c r="A1094" s="3"/>
      <c r="B1094" s="3"/>
      <c r="C1094" s="3"/>
      <c r="D1094" s="3"/>
      <c r="E1094" s="3"/>
      <c r="F1094" s="3"/>
      <c r="G1094" s="3"/>
      <c r="H1094" s="3"/>
      <c r="I1094" s="3"/>
      <c r="J1094" s="3"/>
      <c r="K1094" s="3"/>
      <c r="L1094" s="3"/>
      <c r="M1094" s="3"/>
      <c r="N1094" s="3"/>
      <c r="O1094" s="3"/>
      <c r="P1094" s="3"/>
      <c r="Q1094" s="261"/>
      <c r="R1094" s="261"/>
    </row>
    <row r="1095" spans="1:18" x14ac:dyDescent="0.35">
      <c r="A1095" s="3"/>
      <c r="B1095" s="3"/>
      <c r="C1095" s="3"/>
      <c r="D1095" s="3"/>
      <c r="E1095" s="3"/>
      <c r="F1095" s="3"/>
      <c r="G1095" s="3"/>
      <c r="H1095" s="3"/>
      <c r="I1095" s="3"/>
      <c r="J1095" s="3"/>
      <c r="K1095" s="3"/>
      <c r="L1095" s="3"/>
      <c r="M1095" s="3"/>
      <c r="N1095" s="3"/>
      <c r="O1095" s="3"/>
      <c r="P1095" s="3"/>
      <c r="Q1095" s="261"/>
      <c r="R1095" s="261"/>
    </row>
    <row r="1096" spans="1:18" x14ac:dyDescent="0.35">
      <c r="A1096" s="3"/>
      <c r="B1096" s="3"/>
      <c r="C1096" s="3"/>
      <c r="D1096" s="3"/>
      <c r="E1096" s="3"/>
      <c r="F1096" s="3"/>
      <c r="G1096" s="3"/>
      <c r="H1096" s="3"/>
      <c r="I1096" s="3"/>
      <c r="J1096" s="3"/>
      <c r="K1096" s="3"/>
      <c r="L1096" s="3"/>
      <c r="M1096" s="3"/>
      <c r="N1096" s="3"/>
      <c r="O1096" s="3"/>
      <c r="P1096" s="3"/>
      <c r="Q1096" s="261"/>
      <c r="R1096" s="261"/>
    </row>
    <row r="1097" spans="1:18" x14ac:dyDescent="0.35">
      <c r="A1097" s="3"/>
      <c r="B1097" s="3"/>
      <c r="C1097" s="3"/>
      <c r="D1097" s="3"/>
      <c r="E1097" s="3"/>
      <c r="F1097" s="3"/>
      <c r="G1097" s="3"/>
      <c r="H1097" s="3"/>
      <c r="I1097" s="3"/>
      <c r="J1097" s="3"/>
      <c r="K1097" s="3"/>
      <c r="L1097" s="3"/>
      <c r="M1097" s="3"/>
      <c r="N1097" s="3"/>
      <c r="O1097" s="3"/>
      <c r="P1097" s="3"/>
      <c r="Q1097" s="261"/>
      <c r="R1097" s="261"/>
    </row>
    <row r="1098" spans="1:18" x14ac:dyDescent="0.35">
      <c r="A1098" s="3"/>
      <c r="B1098" s="3"/>
      <c r="C1098" s="3"/>
      <c r="D1098" s="3"/>
      <c r="E1098" s="3"/>
      <c r="F1098" s="3"/>
      <c r="G1098" s="3"/>
      <c r="H1098" s="3"/>
      <c r="I1098" s="3"/>
      <c r="J1098" s="3"/>
      <c r="K1098" s="3"/>
      <c r="L1098" s="3"/>
      <c r="M1098" s="3"/>
      <c r="N1098" s="3"/>
      <c r="O1098" s="3"/>
      <c r="P1098" s="3"/>
      <c r="Q1098" s="261"/>
      <c r="R1098" s="261"/>
    </row>
    <row r="1099" spans="1:18" x14ac:dyDescent="0.35">
      <c r="A1099" s="3"/>
      <c r="B1099" s="3"/>
      <c r="C1099" s="3"/>
      <c r="D1099" s="3"/>
      <c r="E1099" s="3"/>
      <c r="F1099" s="3"/>
      <c r="G1099" s="3"/>
      <c r="H1099" s="3"/>
      <c r="I1099" s="3"/>
      <c r="J1099" s="3"/>
      <c r="K1099" s="3"/>
      <c r="L1099" s="3"/>
      <c r="M1099" s="3"/>
      <c r="N1099" s="3"/>
      <c r="O1099" s="3"/>
      <c r="P1099" s="3"/>
      <c r="Q1099" s="261"/>
      <c r="R1099" s="261"/>
    </row>
    <row r="1100" spans="1:18" x14ac:dyDescent="0.35">
      <c r="A1100" s="3"/>
      <c r="B1100" s="3"/>
      <c r="C1100" s="3"/>
      <c r="D1100" s="3"/>
      <c r="E1100" s="3"/>
      <c r="F1100" s="3"/>
      <c r="G1100" s="3"/>
      <c r="H1100" s="3"/>
      <c r="I1100" s="3"/>
      <c r="J1100" s="3"/>
      <c r="K1100" s="3"/>
      <c r="L1100" s="3"/>
      <c r="M1100" s="3"/>
      <c r="N1100" s="3"/>
      <c r="O1100" s="3"/>
      <c r="P1100" s="3"/>
      <c r="Q1100" s="261"/>
      <c r="R1100" s="261"/>
    </row>
    <row r="1101" spans="1:18" x14ac:dyDescent="0.35">
      <c r="A1101" s="3"/>
      <c r="B1101" s="3"/>
      <c r="C1101" s="3"/>
      <c r="D1101" s="3"/>
      <c r="E1101" s="3"/>
      <c r="F1101" s="3"/>
      <c r="G1101" s="3"/>
      <c r="H1101" s="3"/>
      <c r="I1101" s="3"/>
      <c r="J1101" s="3"/>
      <c r="K1101" s="3"/>
      <c r="L1101" s="3"/>
      <c r="M1101" s="3"/>
      <c r="N1101" s="3"/>
      <c r="O1101" s="3"/>
      <c r="P1101" s="3"/>
      <c r="Q1101" s="261"/>
      <c r="R1101" s="261"/>
    </row>
    <row r="1102" spans="1:18" x14ac:dyDescent="0.35">
      <c r="A1102" s="3"/>
      <c r="B1102" s="3"/>
      <c r="C1102" s="3"/>
      <c r="D1102" s="3"/>
      <c r="E1102" s="3"/>
      <c r="F1102" s="3"/>
      <c r="G1102" s="3"/>
      <c r="H1102" s="3"/>
      <c r="I1102" s="3"/>
      <c r="J1102" s="3"/>
      <c r="K1102" s="3"/>
      <c r="L1102" s="3"/>
      <c r="M1102" s="3"/>
      <c r="N1102" s="3"/>
      <c r="O1102" s="3"/>
      <c r="P1102" s="3"/>
      <c r="Q1102" s="261"/>
      <c r="R1102" s="261"/>
    </row>
    <row r="1103" spans="1:18" x14ac:dyDescent="0.35">
      <c r="A1103" s="3"/>
      <c r="B1103" s="3"/>
      <c r="C1103" s="3"/>
      <c r="D1103" s="3"/>
      <c r="E1103" s="3"/>
      <c r="F1103" s="3"/>
      <c r="G1103" s="3"/>
      <c r="H1103" s="3"/>
      <c r="I1103" s="3"/>
      <c r="J1103" s="3"/>
      <c r="K1103" s="3"/>
      <c r="L1103" s="3"/>
      <c r="M1103" s="3"/>
      <c r="N1103" s="3"/>
      <c r="O1103" s="3"/>
      <c r="P1103" s="3"/>
      <c r="Q1103" s="261"/>
      <c r="R1103" s="261"/>
    </row>
    <row r="1104" spans="1:18" x14ac:dyDescent="0.35">
      <c r="A1104" s="3"/>
      <c r="B1104" s="3"/>
      <c r="C1104" s="3"/>
      <c r="D1104" s="3"/>
      <c r="E1104" s="3"/>
      <c r="F1104" s="3"/>
      <c r="G1104" s="3"/>
      <c r="H1104" s="3"/>
      <c r="I1104" s="3"/>
      <c r="J1104" s="3"/>
      <c r="K1104" s="3"/>
      <c r="L1104" s="3"/>
      <c r="M1104" s="3"/>
      <c r="N1104" s="3"/>
      <c r="O1104" s="3"/>
      <c r="P1104" s="3"/>
      <c r="Q1104" s="261"/>
      <c r="R1104" s="261"/>
    </row>
    <row r="1105" spans="1:18" x14ac:dyDescent="0.35">
      <c r="A1105" s="3"/>
      <c r="B1105" s="3"/>
      <c r="C1105" s="3"/>
      <c r="D1105" s="3"/>
      <c r="E1105" s="3"/>
      <c r="F1105" s="3"/>
      <c r="G1105" s="3"/>
      <c r="H1105" s="3"/>
      <c r="I1105" s="3"/>
      <c r="J1105" s="3"/>
      <c r="K1105" s="3"/>
      <c r="L1105" s="3"/>
      <c r="M1105" s="3"/>
      <c r="N1105" s="3"/>
      <c r="O1105" s="3"/>
      <c r="P1105" s="3"/>
      <c r="Q1105" s="261"/>
      <c r="R1105" s="261"/>
    </row>
    <row r="1106" spans="1:18" x14ac:dyDescent="0.35">
      <c r="A1106" s="3"/>
      <c r="B1106" s="3"/>
      <c r="C1106" s="3"/>
      <c r="D1106" s="3"/>
      <c r="E1106" s="3"/>
      <c r="F1106" s="3"/>
      <c r="G1106" s="3"/>
      <c r="H1106" s="3"/>
      <c r="I1106" s="3"/>
      <c r="J1106" s="3"/>
      <c r="K1106" s="3"/>
      <c r="L1106" s="3"/>
      <c r="M1106" s="3"/>
      <c r="N1106" s="3"/>
      <c r="O1106" s="3"/>
      <c r="P1106" s="3"/>
      <c r="Q1106" s="261"/>
      <c r="R1106" s="261"/>
    </row>
    <row r="1107" spans="1:18" x14ac:dyDescent="0.35">
      <c r="A1107" s="3"/>
      <c r="B1107" s="3"/>
      <c r="C1107" s="3"/>
      <c r="D1107" s="3"/>
      <c r="E1107" s="3"/>
      <c r="F1107" s="3"/>
      <c r="G1107" s="3"/>
      <c r="H1107" s="3"/>
      <c r="I1107" s="3"/>
      <c r="J1107" s="3"/>
      <c r="K1107" s="3"/>
      <c r="L1107" s="3"/>
      <c r="M1107" s="3"/>
      <c r="N1107" s="3"/>
      <c r="O1107" s="3"/>
      <c r="P1107" s="3"/>
      <c r="Q1107" s="261"/>
      <c r="R1107" s="261"/>
    </row>
    <row r="1108" spans="1:18" x14ac:dyDescent="0.35">
      <c r="A1108" s="3"/>
      <c r="B1108" s="3"/>
      <c r="C1108" s="3"/>
      <c r="D1108" s="3"/>
      <c r="E1108" s="3"/>
      <c r="F1108" s="3"/>
      <c r="G1108" s="3"/>
      <c r="H1108" s="3"/>
      <c r="I1108" s="3"/>
      <c r="J1108" s="3"/>
      <c r="K1108" s="3"/>
      <c r="L1108" s="3"/>
      <c r="M1108" s="3"/>
      <c r="N1108" s="3"/>
      <c r="O1108" s="3"/>
      <c r="P1108" s="3"/>
      <c r="Q1108" s="261"/>
      <c r="R1108" s="261"/>
    </row>
    <row r="1109" spans="1:18" x14ac:dyDescent="0.35">
      <c r="A1109" s="3"/>
      <c r="B1109" s="3"/>
      <c r="C1109" s="3"/>
      <c r="D1109" s="3"/>
      <c r="E1109" s="3"/>
      <c r="F1109" s="3"/>
      <c r="G1109" s="3"/>
      <c r="H1109" s="3"/>
      <c r="I1109" s="3"/>
      <c r="J1109" s="3"/>
      <c r="K1109" s="3"/>
      <c r="L1109" s="3"/>
      <c r="M1109" s="3"/>
      <c r="N1109" s="3"/>
      <c r="O1109" s="3"/>
      <c r="P1109" s="3"/>
      <c r="Q1109" s="261"/>
      <c r="R1109" s="261"/>
    </row>
    <row r="1110" spans="1:18" x14ac:dyDescent="0.35">
      <c r="A1110" s="3"/>
      <c r="B1110" s="3"/>
      <c r="C1110" s="3"/>
      <c r="D1110" s="3"/>
      <c r="E1110" s="3"/>
      <c r="F1110" s="3"/>
      <c r="G1110" s="3"/>
      <c r="H1110" s="3"/>
      <c r="I1110" s="3"/>
      <c r="J1110" s="3"/>
      <c r="K1110" s="3"/>
      <c r="L1110" s="3"/>
      <c r="M1110" s="3"/>
      <c r="N1110" s="3"/>
      <c r="O1110" s="3"/>
      <c r="P1110" s="3"/>
      <c r="Q1110" s="261"/>
      <c r="R1110" s="261"/>
    </row>
    <row r="1111" spans="1:18" x14ac:dyDescent="0.35">
      <c r="A1111" s="3"/>
      <c r="B1111" s="3"/>
      <c r="C1111" s="3"/>
      <c r="D1111" s="3"/>
      <c r="E1111" s="3"/>
      <c r="F1111" s="3"/>
      <c r="G1111" s="3"/>
      <c r="H1111" s="3"/>
      <c r="I1111" s="3"/>
      <c r="J1111" s="3"/>
      <c r="K1111" s="3"/>
      <c r="L1111" s="3"/>
      <c r="M1111" s="3"/>
      <c r="N1111" s="3"/>
      <c r="O1111" s="3"/>
      <c r="P1111" s="3"/>
      <c r="Q1111" s="261"/>
      <c r="R1111" s="261"/>
    </row>
    <row r="1112" spans="1:18" x14ac:dyDescent="0.35">
      <c r="A1112" s="3"/>
      <c r="B1112" s="3"/>
      <c r="C1112" s="3"/>
      <c r="D1112" s="3"/>
      <c r="E1112" s="3"/>
      <c r="F1112" s="3"/>
      <c r="G1112" s="3"/>
      <c r="H1112" s="3"/>
      <c r="I1112" s="3"/>
      <c r="J1112" s="3"/>
      <c r="K1112" s="3"/>
      <c r="L1112" s="3"/>
      <c r="M1112" s="3"/>
      <c r="N1112" s="3"/>
      <c r="O1112" s="3"/>
      <c r="P1112" s="3"/>
      <c r="Q1112" s="261"/>
      <c r="R1112" s="261"/>
    </row>
    <row r="1113" spans="1:18" x14ac:dyDescent="0.35">
      <c r="A1113" s="3"/>
      <c r="B1113" s="3"/>
      <c r="C1113" s="3"/>
      <c r="D1113" s="3"/>
      <c r="E1113" s="3"/>
      <c r="F1113" s="3"/>
      <c r="G1113" s="3"/>
      <c r="H1113" s="3"/>
      <c r="I1113" s="3"/>
      <c r="J1113" s="3"/>
      <c r="K1113" s="3"/>
      <c r="L1113" s="3"/>
      <c r="M1113" s="3"/>
      <c r="N1113" s="3"/>
      <c r="O1113" s="3"/>
      <c r="P1113" s="3"/>
      <c r="Q1113" s="261"/>
      <c r="R1113" s="261"/>
    </row>
    <row r="1114" spans="1:18" x14ac:dyDescent="0.35">
      <c r="A1114" s="3"/>
      <c r="B1114" s="3"/>
      <c r="C1114" s="3"/>
      <c r="D1114" s="3"/>
      <c r="E1114" s="3"/>
      <c r="F1114" s="3"/>
      <c r="G1114" s="3"/>
      <c r="H1114" s="3"/>
      <c r="I1114" s="3"/>
      <c r="J1114" s="3"/>
      <c r="K1114" s="3"/>
      <c r="L1114" s="3"/>
      <c r="M1114" s="3"/>
      <c r="N1114" s="3"/>
      <c r="O1114" s="3"/>
      <c r="P1114" s="3"/>
      <c r="Q1114" s="261"/>
      <c r="R1114" s="261"/>
    </row>
    <row r="1115" spans="1:18" x14ac:dyDescent="0.35">
      <c r="A1115" s="3"/>
      <c r="B1115" s="3"/>
      <c r="C1115" s="3"/>
      <c r="D1115" s="3"/>
      <c r="E1115" s="3"/>
      <c r="F1115" s="3"/>
      <c r="G1115" s="3"/>
      <c r="H1115" s="3"/>
      <c r="I1115" s="3"/>
      <c r="J1115" s="3"/>
      <c r="K1115" s="3"/>
      <c r="L1115" s="3"/>
      <c r="M1115" s="3"/>
      <c r="N1115" s="3"/>
      <c r="O1115" s="3"/>
      <c r="P1115" s="3"/>
      <c r="Q1115" s="261"/>
      <c r="R1115" s="261"/>
    </row>
    <row r="1116" spans="1:18" x14ac:dyDescent="0.35">
      <c r="A1116" s="3"/>
      <c r="B1116" s="3"/>
      <c r="C1116" s="3"/>
      <c r="D1116" s="3"/>
      <c r="E1116" s="3"/>
      <c r="F1116" s="3"/>
      <c r="G1116" s="3"/>
      <c r="H1116" s="3"/>
      <c r="I1116" s="3"/>
      <c r="J1116" s="3"/>
      <c r="K1116" s="3"/>
      <c r="L1116" s="3"/>
      <c r="M1116" s="3"/>
      <c r="N1116" s="3"/>
      <c r="O1116" s="3"/>
      <c r="P1116" s="3"/>
      <c r="Q1116" s="261"/>
      <c r="R1116" s="261"/>
    </row>
    <row r="1117" spans="1:18" x14ac:dyDescent="0.35">
      <c r="A1117" s="3"/>
      <c r="B1117" s="3"/>
      <c r="C1117" s="3"/>
      <c r="D1117" s="3"/>
      <c r="E1117" s="3"/>
      <c r="F1117" s="3"/>
      <c r="G1117" s="3"/>
      <c r="H1117" s="3"/>
      <c r="I1117" s="3"/>
      <c r="J1117" s="3"/>
      <c r="K1117" s="3"/>
      <c r="L1117" s="3"/>
      <c r="M1117" s="3"/>
      <c r="N1117" s="3"/>
      <c r="O1117" s="3"/>
      <c r="P1117" s="3"/>
      <c r="Q1117" s="261"/>
      <c r="R1117" s="261"/>
    </row>
    <row r="1118" spans="1:18" x14ac:dyDescent="0.35">
      <c r="A1118" s="3"/>
      <c r="B1118" s="3"/>
      <c r="C1118" s="3"/>
      <c r="D1118" s="3"/>
      <c r="E1118" s="3"/>
      <c r="F1118" s="3"/>
      <c r="G1118" s="3"/>
      <c r="H1118" s="3"/>
      <c r="I1118" s="3"/>
      <c r="J1118" s="3"/>
      <c r="K1118" s="3"/>
      <c r="L1118" s="3"/>
      <c r="M1118" s="3"/>
      <c r="N1118" s="3"/>
      <c r="O1118" s="3"/>
      <c r="P1118" s="3"/>
      <c r="Q1118" s="261"/>
      <c r="R1118" s="261"/>
    </row>
    <row r="1119" spans="1:18" x14ac:dyDescent="0.35">
      <c r="A1119" s="3"/>
      <c r="B1119" s="3"/>
      <c r="C1119" s="3"/>
      <c r="D1119" s="3"/>
      <c r="E1119" s="3"/>
      <c r="F1119" s="3"/>
      <c r="G1119" s="3"/>
      <c r="H1119" s="3"/>
      <c r="I1119" s="3"/>
      <c r="J1119" s="3"/>
      <c r="K1119" s="3"/>
      <c r="L1119" s="3"/>
      <c r="M1119" s="3"/>
      <c r="N1119" s="3"/>
      <c r="O1119" s="3"/>
      <c r="P1119" s="3"/>
      <c r="Q1119" s="261"/>
      <c r="R1119" s="261"/>
    </row>
    <row r="1120" spans="1:18" x14ac:dyDescent="0.35">
      <c r="A1120" s="3"/>
      <c r="B1120" s="3"/>
      <c r="C1120" s="3"/>
      <c r="D1120" s="3"/>
      <c r="E1120" s="3"/>
      <c r="F1120" s="3"/>
      <c r="G1120" s="3"/>
      <c r="H1120" s="3"/>
      <c r="I1120" s="3"/>
      <c r="J1120" s="3"/>
      <c r="K1120" s="3"/>
      <c r="L1120" s="3"/>
      <c r="M1120" s="3"/>
      <c r="N1120" s="3"/>
      <c r="O1120" s="3"/>
      <c r="P1120" s="3"/>
      <c r="Q1120" s="261"/>
      <c r="R1120" s="261"/>
    </row>
    <row r="1121" spans="1:18" x14ac:dyDescent="0.35">
      <c r="A1121" s="3"/>
      <c r="B1121" s="3"/>
      <c r="C1121" s="3"/>
      <c r="D1121" s="3"/>
      <c r="E1121" s="3"/>
      <c r="F1121" s="3"/>
      <c r="G1121" s="3"/>
      <c r="H1121" s="3"/>
      <c r="I1121" s="3"/>
      <c r="J1121" s="3"/>
      <c r="K1121" s="3"/>
      <c r="L1121" s="3"/>
      <c r="M1121" s="3"/>
      <c r="N1121" s="3"/>
      <c r="O1121" s="3"/>
      <c r="P1121" s="3"/>
      <c r="Q1121" s="261"/>
      <c r="R1121" s="261"/>
    </row>
    <row r="1122" spans="1:18" x14ac:dyDescent="0.35">
      <c r="A1122" s="3"/>
      <c r="B1122" s="3"/>
      <c r="C1122" s="3"/>
      <c r="D1122" s="3"/>
      <c r="E1122" s="3"/>
      <c r="F1122" s="3"/>
      <c r="G1122" s="3"/>
      <c r="H1122" s="3"/>
      <c r="I1122" s="3"/>
      <c r="J1122" s="3"/>
      <c r="K1122" s="3"/>
      <c r="L1122" s="3"/>
      <c r="M1122" s="3"/>
      <c r="N1122" s="3"/>
      <c r="O1122" s="3"/>
      <c r="P1122" s="3"/>
      <c r="Q1122" s="261"/>
      <c r="R1122" s="261"/>
    </row>
    <row r="1123" spans="1:18" x14ac:dyDescent="0.35">
      <c r="A1123" s="3"/>
      <c r="B1123" s="3"/>
      <c r="C1123" s="3"/>
      <c r="D1123" s="3"/>
      <c r="E1123" s="3"/>
      <c r="F1123" s="3"/>
      <c r="G1123" s="3"/>
      <c r="H1123" s="3"/>
      <c r="I1123" s="3"/>
      <c r="J1123" s="3"/>
      <c r="K1123" s="3"/>
      <c r="L1123" s="3"/>
      <c r="M1123" s="3"/>
      <c r="N1123" s="3"/>
      <c r="O1123" s="3"/>
      <c r="P1123" s="3"/>
      <c r="Q1123" s="261"/>
      <c r="R1123" s="261"/>
    </row>
    <row r="1124" spans="1:18" x14ac:dyDescent="0.35">
      <c r="A1124" s="3"/>
      <c r="B1124" s="3"/>
      <c r="C1124" s="3"/>
      <c r="D1124" s="3"/>
      <c r="E1124" s="3"/>
      <c r="F1124" s="3"/>
      <c r="G1124" s="3"/>
      <c r="H1124" s="3"/>
      <c r="I1124" s="3"/>
      <c r="J1124" s="3"/>
      <c r="K1124" s="3"/>
      <c r="L1124" s="3"/>
      <c r="M1124" s="3"/>
      <c r="N1124" s="3"/>
      <c r="O1124" s="3"/>
      <c r="P1124" s="3"/>
      <c r="Q1124" s="261"/>
      <c r="R1124" s="261"/>
    </row>
    <row r="1125" spans="1:18" x14ac:dyDescent="0.35">
      <c r="A1125" s="3"/>
      <c r="B1125" s="3"/>
      <c r="C1125" s="3"/>
      <c r="D1125" s="3"/>
      <c r="E1125" s="3"/>
      <c r="F1125" s="3"/>
      <c r="G1125" s="3"/>
      <c r="H1125" s="3"/>
      <c r="I1125" s="3"/>
      <c r="J1125" s="3"/>
      <c r="K1125" s="3"/>
      <c r="L1125" s="3"/>
      <c r="M1125" s="3"/>
      <c r="N1125" s="3"/>
      <c r="O1125" s="3"/>
      <c r="P1125" s="3"/>
      <c r="Q1125" s="261"/>
      <c r="R1125" s="261"/>
    </row>
    <row r="1126" spans="1:18" x14ac:dyDescent="0.35">
      <c r="A1126" s="3"/>
      <c r="B1126" s="3"/>
      <c r="C1126" s="3"/>
      <c r="D1126" s="3"/>
      <c r="E1126" s="3"/>
      <c r="F1126" s="3"/>
      <c r="G1126" s="3"/>
      <c r="H1126" s="3"/>
      <c r="I1126" s="3"/>
      <c r="J1126" s="3"/>
      <c r="K1126" s="3"/>
      <c r="L1126" s="3"/>
      <c r="M1126" s="3"/>
      <c r="N1126" s="3"/>
      <c r="O1126" s="3"/>
      <c r="P1126" s="3"/>
      <c r="Q1126" s="261"/>
      <c r="R1126" s="261"/>
    </row>
    <row r="1127" spans="1:18" x14ac:dyDescent="0.35">
      <c r="A1127" s="3"/>
      <c r="B1127" s="3"/>
      <c r="C1127" s="3"/>
      <c r="D1127" s="3"/>
      <c r="E1127" s="3"/>
      <c r="F1127" s="3"/>
      <c r="G1127" s="3"/>
      <c r="H1127" s="3"/>
      <c r="I1127" s="3"/>
      <c r="J1127" s="3"/>
      <c r="K1127" s="3"/>
      <c r="L1127" s="3"/>
      <c r="M1127" s="3"/>
      <c r="N1127" s="3"/>
      <c r="O1127" s="3"/>
      <c r="P1127" s="3"/>
      <c r="Q1127" s="261"/>
      <c r="R1127" s="261"/>
    </row>
    <row r="1128" spans="1:18" x14ac:dyDescent="0.35">
      <c r="A1128" s="3"/>
      <c r="B1128" s="3"/>
      <c r="C1128" s="3"/>
      <c r="D1128" s="3"/>
      <c r="E1128" s="3"/>
      <c r="F1128" s="3"/>
      <c r="G1128" s="3"/>
      <c r="H1128" s="3"/>
      <c r="I1128" s="3"/>
      <c r="J1128" s="3"/>
      <c r="K1128" s="3"/>
      <c r="L1128" s="3"/>
      <c r="M1128" s="3"/>
      <c r="N1128" s="3"/>
      <c r="O1128" s="3"/>
      <c r="P1128" s="3"/>
      <c r="Q1128" s="261"/>
      <c r="R1128" s="261"/>
    </row>
    <row r="1129" spans="1:18" x14ac:dyDescent="0.35">
      <c r="A1129" s="3"/>
      <c r="B1129" s="3"/>
      <c r="C1129" s="3"/>
      <c r="D1129" s="3"/>
      <c r="E1129" s="3"/>
      <c r="F1129" s="3"/>
      <c r="G1129" s="3"/>
      <c r="H1129" s="3"/>
      <c r="I1129" s="3"/>
      <c r="J1129" s="3"/>
      <c r="K1129" s="3"/>
      <c r="L1129" s="3"/>
      <c r="M1129" s="3"/>
      <c r="N1129" s="3"/>
      <c r="O1129" s="3"/>
      <c r="P1129" s="3"/>
      <c r="Q1129" s="261"/>
      <c r="R1129" s="261"/>
    </row>
    <row r="1130" spans="1:18" x14ac:dyDescent="0.35">
      <c r="A1130" s="3"/>
      <c r="B1130" s="3"/>
      <c r="C1130" s="3"/>
      <c r="D1130" s="3"/>
      <c r="E1130" s="3"/>
      <c r="F1130" s="3"/>
      <c r="G1130" s="3"/>
      <c r="H1130" s="3"/>
      <c r="I1130" s="3"/>
      <c r="J1130" s="3"/>
      <c r="K1130" s="3"/>
      <c r="L1130" s="3"/>
      <c r="M1130" s="3"/>
      <c r="N1130" s="3"/>
      <c r="O1130" s="3"/>
      <c r="P1130" s="3"/>
      <c r="Q1130" s="261"/>
      <c r="R1130" s="261"/>
    </row>
    <row r="1131" spans="1:18" x14ac:dyDescent="0.35">
      <c r="A1131" s="3"/>
      <c r="B1131" s="3"/>
      <c r="C1131" s="3"/>
      <c r="D1131" s="3"/>
      <c r="E1131" s="3"/>
      <c r="F1131" s="3"/>
      <c r="G1131" s="3"/>
      <c r="H1131" s="3"/>
      <c r="I1131" s="3"/>
      <c r="J1131" s="3"/>
      <c r="K1131" s="3"/>
      <c r="L1131" s="3"/>
      <c r="M1131" s="3"/>
      <c r="N1131" s="3"/>
      <c r="O1131" s="3"/>
      <c r="P1131" s="3"/>
      <c r="Q1131" s="261"/>
      <c r="R1131" s="261"/>
    </row>
    <row r="1132" spans="1:18" x14ac:dyDescent="0.35">
      <c r="A1132" s="3"/>
      <c r="B1132" s="3"/>
      <c r="C1132" s="3"/>
      <c r="D1132" s="3"/>
      <c r="E1132" s="3"/>
      <c r="F1132" s="3"/>
      <c r="G1132" s="3"/>
      <c r="H1132" s="3"/>
      <c r="I1132" s="3"/>
      <c r="J1132" s="3"/>
      <c r="K1132" s="3"/>
      <c r="L1132" s="3"/>
      <c r="M1132" s="3"/>
      <c r="N1132" s="3"/>
      <c r="O1132" s="3"/>
      <c r="P1132" s="3"/>
      <c r="Q1132" s="261"/>
      <c r="R1132" s="261"/>
    </row>
    <row r="1133" spans="1:18" x14ac:dyDescent="0.35">
      <c r="A1133" s="3"/>
      <c r="B1133" s="3"/>
      <c r="C1133" s="3"/>
      <c r="D1133" s="3"/>
      <c r="E1133" s="3"/>
      <c r="F1133" s="3"/>
      <c r="G1133" s="3"/>
      <c r="H1133" s="3"/>
      <c r="I1133" s="3"/>
      <c r="J1133" s="3"/>
      <c r="K1133" s="3"/>
      <c r="L1133" s="3"/>
      <c r="M1133" s="3"/>
      <c r="N1133" s="3"/>
      <c r="O1133" s="3"/>
      <c r="P1133" s="3"/>
      <c r="Q1133" s="261"/>
      <c r="R1133" s="261"/>
    </row>
    <row r="1134" spans="1:18" x14ac:dyDescent="0.35">
      <c r="A1134" s="3"/>
      <c r="B1134" s="3"/>
      <c r="C1134" s="3"/>
      <c r="D1134" s="3"/>
      <c r="E1134" s="3"/>
      <c r="F1134" s="3"/>
      <c r="G1134" s="3"/>
      <c r="H1134" s="3"/>
      <c r="I1134" s="3"/>
      <c r="J1134" s="3"/>
      <c r="K1134" s="3"/>
      <c r="L1134" s="3"/>
      <c r="M1134" s="3"/>
      <c r="N1134" s="3"/>
      <c r="O1134" s="3"/>
      <c r="P1134" s="3"/>
      <c r="Q1134" s="261"/>
      <c r="R1134" s="261"/>
    </row>
    <row r="1135" spans="1:18" x14ac:dyDescent="0.35">
      <c r="A1135" s="3"/>
      <c r="B1135" s="3"/>
      <c r="C1135" s="3"/>
      <c r="D1135" s="3"/>
      <c r="E1135" s="3"/>
      <c r="F1135" s="3"/>
      <c r="G1135" s="3"/>
      <c r="H1135" s="3"/>
      <c r="I1135" s="3"/>
      <c r="J1135" s="3"/>
      <c r="K1135" s="3"/>
      <c r="L1135" s="3"/>
      <c r="M1135" s="3"/>
      <c r="N1135" s="3"/>
      <c r="O1135" s="3"/>
      <c r="P1135" s="3"/>
      <c r="Q1135" s="261"/>
      <c r="R1135" s="261"/>
    </row>
    <row r="1136" spans="1:18" x14ac:dyDescent="0.35">
      <c r="A1136" s="3"/>
      <c r="B1136" s="3"/>
      <c r="C1136" s="3"/>
      <c r="D1136" s="3"/>
      <c r="E1136" s="3"/>
      <c r="F1136" s="3"/>
      <c r="G1136" s="3"/>
      <c r="H1136" s="3"/>
      <c r="I1136" s="3"/>
      <c r="J1136" s="3"/>
      <c r="K1136" s="3"/>
      <c r="L1136" s="3"/>
      <c r="M1136" s="3"/>
      <c r="N1136" s="3"/>
      <c r="O1136" s="3"/>
      <c r="P1136" s="3"/>
      <c r="Q1136" s="261"/>
      <c r="R1136" s="261"/>
    </row>
    <row r="1137" spans="1:18" x14ac:dyDescent="0.35">
      <c r="A1137" s="3"/>
      <c r="B1137" s="3"/>
      <c r="C1137" s="3"/>
      <c r="D1137" s="3"/>
      <c r="E1137" s="3"/>
      <c r="F1137" s="3"/>
      <c r="G1137" s="3"/>
      <c r="H1137" s="3"/>
      <c r="I1137" s="3"/>
      <c r="J1137" s="3"/>
      <c r="K1137" s="3"/>
      <c r="L1137" s="3"/>
      <c r="M1137" s="3"/>
      <c r="N1137" s="3"/>
      <c r="O1137" s="3"/>
      <c r="P1137" s="3"/>
      <c r="Q1137" s="261"/>
      <c r="R1137" s="261"/>
    </row>
    <row r="1138" spans="1:18" x14ac:dyDescent="0.35">
      <c r="A1138" s="3"/>
      <c r="B1138" s="3"/>
      <c r="C1138" s="3"/>
      <c r="D1138" s="3"/>
      <c r="E1138" s="3"/>
      <c r="F1138" s="3"/>
      <c r="G1138" s="3"/>
      <c r="H1138" s="3"/>
      <c r="I1138" s="3"/>
      <c r="J1138" s="3"/>
      <c r="K1138" s="3"/>
      <c r="L1138" s="3"/>
      <c r="M1138" s="3"/>
      <c r="N1138" s="3"/>
      <c r="O1138" s="3"/>
      <c r="P1138" s="3"/>
      <c r="Q1138" s="261"/>
      <c r="R1138" s="261"/>
    </row>
    <row r="1139" spans="1:18" x14ac:dyDescent="0.35">
      <c r="A1139" s="3"/>
      <c r="B1139" s="3"/>
      <c r="C1139" s="3"/>
      <c r="D1139" s="3"/>
      <c r="E1139" s="3"/>
      <c r="F1139" s="3"/>
      <c r="G1139" s="3"/>
      <c r="H1139" s="3"/>
      <c r="I1139" s="3"/>
      <c r="J1139" s="3"/>
      <c r="K1139" s="3"/>
      <c r="L1139" s="3"/>
      <c r="M1139" s="3"/>
      <c r="N1139" s="3"/>
      <c r="O1139" s="3"/>
      <c r="P1139" s="3"/>
      <c r="Q1139" s="261"/>
      <c r="R1139" s="261"/>
    </row>
    <row r="1140" spans="1:18" x14ac:dyDescent="0.35">
      <c r="A1140" s="3"/>
      <c r="B1140" s="3"/>
      <c r="C1140" s="3"/>
      <c r="D1140" s="3"/>
      <c r="E1140" s="3"/>
      <c r="F1140" s="3"/>
      <c r="G1140" s="3"/>
      <c r="H1140" s="3"/>
      <c r="I1140" s="3"/>
      <c r="J1140" s="3"/>
      <c r="K1140" s="3"/>
      <c r="L1140" s="3"/>
      <c r="M1140" s="3"/>
      <c r="N1140" s="3"/>
      <c r="O1140" s="3"/>
      <c r="P1140" s="3"/>
      <c r="Q1140" s="261"/>
      <c r="R1140" s="261"/>
    </row>
    <row r="1141" spans="1:18" x14ac:dyDescent="0.35">
      <c r="A1141" s="3"/>
      <c r="B1141" s="3"/>
      <c r="C1141" s="3"/>
      <c r="D1141" s="3"/>
      <c r="E1141" s="3"/>
      <c r="F1141" s="3"/>
      <c r="G1141" s="3"/>
      <c r="H1141" s="3"/>
      <c r="I1141" s="3"/>
      <c r="J1141" s="3"/>
      <c r="K1141" s="3"/>
      <c r="L1141" s="3"/>
      <c r="M1141" s="3"/>
      <c r="N1141" s="3"/>
      <c r="O1141" s="3"/>
      <c r="P1141" s="3"/>
      <c r="Q1141" s="261"/>
      <c r="R1141" s="261"/>
    </row>
    <row r="1142" spans="1:18" x14ac:dyDescent="0.35">
      <c r="A1142" s="3"/>
      <c r="B1142" s="3"/>
      <c r="C1142" s="3"/>
      <c r="D1142" s="3"/>
      <c r="E1142" s="3"/>
      <c r="F1142" s="3"/>
      <c r="G1142" s="3"/>
      <c r="H1142" s="3"/>
      <c r="I1142" s="3"/>
      <c r="J1142" s="3"/>
      <c r="K1142" s="3"/>
      <c r="L1142" s="3"/>
      <c r="M1142" s="3"/>
      <c r="N1142" s="3"/>
      <c r="O1142" s="3"/>
      <c r="P1142" s="3"/>
      <c r="Q1142" s="261"/>
      <c r="R1142" s="261"/>
    </row>
    <row r="1143" spans="1:18" x14ac:dyDescent="0.35">
      <c r="A1143" s="3"/>
      <c r="B1143" s="3"/>
      <c r="C1143" s="3"/>
      <c r="D1143" s="3"/>
      <c r="E1143" s="3"/>
      <c r="F1143" s="3"/>
      <c r="G1143" s="3"/>
      <c r="H1143" s="3"/>
      <c r="I1143" s="3"/>
      <c r="J1143" s="3"/>
      <c r="K1143" s="3"/>
      <c r="L1143" s="3"/>
      <c r="M1143" s="3"/>
      <c r="N1143" s="3"/>
      <c r="O1143" s="3"/>
      <c r="P1143" s="3"/>
      <c r="Q1143" s="261"/>
      <c r="R1143" s="261"/>
    </row>
    <row r="1144" spans="1:18" x14ac:dyDescent="0.35">
      <c r="A1144" s="3"/>
      <c r="B1144" s="3"/>
      <c r="C1144" s="3"/>
      <c r="D1144" s="3"/>
      <c r="E1144" s="3"/>
      <c r="F1144" s="3"/>
      <c r="G1144" s="3"/>
      <c r="H1144" s="3"/>
      <c r="I1144" s="3"/>
      <c r="J1144" s="3"/>
      <c r="K1144" s="3"/>
      <c r="L1144" s="3"/>
      <c r="M1144" s="3"/>
      <c r="N1144" s="3"/>
      <c r="O1144" s="3"/>
      <c r="P1144" s="3"/>
      <c r="Q1144" s="261"/>
      <c r="R1144" s="261"/>
    </row>
    <row r="1145" spans="1:18" x14ac:dyDescent="0.35">
      <c r="A1145" s="3"/>
      <c r="B1145" s="3"/>
      <c r="C1145" s="3"/>
      <c r="D1145" s="3"/>
      <c r="E1145" s="3"/>
      <c r="F1145" s="3"/>
      <c r="G1145" s="3"/>
      <c r="H1145" s="3"/>
      <c r="I1145" s="3"/>
      <c r="J1145" s="3"/>
      <c r="K1145" s="3"/>
      <c r="L1145" s="3"/>
      <c r="M1145" s="3"/>
      <c r="N1145" s="3"/>
      <c r="O1145" s="3"/>
      <c r="P1145" s="3"/>
      <c r="Q1145" s="261"/>
      <c r="R1145" s="261"/>
    </row>
    <row r="1146" spans="1:18" x14ac:dyDescent="0.35">
      <c r="A1146" s="3"/>
      <c r="B1146" s="3"/>
      <c r="C1146" s="3"/>
      <c r="D1146" s="3"/>
      <c r="E1146" s="3"/>
      <c r="F1146" s="3"/>
      <c r="G1146" s="3"/>
      <c r="H1146" s="3"/>
      <c r="I1146" s="3"/>
      <c r="J1146" s="3"/>
      <c r="K1146" s="3"/>
      <c r="L1146" s="3"/>
      <c r="M1146" s="3"/>
      <c r="N1146" s="3"/>
      <c r="O1146" s="3"/>
      <c r="P1146" s="3"/>
      <c r="Q1146" s="261"/>
      <c r="R1146" s="261"/>
    </row>
    <row r="1147" spans="1:18" x14ac:dyDescent="0.35">
      <c r="A1147" s="3"/>
      <c r="B1147" s="3"/>
      <c r="C1147" s="3"/>
      <c r="D1147" s="3"/>
      <c r="E1147" s="3"/>
      <c r="F1147" s="3"/>
      <c r="G1147" s="3"/>
      <c r="H1147" s="3"/>
      <c r="I1147" s="3"/>
      <c r="J1147" s="3"/>
      <c r="K1147" s="3"/>
      <c r="L1147" s="3"/>
      <c r="M1147" s="3"/>
      <c r="N1147" s="3"/>
      <c r="O1147" s="3"/>
      <c r="P1147" s="3"/>
      <c r="Q1147" s="261"/>
      <c r="R1147" s="261"/>
    </row>
    <row r="1148" spans="1:18" x14ac:dyDescent="0.35">
      <c r="A1148" s="3"/>
      <c r="B1148" s="3"/>
      <c r="C1148" s="3"/>
      <c r="D1148" s="3"/>
      <c r="E1148" s="3"/>
      <c r="F1148" s="3"/>
      <c r="G1148" s="3"/>
      <c r="H1148" s="3"/>
      <c r="I1148" s="3"/>
      <c r="J1148" s="3"/>
      <c r="K1148" s="3"/>
      <c r="L1148" s="3"/>
      <c r="M1148" s="3"/>
      <c r="N1148" s="3"/>
      <c r="O1148" s="3"/>
      <c r="P1148" s="3"/>
      <c r="Q1148" s="261"/>
      <c r="R1148" s="261"/>
    </row>
    <row r="1149" spans="1:18" x14ac:dyDescent="0.35">
      <c r="A1149" s="3"/>
      <c r="B1149" s="3"/>
      <c r="C1149" s="3"/>
      <c r="D1149" s="3"/>
      <c r="E1149" s="3"/>
      <c r="F1149" s="3"/>
      <c r="G1149" s="3"/>
      <c r="H1149" s="3"/>
      <c r="I1149" s="3"/>
      <c r="J1149" s="3"/>
      <c r="K1149" s="3"/>
      <c r="L1149" s="3"/>
      <c r="M1149" s="3"/>
      <c r="N1149" s="3"/>
      <c r="O1149" s="3"/>
      <c r="P1149" s="3"/>
      <c r="Q1149" s="261"/>
      <c r="R1149" s="261"/>
    </row>
    <row r="1150" spans="1:18" x14ac:dyDescent="0.35">
      <c r="A1150" s="3"/>
      <c r="B1150" s="3"/>
      <c r="C1150" s="3"/>
      <c r="D1150" s="3"/>
      <c r="E1150" s="3"/>
      <c r="F1150" s="3"/>
      <c r="G1150" s="3"/>
      <c r="H1150" s="3"/>
      <c r="I1150" s="3"/>
      <c r="J1150" s="3"/>
      <c r="K1150" s="3"/>
      <c r="L1150" s="3"/>
      <c r="M1150" s="3"/>
      <c r="N1150" s="3"/>
      <c r="O1150" s="3"/>
      <c r="P1150" s="3"/>
      <c r="Q1150" s="261"/>
      <c r="R1150" s="261"/>
    </row>
    <row r="1151" spans="1:18" x14ac:dyDescent="0.35">
      <c r="A1151" s="3"/>
      <c r="B1151" s="3"/>
      <c r="C1151" s="3"/>
      <c r="D1151" s="3"/>
      <c r="E1151" s="3"/>
      <c r="F1151" s="3"/>
      <c r="G1151" s="3"/>
      <c r="H1151" s="3"/>
      <c r="I1151" s="3"/>
      <c r="J1151" s="3"/>
      <c r="K1151" s="3"/>
      <c r="L1151" s="3"/>
      <c r="M1151" s="3"/>
      <c r="N1151" s="3"/>
      <c r="O1151" s="3"/>
      <c r="P1151" s="3"/>
      <c r="Q1151" s="261"/>
      <c r="R1151" s="261"/>
    </row>
    <row r="1152" spans="1:18" x14ac:dyDescent="0.35">
      <c r="A1152" s="3"/>
      <c r="B1152" s="3"/>
      <c r="C1152" s="3"/>
      <c r="D1152" s="3"/>
      <c r="E1152" s="3"/>
      <c r="F1152" s="3"/>
      <c r="G1152" s="3"/>
      <c r="H1152" s="3"/>
      <c r="I1152" s="3"/>
      <c r="J1152" s="3"/>
      <c r="K1152" s="3"/>
      <c r="L1152" s="3"/>
      <c r="M1152" s="3"/>
      <c r="N1152" s="3"/>
      <c r="O1152" s="3"/>
      <c r="P1152" s="3"/>
      <c r="Q1152" s="261"/>
      <c r="R1152" s="261"/>
    </row>
    <row r="1153" spans="1:18" x14ac:dyDescent="0.35">
      <c r="A1153" s="3"/>
      <c r="B1153" s="3"/>
      <c r="C1153" s="3"/>
      <c r="D1153" s="3"/>
      <c r="E1153" s="3"/>
      <c r="F1153" s="3"/>
      <c r="G1153" s="3"/>
      <c r="H1153" s="3"/>
      <c r="I1153" s="3"/>
      <c r="J1153" s="3"/>
      <c r="K1153" s="3"/>
      <c r="L1153" s="3"/>
      <c r="M1153" s="3"/>
      <c r="N1153" s="3"/>
      <c r="O1153" s="3"/>
      <c r="P1153" s="3"/>
      <c r="Q1153" s="261"/>
      <c r="R1153" s="261"/>
    </row>
    <row r="1154" spans="1:18" x14ac:dyDescent="0.35">
      <c r="A1154" s="3"/>
      <c r="B1154" s="3"/>
      <c r="C1154" s="3"/>
      <c r="D1154" s="3"/>
      <c r="E1154" s="3"/>
      <c r="F1154" s="3"/>
      <c r="G1154" s="3"/>
      <c r="H1154" s="3"/>
      <c r="I1154" s="3"/>
      <c r="J1154" s="3"/>
      <c r="K1154" s="3"/>
      <c r="L1154" s="3"/>
      <c r="M1154" s="3"/>
      <c r="N1154" s="3"/>
      <c r="O1154" s="3"/>
      <c r="P1154" s="3"/>
      <c r="Q1154" s="261"/>
      <c r="R1154" s="261"/>
    </row>
    <row r="1155" spans="1:18" x14ac:dyDescent="0.35">
      <c r="A1155" s="3"/>
      <c r="B1155" s="3"/>
      <c r="C1155" s="3"/>
      <c r="D1155" s="3"/>
      <c r="E1155" s="3"/>
      <c r="F1155" s="3"/>
      <c r="G1155" s="3"/>
      <c r="H1155" s="3"/>
      <c r="I1155" s="3"/>
      <c r="J1155" s="3"/>
      <c r="K1155" s="3"/>
      <c r="L1155" s="3"/>
      <c r="M1155" s="3"/>
      <c r="N1155" s="3"/>
      <c r="O1155" s="3"/>
      <c r="P1155" s="3"/>
      <c r="Q1155" s="261"/>
      <c r="R1155" s="261"/>
    </row>
    <row r="1156" spans="1:18" x14ac:dyDescent="0.35">
      <c r="A1156" s="3"/>
      <c r="B1156" s="3"/>
      <c r="C1156" s="3"/>
      <c r="D1156" s="3"/>
      <c r="E1156" s="3"/>
      <c r="F1156" s="3"/>
      <c r="G1156" s="3"/>
      <c r="H1156" s="3"/>
      <c r="I1156" s="3"/>
      <c r="J1156" s="3"/>
      <c r="K1156" s="3"/>
      <c r="L1156" s="3"/>
      <c r="M1156" s="3"/>
      <c r="N1156" s="3"/>
      <c r="O1156" s="3"/>
      <c r="P1156" s="3"/>
      <c r="Q1156" s="261"/>
      <c r="R1156" s="261"/>
    </row>
    <row r="1157" spans="1:18" x14ac:dyDescent="0.35">
      <c r="A1157" s="3"/>
      <c r="B1157" s="3"/>
      <c r="C1157" s="3"/>
      <c r="D1157" s="3"/>
      <c r="E1157" s="3"/>
      <c r="F1157" s="3"/>
      <c r="G1157" s="3"/>
      <c r="H1157" s="3"/>
      <c r="I1157" s="3"/>
      <c r="J1157" s="3"/>
      <c r="K1157" s="3"/>
      <c r="L1157" s="3"/>
      <c r="M1157" s="3"/>
      <c r="N1157" s="3"/>
      <c r="O1157" s="3"/>
      <c r="P1157" s="3"/>
      <c r="Q1157" s="261"/>
      <c r="R1157" s="261"/>
    </row>
    <row r="1158" spans="1:18" x14ac:dyDescent="0.35">
      <c r="A1158" s="3"/>
      <c r="B1158" s="3"/>
      <c r="C1158" s="3"/>
      <c r="D1158" s="3"/>
      <c r="E1158" s="3"/>
      <c r="F1158" s="3"/>
      <c r="G1158" s="3"/>
      <c r="H1158" s="3"/>
      <c r="I1158" s="3"/>
      <c r="J1158" s="3"/>
      <c r="K1158" s="3"/>
      <c r="L1158" s="3"/>
      <c r="M1158" s="3"/>
      <c r="N1158" s="3"/>
      <c r="O1158" s="3"/>
      <c r="P1158" s="3"/>
      <c r="Q1158" s="261"/>
      <c r="R1158" s="261"/>
    </row>
    <row r="1159" spans="1:18" x14ac:dyDescent="0.35">
      <c r="A1159" s="3"/>
      <c r="B1159" s="3"/>
      <c r="C1159" s="3"/>
      <c r="D1159" s="3"/>
      <c r="E1159" s="3"/>
      <c r="F1159" s="3"/>
      <c r="G1159" s="3"/>
      <c r="H1159" s="3"/>
      <c r="I1159" s="3"/>
      <c r="J1159" s="3"/>
      <c r="K1159" s="3"/>
      <c r="L1159" s="3"/>
      <c r="M1159" s="3"/>
      <c r="N1159" s="3"/>
      <c r="O1159" s="3"/>
      <c r="P1159" s="3"/>
      <c r="Q1159" s="261"/>
      <c r="R1159" s="261"/>
    </row>
    <row r="1160" spans="1:18" x14ac:dyDescent="0.35">
      <c r="A1160" s="3"/>
      <c r="B1160" s="3"/>
      <c r="C1160" s="3"/>
      <c r="D1160" s="3"/>
      <c r="E1160" s="3"/>
      <c r="F1160" s="3"/>
      <c r="G1160" s="3"/>
      <c r="H1160" s="3"/>
      <c r="I1160" s="3"/>
      <c r="J1160" s="3"/>
      <c r="K1160" s="3"/>
      <c r="L1160" s="3"/>
      <c r="M1160" s="3"/>
      <c r="N1160" s="3"/>
      <c r="O1160" s="3"/>
      <c r="P1160" s="3"/>
      <c r="Q1160" s="261"/>
      <c r="R1160" s="261"/>
    </row>
    <row r="1161" spans="1:18" x14ac:dyDescent="0.35">
      <c r="A1161" s="3"/>
      <c r="B1161" s="3"/>
      <c r="C1161" s="3"/>
      <c r="D1161" s="3"/>
      <c r="E1161" s="3"/>
      <c r="F1161" s="3"/>
      <c r="G1161" s="3"/>
      <c r="H1161" s="3"/>
      <c r="I1161" s="3"/>
      <c r="J1161" s="3"/>
      <c r="K1161" s="3"/>
      <c r="L1161" s="3"/>
      <c r="M1161" s="3"/>
      <c r="N1161" s="3"/>
      <c r="O1161" s="3"/>
      <c r="P1161" s="3"/>
      <c r="Q1161" s="261"/>
      <c r="R1161" s="261"/>
    </row>
    <row r="1162" spans="1:18" x14ac:dyDescent="0.35">
      <c r="A1162" s="3"/>
      <c r="B1162" s="3"/>
      <c r="C1162" s="3"/>
      <c r="D1162" s="3"/>
      <c r="E1162" s="3"/>
      <c r="F1162" s="3"/>
      <c r="G1162" s="3"/>
      <c r="H1162" s="3"/>
      <c r="I1162" s="3"/>
      <c r="J1162" s="3"/>
      <c r="K1162" s="3"/>
      <c r="L1162" s="3"/>
      <c r="M1162" s="3"/>
      <c r="N1162" s="3"/>
      <c r="O1162" s="3"/>
      <c r="P1162" s="3"/>
      <c r="Q1162" s="261"/>
      <c r="R1162" s="261"/>
    </row>
    <row r="1163" spans="1:18" x14ac:dyDescent="0.35">
      <c r="A1163" s="3"/>
      <c r="B1163" s="3"/>
      <c r="C1163" s="3"/>
      <c r="D1163" s="3"/>
      <c r="E1163" s="3"/>
      <c r="F1163" s="3"/>
      <c r="G1163" s="3"/>
      <c r="H1163" s="3"/>
      <c r="I1163" s="3"/>
      <c r="J1163" s="3"/>
      <c r="K1163" s="3"/>
      <c r="L1163" s="3"/>
      <c r="M1163" s="3"/>
      <c r="N1163" s="3"/>
      <c r="O1163" s="3"/>
      <c r="P1163" s="3"/>
      <c r="Q1163" s="261"/>
      <c r="R1163" s="261"/>
    </row>
    <row r="1164" spans="1:18" x14ac:dyDescent="0.35">
      <c r="A1164" s="3"/>
      <c r="B1164" s="3"/>
      <c r="C1164" s="3"/>
      <c r="D1164" s="3"/>
      <c r="E1164" s="3"/>
      <c r="F1164" s="3"/>
      <c r="G1164" s="3"/>
      <c r="H1164" s="3"/>
      <c r="I1164" s="3"/>
      <c r="J1164" s="3"/>
      <c r="K1164" s="3"/>
      <c r="L1164" s="3"/>
      <c r="M1164" s="3"/>
      <c r="N1164" s="3"/>
      <c r="O1164" s="3"/>
      <c r="P1164" s="3"/>
      <c r="Q1164" s="261"/>
      <c r="R1164" s="261"/>
    </row>
    <row r="1165" spans="1:18" x14ac:dyDescent="0.35">
      <c r="A1165" s="3"/>
      <c r="B1165" s="3"/>
      <c r="C1165" s="3"/>
      <c r="D1165" s="3"/>
      <c r="E1165" s="3"/>
      <c r="F1165" s="3"/>
      <c r="G1165" s="3"/>
      <c r="H1165" s="3"/>
      <c r="I1165" s="3"/>
      <c r="J1165" s="3"/>
      <c r="K1165" s="3"/>
      <c r="L1165" s="3"/>
      <c r="M1165" s="3"/>
      <c r="N1165" s="3"/>
      <c r="O1165" s="3"/>
      <c r="P1165" s="3"/>
      <c r="Q1165" s="261"/>
      <c r="R1165" s="261"/>
    </row>
    <row r="1166" spans="1:18" x14ac:dyDescent="0.35">
      <c r="A1166" s="3"/>
      <c r="B1166" s="3"/>
      <c r="C1166" s="3"/>
      <c r="D1166" s="3"/>
      <c r="E1166" s="3"/>
      <c r="F1166" s="3"/>
      <c r="G1166" s="3"/>
      <c r="H1166" s="3"/>
      <c r="I1166" s="3"/>
      <c r="J1166" s="3"/>
      <c r="K1166" s="3"/>
      <c r="L1166" s="3"/>
      <c r="M1166" s="3"/>
      <c r="N1166" s="3"/>
      <c r="O1166" s="3"/>
      <c r="P1166" s="3"/>
      <c r="Q1166" s="261"/>
      <c r="R1166" s="261"/>
    </row>
    <row r="1167" spans="1:18" x14ac:dyDescent="0.35">
      <c r="A1167" s="3"/>
      <c r="B1167" s="3"/>
      <c r="C1167" s="3"/>
      <c r="D1167" s="3"/>
      <c r="E1167" s="3"/>
      <c r="F1167" s="3"/>
      <c r="G1167" s="3"/>
      <c r="H1167" s="3"/>
      <c r="I1167" s="3"/>
      <c r="J1167" s="3"/>
      <c r="K1167" s="3"/>
      <c r="L1167" s="3"/>
      <c r="M1167" s="3"/>
      <c r="N1167" s="3"/>
      <c r="O1167" s="3"/>
      <c r="P1167" s="3"/>
      <c r="Q1167" s="261"/>
      <c r="R1167" s="261"/>
    </row>
    <row r="1168" spans="1:18" x14ac:dyDescent="0.35">
      <c r="A1168" s="3"/>
      <c r="B1168" s="3"/>
      <c r="C1168" s="3"/>
      <c r="D1168" s="3"/>
      <c r="E1168" s="3"/>
      <c r="F1168" s="3"/>
      <c r="G1168" s="3"/>
      <c r="H1168" s="3"/>
      <c r="I1168" s="3"/>
      <c r="J1168" s="3"/>
      <c r="K1168" s="3"/>
      <c r="L1168" s="3"/>
      <c r="M1168" s="3"/>
      <c r="N1168" s="3"/>
      <c r="O1168" s="3"/>
      <c r="P1168" s="3"/>
      <c r="Q1168" s="261"/>
      <c r="R1168" s="261"/>
    </row>
    <row r="1169" spans="1:18" x14ac:dyDescent="0.35">
      <c r="A1169" s="3"/>
      <c r="B1169" s="3"/>
      <c r="C1169" s="3"/>
      <c r="D1169" s="3"/>
      <c r="E1169" s="3"/>
      <c r="F1169" s="3"/>
      <c r="G1169" s="3"/>
      <c r="H1169" s="3"/>
      <c r="I1169" s="3"/>
      <c r="J1169" s="3"/>
      <c r="K1169" s="3"/>
      <c r="L1169" s="3"/>
      <c r="M1169" s="3"/>
      <c r="N1169" s="3"/>
      <c r="O1169" s="3"/>
      <c r="P1169" s="3"/>
      <c r="Q1169" s="261"/>
      <c r="R1169" s="261"/>
    </row>
    <row r="1170" spans="1:18" x14ac:dyDescent="0.35">
      <c r="A1170" s="3"/>
      <c r="B1170" s="3"/>
      <c r="C1170" s="3"/>
      <c r="D1170" s="3"/>
      <c r="E1170" s="3"/>
      <c r="F1170" s="3"/>
      <c r="G1170" s="3"/>
      <c r="H1170" s="3"/>
      <c r="I1170" s="3"/>
      <c r="J1170" s="3"/>
      <c r="K1170" s="3"/>
      <c r="L1170" s="3"/>
      <c r="M1170" s="3"/>
      <c r="N1170" s="3"/>
      <c r="O1170" s="3"/>
      <c r="P1170" s="3"/>
      <c r="Q1170" s="261"/>
      <c r="R1170" s="261"/>
    </row>
    <row r="1171" spans="1:18" x14ac:dyDescent="0.35">
      <c r="A1171" s="3"/>
      <c r="B1171" s="3"/>
      <c r="C1171" s="3"/>
      <c r="D1171" s="3"/>
      <c r="E1171" s="3"/>
      <c r="F1171" s="3"/>
      <c r="G1171" s="3"/>
      <c r="H1171" s="3"/>
      <c r="I1171" s="3"/>
      <c r="J1171" s="3"/>
      <c r="K1171" s="3"/>
      <c r="L1171" s="3"/>
      <c r="M1171" s="3"/>
      <c r="N1171" s="3"/>
      <c r="O1171" s="3"/>
      <c r="P1171" s="3"/>
      <c r="Q1171" s="261"/>
      <c r="R1171" s="261"/>
    </row>
    <row r="1172" spans="1:18" x14ac:dyDescent="0.35">
      <c r="A1172" s="3"/>
      <c r="B1172" s="3"/>
      <c r="C1172" s="3"/>
      <c r="D1172" s="3"/>
      <c r="E1172" s="3"/>
      <c r="F1172" s="3"/>
      <c r="G1172" s="3"/>
      <c r="H1172" s="3"/>
      <c r="I1172" s="3"/>
      <c r="J1172" s="3"/>
      <c r="K1172" s="3"/>
      <c r="L1172" s="3"/>
      <c r="M1172" s="3"/>
      <c r="N1172" s="3"/>
      <c r="O1172" s="3"/>
      <c r="P1172" s="3"/>
      <c r="Q1172" s="261"/>
      <c r="R1172" s="261"/>
    </row>
    <row r="1173" spans="1:18" x14ac:dyDescent="0.35">
      <c r="A1173" s="3"/>
      <c r="B1173" s="3"/>
      <c r="C1173" s="3"/>
      <c r="D1173" s="3"/>
      <c r="E1173" s="3"/>
      <c r="F1173" s="3"/>
      <c r="G1173" s="3"/>
      <c r="H1173" s="3"/>
      <c r="I1173" s="3"/>
      <c r="J1173" s="3"/>
      <c r="K1173" s="3"/>
      <c r="L1173" s="3"/>
      <c r="M1173" s="3"/>
      <c r="N1173" s="3"/>
      <c r="O1173" s="3"/>
      <c r="P1173" s="3"/>
      <c r="Q1173" s="261"/>
      <c r="R1173" s="261"/>
    </row>
    <row r="1174" spans="1:18" x14ac:dyDescent="0.35">
      <c r="A1174" s="3"/>
      <c r="B1174" s="3"/>
      <c r="C1174" s="3"/>
      <c r="D1174" s="3"/>
      <c r="E1174" s="3"/>
      <c r="F1174" s="3"/>
      <c r="G1174" s="3"/>
      <c r="H1174" s="3"/>
      <c r="I1174" s="3"/>
      <c r="J1174" s="3"/>
      <c r="K1174" s="3"/>
      <c r="L1174" s="3"/>
      <c r="M1174" s="3"/>
      <c r="N1174" s="3"/>
      <c r="O1174" s="3"/>
      <c r="P1174" s="3"/>
      <c r="Q1174" s="261"/>
      <c r="R1174" s="261"/>
    </row>
    <row r="1175" spans="1:18" x14ac:dyDescent="0.35">
      <c r="A1175" s="3"/>
      <c r="B1175" s="3"/>
      <c r="C1175" s="3"/>
      <c r="D1175" s="3"/>
      <c r="E1175" s="3"/>
      <c r="F1175" s="3"/>
      <c r="G1175" s="3"/>
      <c r="H1175" s="3"/>
      <c r="I1175" s="3"/>
      <c r="J1175" s="3"/>
      <c r="K1175" s="3"/>
      <c r="L1175" s="3"/>
      <c r="M1175" s="3"/>
      <c r="N1175" s="3"/>
      <c r="O1175" s="3"/>
      <c r="P1175" s="3"/>
      <c r="Q1175" s="261"/>
      <c r="R1175" s="261"/>
    </row>
    <row r="1176" spans="1:18" x14ac:dyDescent="0.35">
      <c r="A1176" s="3"/>
      <c r="B1176" s="3"/>
      <c r="C1176" s="3"/>
      <c r="D1176" s="3"/>
      <c r="E1176" s="3"/>
      <c r="F1176" s="3"/>
      <c r="G1176" s="3"/>
      <c r="H1176" s="3"/>
      <c r="I1176" s="3"/>
      <c r="J1176" s="3"/>
      <c r="K1176" s="3"/>
      <c r="L1176" s="3"/>
      <c r="M1176" s="3"/>
      <c r="N1176" s="3"/>
      <c r="O1176" s="3"/>
      <c r="P1176" s="3"/>
      <c r="Q1176" s="261"/>
      <c r="R1176" s="261"/>
    </row>
    <row r="1177" spans="1:18" x14ac:dyDescent="0.35">
      <c r="A1177" s="3"/>
      <c r="B1177" s="3"/>
      <c r="C1177" s="3"/>
      <c r="D1177" s="3"/>
      <c r="E1177" s="3"/>
      <c r="F1177" s="3"/>
      <c r="G1177" s="3"/>
      <c r="H1177" s="3"/>
      <c r="I1177" s="3"/>
      <c r="J1177" s="3"/>
      <c r="K1177" s="3"/>
      <c r="L1177" s="3"/>
      <c r="M1177" s="3"/>
      <c r="N1177" s="3"/>
      <c r="O1177" s="3"/>
      <c r="P1177" s="3"/>
      <c r="Q1177" s="261"/>
      <c r="R1177" s="261"/>
    </row>
    <row r="1178" spans="1:18" x14ac:dyDescent="0.35">
      <c r="A1178" s="3"/>
      <c r="B1178" s="3"/>
      <c r="C1178" s="3"/>
      <c r="D1178" s="3"/>
      <c r="E1178" s="3"/>
      <c r="F1178" s="3"/>
      <c r="G1178" s="3"/>
      <c r="H1178" s="3"/>
      <c r="I1178" s="3"/>
      <c r="J1178" s="3"/>
      <c r="K1178" s="3"/>
      <c r="L1178" s="3"/>
      <c r="M1178" s="3"/>
      <c r="N1178" s="3"/>
      <c r="O1178" s="3"/>
      <c r="P1178" s="3"/>
      <c r="Q1178" s="261"/>
      <c r="R1178" s="261"/>
    </row>
    <row r="1179" spans="1:18" x14ac:dyDescent="0.35">
      <c r="A1179" s="3"/>
      <c r="B1179" s="3"/>
      <c r="C1179" s="3"/>
      <c r="D1179" s="3"/>
      <c r="E1179" s="3"/>
      <c r="F1179" s="3"/>
      <c r="G1179" s="3"/>
      <c r="H1179" s="3"/>
      <c r="I1179" s="3"/>
      <c r="J1179" s="3"/>
      <c r="K1179" s="3"/>
      <c r="L1179" s="3"/>
      <c r="M1179" s="3"/>
      <c r="N1179" s="3"/>
      <c r="O1179" s="3"/>
      <c r="P1179" s="3"/>
      <c r="Q1179" s="261"/>
      <c r="R1179" s="261"/>
    </row>
    <row r="1180" spans="1:18" x14ac:dyDescent="0.35">
      <c r="A1180" s="3"/>
      <c r="B1180" s="3"/>
      <c r="C1180" s="3"/>
      <c r="D1180" s="3"/>
      <c r="E1180" s="3"/>
      <c r="F1180" s="3"/>
      <c r="G1180" s="3"/>
      <c r="H1180" s="3"/>
      <c r="I1180" s="3"/>
      <c r="J1180" s="3"/>
      <c r="K1180" s="3"/>
      <c r="L1180" s="3"/>
      <c r="M1180" s="3"/>
      <c r="N1180" s="3"/>
      <c r="O1180" s="3"/>
      <c r="P1180" s="3"/>
      <c r="Q1180" s="261"/>
      <c r="R1180" s="261"/>
    </row>
    <row r="1181" spans="1:18" x14ac:dyDescent="0.35">
      <c r="A1181" s="3"/>
      <c r="B1181" s="3"/>
      <c r="C1181" s="3"/>
      <c r="D1181" s="3"/>
      <c r="E1181" s="3"/>
      <c r="F1181" s="3"/>
      <c r="G1181" s="3"/>
      <c r="H1181" s="3"/>
      <c r="I1181" s="3"/>
      <c r="J1181" s="3"/>
      <c r="K1181" s="3"/>
      <c r="L1181" s="3"/>
      <c r="M1181" s="3"/>
      <c r="N1181" s="3"/>
      <c r="O1181" s="3"/>
      <c r="P1181" s="3"/>
      <c r="Q1181" s="261"/>
      <c r="R1181" s="261"/>
    </row>
    <row r="1182" spans="1:18" x14ac:dyDescent="0.35">
      <c r="A1182" s="3"/>
      <c r="B1182" s="3"/>
      <c r="C1182" s="3"/>
      <c r="D1182" s="3"/>
      <c r="E1182" s="3"/>
      <c r="F1182" s="3"/>
      <c r="G1182" s="3"/>
      <c r="H1182" s="3"/>
      <c r="I1182" s="3"/>
      <c r="J1182" s="3"/>
      <c r="K1182" s="3"/>
      <c r="L1182" s="3"/>
      <c r="M1182" s="3"/>
      <c r="N1182" s="3"/>
      <c r="O1182" s="3"/>
      <c r="P1182" s="3"/>
      <c r="Q1182" s="261"/>
      <c r="R1182" s="261"/>
    </row>
    <row r="1183" spans="1:18" x14ac:dyDescent="0.35">
      <c r="A1183" s="3"/>
      <c r="B1183" s="3"/>
      <c r="C1183" s="3"/>
      <c r="D1183" s="3"/>
      <c r="E1183" s="3"/>
      <c r="F1183" s="3"/>
      <c r="G1183" s="3"/>
      <c r="H1183" s="3"/>
      <c r="I1183" s="3"/>
      <c r="J1183" s="3"/>
      <c r="K1183" s="3"/>
      <c r="L1183" s="3"/>
      <c r="M1183" s="3"/>
      <c r="N1183" s="3"/>
      <c r="O1183" s="3"/>
      <c r="P1183" s="3"/>
      <c r="Q1183" s="261"/>
      <c r="R1183" s="261"/>
    </row>
    <row r="1184" spans="1:18" x14ac:dyDescent="0.35">
      <c r="A1184" s="3"/>
      <c r="B1184" s="3"/>
      <c r="C1184" s="3"/>
      <c r="D1184" s="3"/>
      <c r="E1184" s="3"/>
      <c r="F1184" s="3"/>
      <c r="G1184" s="3"/>
      <c r="H1184" s="3"/>
      <c r="I1184" s="3"/>
      <c r="J1184" s="3"/>
      <c r="K1184" s="3"/>
      <c r="L1184" s="3"/>
      <c r="M1184" s="3"/>
      <c r="N1184" s="3"/>
      <c r="O1184" s="3"/>
      <c r="P1184" s="3"/>
      <c r="Q1184" s="261"/>
      <c r="R1184" s="261"/>
    </row>
    <row r="1185" spans="1:18" x14ac:dyDescent="0.35">
      <c r="A1185" s="3"/>
      <c r="B1185" s="3"/>
      <c r="C1185" s="3"/>
      <c r="D1185" s="3"/>
      <c r="E1185" s="3"/>
      <c r="F1185" s="3"/>
      <c r="G1185" s="3"/>
      <c r="H1185" s="3"/>
      <c r="I1185" s="3"/>
      <c r="J1185" s="3"/>
      <c r="K1185" s="3"/>
      <c r="L1185" s="3"/>
      <c r="M1185" s="3"/>
      <c r="N1185" s="3"/>
      <c r="O1185" s="3"/>
      <c r="P1185" s="3"/>
      <c r="Q1185" s="261"/>
      <c r="R1185" s="261"/>
    </row>
    <row r="1186" spans="1:18" x14ac:dyDescent="0.35">
      <c r="A1186" s="3"/>
      <c r="B1186" s="3"/>
      <c r="C1186" s="3"/>
      <c r="D1186" s="3"/>
      <c r="E1186" s="3"/>
      <c r="F1186" s="3"/>
      <c r="G1186" s="3"/>
      <c r="H1186" s="3"/>
      <c r="I1186" s="3"/>
      <c r="J1186" s="3"/>
      <c r="K1186" s="3"/>
      <c r="L1186" s="3"/>
      <c r="M1186" s="3"/>
      <c r="N1186" s="3"/>
      <c r="O1186" s="3"/>
      <c r="P1186" s="3"/>
      <c r="Q1186" s="261"/>
      <c r="R1186" s="261"/>
    </row>
    <row r="1187" spans="1:18" x14ac:dyDescent="0.35">
      <c r="A1187" s="3"/>
      <c r="B1187" s="3"/>
      <c r="C1187" s="3"/>
      <c r="D1187" s="3"/>
      <c r="E1187" s="3"/>
      <c r="F1187" s="3"/>
      <c r="G1187" s="3"/>
      <c r="H1187" s="3"/>
      <c r="I1187" s="3"/>
      <c r="J1187" s="3"/>
      <c r="K1187" s="3"/>
      <c r="L1187" s="3"/>
      <c r="M1187" s="3"/>
      <c r="N1187" s="3"/>
      <c r="O1187" s="3"/>
      <c r="P1187" s="3"/>
      <c r="Q1187" s="261"/>
      <c r="R1187" s="261"/>
    </row>
    <row r="1188" spans="1:18" x14ac:dyDescent="0.35">
      <c r="A1188" s="3"/>
      <c r="B1188" s="3"/>
      <c r="C1188" s="3"/>
      <c r="D1188" s="3"/>
      <c r="E1188" s="3"/>
      <c r="F1188" s="3"/>
      <c r="G1188" s="3"/>
      <c r="H1188" s="3"/>
      <c r="I1188" s="3"/>
      <c r="J1188" s="3"/>
      <c r="K1188" s="3"/>
      <c r="L1188" s="3"/>
      <c r="M1188" s="3"/>
      <c r="N1188" s="3"/>
      <c r="O1188" s="3"/>
      <c r="P1188" s="3"/>
      <c r="Q1188" s="261"/>
      <c r="R1188" s="261"/>
    </row>
    <row r="1189" spans="1:18" x14ac:dyDescent="0.35">
      <c r="A1189" s="3"/>
      <c r="B1189" s="3"/>
      <c r="C1189" s="3"/>
      <c r="D1189" s="3"/>
      <c r="E1189" s="3"/>
      <c r="F1189" s="3"/>
      <c r="G1189" s="3"/>
      <c r="H1189" s="3"/>
      <c r="I1189" s="3"/>
      <c r="J1189" s="3"/>
      <c r="K1189" s="3"/>
      <c r="L1189" s="3"/>
      <c r="M1189" s="3"/>
      <c r="N1189" s="3"/>
      <c r="O1189" s="3"/>
      <c r="P1189" s="3"/>
      <c r="Q1189" s="261"/>
      <c r="R1189" s="261"/>
    </row>
    <row r="1190" spans="1:18" x14ac:dyDescent="0.35">
      <c r="A1190" s="3"/>
      <c r="B1190" s="3"/>
      <c r="C1190" s="3"/>
      <c r="D1190" s="3"/>
      <c r="E1190" s="3"/>
      <c r="F1190" s="3"/>
      <c r="G1190" s="3"/>
      <c r="H1190" s="3"/>
      <c r="I1190" s="3"/>
      <c r="J1190" s="3"/>
      <c r="K1190" s="3"/>
      <c r="L1190" s="3"/>
      <c r="M1190" s="3"/>
      <c r="N1190" s="3"/>
      <c r="O1190" s="3"/>
      <c r="P1190" s="3"/>
      <c r="Q1190" s="261"/>
      <c r="R1190" s="261"/>
    </row>
    <row r="1191" spans="1:18" x14ac:dyDescent="0.35">
      <c r="A1191" s="3"/>
      <c r="B1191" s="3"/>
      <c r="C1191" s="3"/>
      <c r="D1191" s="3"/>
      <c r="E1191" s="3"/>
      <c r="F1191" s="3"/>
      <c r="G1191" s="3"/>
      <c r="H1191" s="3"/>
      <c r="I1191" s="3"/>
      <c r="J1191" s="3"/>
      <c r="K1191" s="3"/>
      <c r="L1191" s="3"/>
      <c r="M1191" s="3"/>
      <c r="N1191" s="3"/>
      <c r="O1191" s="3"/>
      <c r="P1191" s="3"/>
      <c r="Q1191" s="261"/>
      <c r="R1191" s="261"/>
    </row>
    <row r="1192" spans="1:18" x14ac:dyDescent="0.35">
      <c r="A1192" s="3"/>
      <c r="B1192" s="3"/>
      <c r="C1192" s="3"/>
      <c r="D1192" s="3"/>
      <c r="E1192" s="3"/>
      <c r="F1192" s="3"/>
      <c r="G1192" s="3"/>
      <c r="H1192" s="3"/>
      <c r="I1192" s="3"/>
      <c r="J1192" s="3"/>
      <c r="K1192" s="3"/>
      <c r="L1192" s="3"/>
      <c r="M1192" s="3"/>
      <c r="N1192" s="3"/>
      <c r="O1192" s="3"/>
      <c r="P1192" s="3"/>
      <c r="Q1192" s="261"/>
      <c r="R1192" s="261"/>
    </row>
    <row r="1193" spans="1:18" x14ac:dyDescent="0.35">
      <c r="A1193" s="3"/>
      <c r="B1193" s="3"/>
      <c r="C1193" s="3"/>
      <c r="D1193" s="3"/>
      <c r="E1193" s="3"/>
      <c r="F1193" s="3"/>
      <c r="G1193" s="3"/>
      <c r="H1193" s="3"/>
      <c r="I1193" s="3"/>
      <c r="J1193" s="3"/>
      <c r="K1193" s="3"/>
      <c r="L1193" s="3"/>
      <c r="M1193" s="3"/>
      <c r="N1193" s="3"/>
      <c r="O1193" s="3"/>
      <c r="P1193" s="3"/>
      <c r="Q1193" s="261"/>
      <c r="R1193" s="261"/>
    </row>
    <row r="1194" spans="1:18" x14ac:dyDescent="0.35">
      <c r="A1194" s="3"/>
      <c r="B1194" s="3"/>
      <c r="C1194" s="3"/>
      <c r="D1194" s="3"/>
      <c r="E1194" s="3"/>
      <c r="F1194" s="3"/>
      <c r="G1194" s="3"/>
      <c r="H1194" s="3"/>
      <c r="I1194" s="3"/>
      <c r="J1194" s="3"/>
      <c r="K1194" s="3"/>
      <c r="L1194" s="3"/>
      <c r="M1194" s="3"/>
      <c r="N1194" s="3"/>
      <c r="O1194" s="3"/>
      <c r="P1194" s="3"/>
      <c r="Q1194" s="261"/>
      <c r="R1194" s="261"/>
    </row>
    <row r="1195" spans="1:18" x14ac:dyDescent="0.35">
      <c r="A1195" s="3"/>
      <c r="B1195" s="3"/>
      <c r="C1195" s="3"/>
      <c r="D1195" s="3"/>
      <c r="E1195" s="3"/>
      <c r="F1195" s="3"/>
      <c r="G1195" s="3"/>
      <c r="H1195" s="3"/>
      <c r="I1195" s="3"/>
      <c r="J1195" s="3"/>
      <c r="K1195" s="3"/>
      <c r="L1195" s="3"/>
      <c r="M1195" s="3"/>
      <c r="N1195" s="3"/>
      <c r="O1195" s="3"/>
      <c r="P1195" s="3"/>
      <c r="Q1195" s="261"/>
      <c r="R1195" s="261"/>
    </row>
    <row r="1196" spans="1:18" x14ac:dyDescent="0.35">
      <c r="A1196" s="3"/>
      <c r="B1196" s="3"/>
      <c r="C1196" s="3"/>
      <c r="D1196" s="3"/>
      <c r="E1196" s="3"/>
      <c r="F1196" s="3"/>
      <c r="G1196" s="3"/>
      <c r="H1196" s="3"/>
      <c r="I1196" s="3"/>
      <c r="J1196" s="3"/>
      <c r="K1196" s="3"/>
      <c r="L1196" s="3"/>
      <c r="M1196" s="3"/>
      <c r="N1196" s="3"/>
      <c r="O1196" s="3"/>
      <c r="P1196" s="3"/>
      <c r="Q1196" s="261"/>
      <c r="R1196" s="261"/>
    </row>
    <row r="1197" spans="1:18" x14ac:dyDescent="0.35">
      <c r="A1197" s="3"/>
      <c r="B1197" s="3"/>
      <c r="C1197" s="3"/>
      <c r="D1197" s="3"/>
      <c r="E1197" s="3"/>
      <c r="F1197" s="3"/>
      <c r="G1197" s="3"/>
      <c r="H1197" s="3"/>
      <c r="I1197" s="3"/>
      <c r="J1197" s="3"/>
      <c r="K1197" s="3"/>
      <c r="L1197" s="3"/>
      <c r="M1197" s="3"/>
      <c r="N1197" s="3"/>
      <c r="O1197" s="3"/>
      <c r="P1197" s="3"/>
      <c r="Q1197" s="261"/>
      <c r="R1197" s="261"/>
    </row>
    <row r="1198" spans="1:18" x14ac:dyDescent="0.35">
      <c r="A1198" s="3"/>
      <c r="B1198" s="3"/>
      <c r="C1198" s="3"/>
      <c r="D1198" s="3"/>
      <c r="E1198" s="3"/>
      <c r="F1198" s="3"/>
      <c r="G1198" s="3"/>
      <c r="H1198" s="3"/>
      <c r="I1198" s="3"/>
      <c r="J1198" s="3"/>
      <c r="K1198" s="3"/>
      <c r="L1198" s="3"/>
      <c r="M1198" s="3"/>
      <c r="N1198" s="3"/>
      <c r="O1198" s="3"/>
      <c r="P1198" s="3"/>
      <c r="Q1198" s="261"/>
      <c r="R1198" s="261"/>
    </row>
    <row r="1199" spans="1:18" x14ac:dyDescent="0.35">
      <c r="A1199" s="3"/>
      <c r="B1199" s="3"/>
      <c r="C1199" s="3"/>
      <c r="D1199" s="3"/>
      <c r="E1199" s="3"/>
      <c r="F1199" s="3"/>
      <c r="G1199" s="3"/>
      <c r="H1199" s="3"/>
      <c r="I1199" s="3"/>
      <c r="J1199" s="3"/>
      <c r="K1199" s="3"/>
      <c r="L1199" s="3"/>
      <c r="M1199" s="3"/>
      <c r="N1199" s="3"/>
      <c r="O1199" s="3"/>
      <c r="P1199" s="3"/>
      <c r="Q1199" s="261"/>
      <c r="R1199" s="261"/>
    </row>
    <row r="1200" spans="1:18" x14ac:dyDescent="0.35">
      <c r="A1200" s="3"/>
      <c r="B1200" s="3"/>
      <c r="C1200" s="3"/>
      <c r="D1200" s="3"/>
      <c r="E1200" s="3"/>
      <c r="F1200" s="3"/>
      <c r="G1200" s="3"/>
      <c r="H1200" s="3"/>
      <c r="I1200" s="3"/>
      <c r="J1200" s="3"/>
      <c r="K1200" s="3"/>
      <c r="L1200" s="3"/>
      <c r="M1200" s="3"/>
      <c r="N1200" s="3"/>
      <c r="O1200" s="3"/>
      <c r="P1200" s="3"/>
      <c r="Q1200" s="261"/>
      <c r="R1200" s="261"/>
    </row>
    <row r="1201" spans="1:18" x14ac:dyDescent="0.35">
      <c r="A1201" s="3"/>
      <c r="B1201" s="3"/>
      <c r="C1201" s="3"/>
      <c r="D1201" s="3"/>
      <c r="E1201" s="3"/>
      <c r="F1201" s="3"/>
      <c r="G1201" s="3"/>
      <c r="H1201" s="3"/>
      <c r="I1201" s="3"/>
      <c r="J1201" s="3"/>
      <c r="K1201" s="3"/>
      <c r="L1201" s="3"/>
      <c r="M1201" s="3"/>
      <c r="N1201" s="3"/>
      <c r="O1201" s="3"/>
      <c r="P1201" s="3"/>
      <c r="Q1201" s="261"/>
      <c r="R1201" s="261"/>
    </row>
    <row r="1202" spans="1:18" x14ac:dyDescent="0.35">
      <c r="A1202" s="3"/>
      <c r="B1202" s="3"/>
      <c r="C1202" s="3"/>
      <c r="D1202" s="3"/>
      <c r="E1202" s="3"/>
      <c r="F1202" s="3"/>
      <c r="G1202" s="3"/>
      <c r="H1202" s="3"/>
      <c r="I1202" s="3"/>
      <c r="J1202" s="3"/>
      <c r="K1202" s="3"/>
      <c r="L1202" s="3"/>
      <c r="M1202" s="3"/>
      <c r="N1202" s="3"/>
      <c r="O1202" s="3"/>
      <c r="P1202" s="3"/>
      <c r="Q1202" s="261"/>
      <c r="R1202" s="261"/>
    </row>
    <row r="1203" spans="1:18" x14ac:dyDescent="0.35">
      <c r="A1203" s="3"/>
      <c r="B1203" s="3"/>
      <c r="C1203" s="3"/>
      <c r="D1203" s="3"/>
      <c r="E1203" s="3"/>
      <c r="F1203" s="3"/>
      <c r="G1203" s="3"/>
      <c r="H1203" s="3"/>
      <c r="I1203" s="3"/>
      <c r="J1203" s="3"/>
      <c r="K1203" s="3"/>
      <c r="L1203" s="3"/>
      <c r="M1203" s="3"/>
      <c r="N1203" s="3"/>
      <c r="O1203" s="3"/>
      <c r="P1203" s="3"/>
      <c r="Q1203" s="261"/>
      <c r="R1203" s="261"/>
    </row>
    <row r="1204" spans="1:18" x14ac:dyDescent="0.35">
      <c r="A1204" s="3"/>
      <c r="B1204" s="3"/>
      <c r="C1204" s="3"/>
      <c r="D1204" s="3"/>
      <c r="E1204" s="3"/>
      <c r="F1204" s="3"/>
      <c r="G1204" s="3"/>
      <c r="H1204" s="3"/>
      <c r="I1204" s="3"/>
      <c r="J1204" s="3"/>
      <c r="K1204" s="3"/>
      <c r="L1204" s="3"/>
      <c r="M1204" s="3"/>
      <c r="N1204" s="3"/>
      <c r="O1204" s="3"/>
      <c r="P1204" s="3"/>
      <c r="Q1204" s="261"/>
      <c r="R1204" s="261"/>
    </row>
    <row r="1205" spans="1:18" x14ac:dyDescent="0.35">
      <c r="A1205" s="3"/>
      <c r="B1205" s="3"/>
      <c r="C1205" s="3"/>
      <c r="D1205" s="3"/>
      <c r="E1205" s="3"/>
      <c r="F1205" s="3"/>
      <c r="G1205" s="3"/>
      <c r="H1205" s="3"/>
      <c r="I1205" s="3"/>
      <c r="J1205" s="3"/>
      <c r="K1205" s="3"/>
      <c r="L1205" s="3"/>
      <c r="M1205" s="3"/>
      <c r="N1205" s="3"/>
      <c r="O1205" s="3"/>
      <c r="P1205" s="3"/>
      <c r="Q1205" s="261"/>
      <c r="R1205" s="261"/>
    </row>
    <row r="1206" spans="1:18" x14ac:dyDescent="0.35">
      <c r="A1206" s="3"/>
      <c r="B1206" s="3"/>
      <c r="C1206" s="3"/>
      <c r="D1206" s="3"/>
      <c r="E1206" s="3"/>
      <c r="F1206" s="3"/>
      <c r="G1206" s="3"/>
      <c r="H1206" s="3"/>
      <c r="I1206" s="3"/>
      <c r="J1206" s="3"/>
      <c r="K1206" s="3"/>
      <c r="L1206" s="3"/>
      <c r="M1206" s="3"/>
      <c r="N1206" s="3"/>
      <c r="O1206" s="3"/>
      <c r="P1206" s="3"/>
      <c r="Q1206" s="261"/>
      <c r="R1206" s="261"/>
    </row>
    <row r="1207" spans="1:18" x14ac:dyDescent="0.35">
      <c r="A1207" s="3"/>
      <c r="B1207" s="3"/>
      <c r="C1207" s="3"/>
      <c r="D1207" s="3"/>
      <c r="E1207" s="3"/>
      <c r="F1207" s="3"/>
      <c r="G1207" s="3"/>
      <c r="H1207" s="3"/>
      <c r="I1207" s="3"/>
      <c r="J1207" s="3"/>
      <c r="K1207" s="3"/>
      <c r="L1207" s="3"/>
      <c r="M1207" s="3"/>
      <c r="N1207" s="3"/>
      <c r="O1207" s="3"/>
      <c r="P1207" s="3"/>
      <c r="Q1207" s="261"/>
      <c r="R1207" s="261"/>
    </row>
    <row r="1208" spans="1:18" x14ac:dyDescent="0.35">
      <c r="A1208" s="3"/>
      <c r="B1208" s="3"/>
      <c r="C1208" s="3"/>
      <c r="D1208" s="3"/>
      <c r="E1208" s="3"/>
      <c r="F1208" s="3"/>
      <c r="G1208" s="3"/>
      <c r="H1208" s="3"/>
      <c r="I1208" s="3"/>
      <c r="J1208" s="3"/>
      <c r="K1208" s="3"/>
      <c r="L1208" s="3"/>
      <c r="M1208" s="3"/>
      <c r="N1208" s="3"/>
      <c r="O1208" s="3"/>
      <c r="P1208" s="3"/>
      <c r="Q1208" s="261"/>
      <c r="R1208" s="261"/>
    </row>
    <row r="1209" spans="1:18" x14ac:dyDescent="0.35">
      <c r="A1209" s="3"/>
      <c r="B1209" s="3"/>
      <c r="C1209" s="3"/>
      <c r="D1209" s="3"/>
      <c r="E1209" s="3"/>
      <c r="F1209" s="3"/>
      <c r="G1209" s="3"/>
      <c r="H1209" s="3"/>
      <c r="I1209" s="3"/>
      <c r="J1209" s="3"/>
      <c r="K1209" s="3"/>
      <c r="L1209" s="3"/>
      <c r="M1209" s="3"/>
      <c r="N1209" s="3"/>
      <c r="O1209" s="3"/>
      <c r="P1209" s="3"/>
      <c r="Q1209" s="261"/>
      <c r="R1209" s="261"/>
    </row>
    <row r="1210" spans="1:18" x14ac:dyDescent="0.35">
      <c r="A1210" s="3"/>
      <c r="B1210" s="3"/>
      <c r="C1210" s="3"/>
      <c r="D1210" s="3"/>
      <c r="E1210" s="3"/>
      <c r="F1210" s="3"/>
      <c r="G1210" s="3"/>
      <c r="H1210" s="3"/>
      <c r="I1210" s="3"/>
      <c r="J1210" s="3"/>
      <c r="K1210" s="3"/>
      <c r="L1210" s="3"/>
      <c r="M1210" s="3"/>
      <c r="N1210" s="3"/>
      <c r="O1210" s="3"/>
      <c r="P1210" s="3"/>
      <c r="Q1210" s="261"/>
      <c r="R1210" s="261"/>
    </row>
    <row r="1211" spans="1:18" x14ac:dyDescent="0.35">
      <c r="A1211" s="3"/>
      <c r="B1211" s="3"/>
      <c r="C1211" s="3"/>
      <c r="D1211" s="3"/>
      <c r="E1211" s="3"/>
      <c r="F1211" s="3"/>
      <c r="G1211" s="3"/>
      <c r="H1211" s="3"/>
      <c r="I1211" s="3"/>
      <c r="J1211" s="3"/>
      <c r="K1211" s="3"/>
      <c r="L1211" s="3"/>
      <c r="M1211" s="3"/>
      <c r="N1211" s="3"/>
      <c r="O1211" s="3"/>
      <c r="P1211" s="3"/>
      <c r="Q1211" s="261"/>
      <c r="R1211" s="261"/>
    </row>
    <row r="1212" spans="1:18" x14ac:dyDescent="0.35">
      <c r="A1212" s="3"/>
      <c r="B1212" s="3"/>
      <c r="C1212" s="3"/>
      <c r="D1212" s="3"/>
      <c r="E1212" s="3"/>
      <c r="F1212" s="3"/>
      <c r="G1212" s="3"/>
      <c r="H1212" s="3"/>
      <c r="I1212" s="3"/>
      <c r="J1212" s="3"/>
      <c r="K1212" s="3"/>
      <c r="L1212" s="3"/>
      <c r="M1212" s="3"/>
      <c r="N1212" s="3"/>
      <c r="O1212" s="3"/>
      <c r="P1212" s="3"/>
      <c r="Q1212" s="261"/>
      <c r="R1212" s="261"/>
    </row>
    <row r="1213" spans="1:18" x14ac:dyDescent="0.35">
      <c r="A1213" s="3"/>
      <c r="B1213" s="3"/>
      <c r="C1213" s="3"/>
      <c r="D1213" s="3"/>
      <c r="E1213" s="3"/>
      <c r="F1213" s="3"/>
      <c r="G1213" s="3"/>
      <c r="H1213" s="3"/>
      <c r="I1213" s="3"/>
      <c r="J1213" s="3"/>
      <c r="K1213" s="3"/>
      <c r="L1213" s="3"/>
      <c r="M1213" s="3"/>
      <c r="N1213" s="3"/>
      <c r="O1213" s="3"/>
      <c r="P1213" s="3"/>
      <c r="Q1213" s="261"/>
      <c r="R1213" s="261"/>
    </row>
    <row r="1214" spans="1:18" x14ac:dyDescent="0.35">
      <c r="A1214" s="3"/>
      <c r="B1214" s="3"/>
      <c r="C1214" s="3"/>
      <c r="D1214" s="3"/>
      <c r="E1214" s="3"/>
      <c r="F1214" s="3"/>
      <c r="G1214" s="3"/>
      <c r="H1214" s="3"/>
      <c r="I1214" s="3"/>
      <c r="J1214" s="3"/>
      <c r="K1214" s="3"/>
      <c r="L1214" s="3"/>
      <c r="M1214" s="3"/>
      <c r="N1214" s="3"/>
      <c r="O1214" s="3"/>
      <c r="P1214" s="3"/>
      <c r="Q1214" s="261"/>
      <c r="R1214" s="261"/>
    </row>
    <row r="1215" spans="1:18" x14ac:dyDescent="0.35">
      <c r="A1215" s="3"/>
      <c r="B1215" s="3"/>
      <c r="C1215" s="3"/>
      <c r="D1215" s="3"/>
      <c r="E1215" s="3"/>
      <c r="F1215" s="3"/>
      <c r="G1215" s="3"/>
      <c r="H1215" s="3"/>
      <c r="I1215" s="3"/>
      <c r="J1215" s="3"/>
      <c r="K1215" s="3"/>
      <c r="L1215" s="3"/>
      <c r="M1215" s="3"/>
      <c r="N1215" s="3"/>
      <c r="O1215" s="3"/>
      <c r="P1215" s="3"/>
      <c r="Q1215" s="261"/>
      <c r="R1215" s="261"/>
    </row>
    <row r="1216" spans="1:18" x14ac:dyDescent="0.35">
      <c r="A1216" s="3"/>
      <c r="B1216" s="3"/>
      <c r="C1216" s="3"/>
      <c r="D1216" s="3"/>
      <c r="E1216" s="3"/>
      <c r="F1216" s="3"/>
      <c r="G1216" s="3"/>
      <c r="H1216" s="3"/>
      <c r="I1216" s="3"/>
      <c r="J1216" s="3"/>
      <c r="K1216" s="3"/>
      <c r="L1216" s="3"/>
      <c r="M1216" s="3"/>
      <c r="N1216" s="3"/>
      <c r="O1216" s="3"/>
      <c r="P1216" s="3"/>
      <c r="Q1216" s="261"/>
      <c r="R1216" s="261"/>
    </row>
    <row r="1217" spans="1:18" x14ac:dyDescent="0.35">
      <c r="A1217" s="3"/>
      <c r="B1217" s="3"/>
      <c r="C1217" s="3"/>
      <c r="D1217" s="3"/>
      <c r="E1217" s="3"/>
      <c r="F1217" s="3"/>
      <c r="G1217" s="3"/>
      <c r="H1217" s="3"/>
      <c r="I1217" s="3"/>
      <c r="J1217" s="3"/>
      <c r="K1217" s="3"/>
      <c r="L1217" s="3"/>
      <c r="M1217" s="3"/>
      <c r="N1217" s="3"/>
      <c r="O1217" s="3"/>
      <c r="P1217" s="3"/>
      <c r="Q1217" s="261"/>
      <c r="R1217" s="261"/>
    </row>
    <row r="1218" spans="1:18" x14ac:dyDescent="0.35">
      <c r="A1218" s="3"/>
      <c r="B1218" s="3"/>
      <c r="C1218" s="3"/>
      <c r="D1218" s="3"/>
      <c r="E1218" s="3"/>
      <c r="F1218" s="3"/>
      <c r="G1218" s="3"/>
      <c r="H1218" s="3"/>
      <c r="I1218" s="3"/>
      <c r="J1218" s="3"/>
      <c r="K1218" s="3"/>
      <c r="L1218" s="3"/>
      <c r="M1218" s="3"/>
      <c r="N1218" s="3"/>
      <c r="O1218" s="3"/>
      <c r="P1218" s="3"/>
      <c r="Q1218" s="261"/>
      <c r="R1218" s="261"/>
    </row>
    <row r="1219" spans="1:18" x14ac:dyDescent="0.35">
      <c r="A1219" s="3"/>
      <c r="B1219" s="3"/>
      <c r="C1219" s="3"/>
      <c r="D1219" s="3"/>
      <c r="E1219" s="3"/>
      <c r="F1219" s="3"/>
      <c r="G1219" s="3"/>
      <c r="H1219" s="3"/>
      <c r="I1219" s="3"/>
      <c r="J1219" s="3"/>
      <c r="K1219" s="3"/>
      <c r="L1219" s="3"/>
      <c r="M1219" s="3"/>
      <c r="N1219" s="3"/>
      <c r="O1219" s="3"/>
      <c r="P1219" s="3"/>
      <c r="Q1219" s="261"/>
      <c r="R1219" s="261"/>
    </row>
    <row r="1220" spans="1:18" x14ac:dyDescent="0.35">
      <c r="A1220" s="3"/>
      <c r="B1220" s="3"/>
      <c r="C1220" s="3"/>
      <c r="D1220" s="3"/>
      <c r="E1220" s="3"/>
      <c r="F1220" s="3"/>
      <c r="G1220" s="3"/>
      <c r="H1220" s="3"/>
      <c r="I1220" s="3"/>
      <c r="J1220" s="3"/>
      <c r="K1220" s="3"/>
      <c r="L1220" s="3"/>
      <c r="M1220" s="3"/>
      <c r="N1220" s="3"/>
      <c r="O1220" s="3"/>
      <c r="P1220" s="3"/>
      <c r="Q1220" s="261"/>
      <c r="R1220" s="261"/>
    </row>
    <row r="1221" spans="1:18" x14ac:dyDescent="0.35">
      <c r="A1221" s="3"/>
      <c r="B1221" s="3"/>
      <c r="C1221" s="3"/>
      <c r="D1221" s="3"/>
      <c r="E1221" s="3"/>
      <c r="F1221" s="3"/>
      <c r="G1221" s="3"/>
      <c r="H1221" s="3"/>
      <c r="I1221" s="3"/>
      <c r="J1221" s="3"/>
      <c r="K1221" s="3"/>
      <c r="L1221" s="3"/>
      <c r="M1221" s="3"/>
      <c r="N1221" s="3"/>
      <c r="O1221" s="3"/>
      <c r="P1221" s="3"/>
      <c r="Q1221" s="261"/>
      <c r="R1221" s="261"/>
    </row>
    <row r="1222" spans="1:18" x14ac:dyDescent="0.35">
      <c r="A1222" s="3"/>
      <c r="B1222" s="3"/>
      <c r="C1222" s="3"/>
      <c r="D1222" s="3"/>
      <c r="E1222" s="3"/>
      <c r="F1222" s="3"/>
      <c r="G1222" s="3"/>
      <c r="H1222" s="3"/>
      <c r="I1222" s="3"/>
      <c r="J1222" s="3"/>
      <c r="K1222" s="3"/>
      <c r="L1222" s="3"/>
      <c r="M1222" s="3"/>
      <c r="N1222" s="3"/>
      <c r="O1222" s="3"/>
      <c r="P1222" s="3"/>
      <c r="Q1222" s="261"/>
      <c r="R1222" s="261"/>
    </row>
    <row r="1223" spans="1:18" x14ac:dyDescent="0.35">
      <c r="A1223" s="3"/>
      <c r="B1223" s="3"/>
      <c r="C1223" s="3"/>
      <c r="D1223" s="3"/>
      <c r="E1223" s="3"/>
      <c r="F1223" s="3"/>
      <c r="G1223" s="3"/>
      <c r="H1223" s="3"/>
      <c r="I1223" s="3"/>
      <c r="J1223" s="3"/>
      <c r="K1223" s="3"/>
      <c r="L1223" s="3"/>
      <c r="M1223" s="3"/>
      <c r="N1223" s="3"/>
      <c r="O1223" s="3"/>
      <c r="P1223" s="3"/>
      <c r="Q1223" s="261"/>
      <c r="R1223" s="261"/>
    </row>
    <row r="1224" spans="1:18" x14ac:dyDescent="0.35">
      <c r="A1224" s="3"/>
      <c r="B1224" s="3"/>
      <c r="C1224" s="3"/>
      <c r="D1224" s="3"/>
      <c r="E1224" s="3"/>
      <c r="F1224" s="3"/>
      <c r="G1224" s="3"/>
      <c r="H1224" s="3"/>
      <c r="I1224" s="3"/>
      <c r="J1224" s="3"/>
      <c r="K1224" s="3"/>
      <c r="L1224" s="3"/>
      <c r="M1224" s="3"/>
      <c r="N1224" s="3"/>
      <c r="O1224" s="3"/>
      <c r="P1224" s="3"/>
      <c r="Q1224" s="261"/>
      <c r="R1224" s="261"/>
    </row>
    <row r="1225" spans="1:18" x14ac:dyDescent="0.35">
      <c r="A1225" s="3"/>
      <c r="B1225" s="3"/>
      <c r="C1225" s="3"/>
      <c r="D1225" s="3"/>
      <c r="E1225" s="3"/>
      <c r="F1225" s="3"/>
      <c r="G1225" s="3"/>
      <c r="H1225" s="3"/>
      <c r="I1225" s="3"/>
      <c r="J1225" s="3"/>
      <c r="K1225" s="3"/>
      <c r="L1225" s="3"/>
      <c r="M1225" s="3"/>
      <c r="N1225" s="3"/>
      <c r="O1225" s="3"/>
      <c r="P1225" s="3"/>
      <c r="Q1225" s="261"/>
      <c r="R1225" s="261"/>
    </row>
    <row r="1226" spans="1:18" x14ac:dyDescent="0.35">
      <c r="A1226" s="3"/>
      <c r="B1226" s="3"/>
      <c r="C1226" s="3"/>
      <c r="D1226" s="3"/>
      <c r="E1226" s="3"/>
      <c r="F1226" s="3"/>
      <c r="G1226" s="3"/>
      <c r="H1226" s="3"/>
      <c r="I1226" s="3"/>
      <c r="J1226" s="3"/>
      <c r="K1226" s="3"/>
      <c r="L1226" s="3"/>
      <c r="M1226" s="3"/>
      <c r="N1226" s="3"/>
      <c r="O1226" s="3"/>
      <c r="P1226" s="3"/>
      <c r="Q1226" s="261"/>
      <c r="R1226" s="261"/>
    </row>
    <row r="1227" spans="1:18" x14ac:dyDescent="0.35">
      <c r="A1227" s="3"/>
      <c r="B1227" s="3"/>
      <c r="C1227" s="3"/>
      <c r="D1227" s="3"/>
      <c r="E1227" s="3"/>
      <c r="F1227" s="3"/>
      <c r="G1227" s="3"/>
      <c r="H1227" s="3"/>
      <c r="I1227" s="3"/>
      <c r="J1227" s="3"/>
      <c r="K1227" s="3"/>
      <c r="L1227" s="3"/>
      <c r="M1227" s="3"/>
      <c r="N1227" s="3"/>
      <c r="O1227" s="3"/>
      <c r="P1227" s="3"/>
      <c r="Q1227" s="261"/>
      <c r="R1227" s="261"/>
    </row>
    <row r="1228" spans="1:18" x14ac:dyDescent="0.35">
      <c r="A1228" s="3"/>
      <c r="B1228" s="3"/>
      <c r="C1228" s="3"/>
      <c r="D1228" s="3"/>
      <c r="E1228" s="3"/>
      <c r="F1228" s="3"/>
      <c r="G1228" s="3"/>
      <c r="H1228" s="3"/>
      <c r="I1228" s="3"/>
      <c r="J1228" s="3"/>
      <c r="K1228" s="3"/>
      <c r="L1228" s="3"/>
      <c r="M1228" s="3"/>
      <c r="N1228" s="3"/>
      <c r="O1228" s="3"/>
      <c r="P1228" s="3"/>
      <c r="Q1228" s="261"/>
      <c r="R1228" s="261"/>
    </row>
    <row r="1229" spans="1:18" x14ac:dyDescent="0.35">
      <c r="A1229" s="3"/>
      <c r="B1229" s="3"/>
      <c r="C1229" s="3"/>
      <c r="D1229" s="3"/>
      <c r="E1229" s="3"/>
      <c r="F1229" s="3"/>
      <c r="G1229" s="3"/>
      <c r="H1229" s="3"/>
      <c r="I1229" s="3"/>
      <c r="J1229" s="3"/>
      <c r="K1229" s="3"/>
      <c r="L1229" s="3"/>
      <c r="M1229" s="3"/>
      <c r="N1229" s="3"/>
      <c r="O1229" s="3"/>
      <c r="P1229" s="3"/>
      <c r="Q1229" s="261"/>
      <c r="R1229" s="261"/>
    </row>
    <row r="1230" spans="1:18" x14ac:dyDescent="0.35">
      <c r="A1230" s="3"/>
      <c r="B1230" s="3"/>
      <c r="C1230" s="3"/>
      <c r="D1230" s="3"/>
      <c r="E1230" s="3"/>
      <c r="F1230" s="3"/>
      <c r="G1230" s="3"/>
      <c r="H1230" s="3"/>
      <c r="I1230" s="3"/>
      <c r="J1230" s="3"/>
      <c r="K1230" s="3"/>
      <c r="L1230" s="3"/>
      <c r="M1230" s="3"/>
      <c r="N1230" s="3"/>
      <c r="O1230" s="3"/>
      <c r="P1230" s="3"/>
      <c r="Q1230" s="261"/>
      <c r="R1230" s="261"/>
    </row>
    <row r="1231" spans="1:18" x14ac:dyDescent="0.35">
      <c r="A1231" s="3"/>
      <c r="B1231" s="3"/>
      <c r="C1231" s="3"/>
      <c r="D1231" s="3"/>
      <c r="E1231" s="3"/>
      <c r="F1231" s="3"/>
      <c r="G1231" s="3"/>
      <c r="H1231" s="3"/>
      <c r="I1231" s="3"/>
      <c r="J1231" s="3"/>
      <c r="K1231" s="3"/>
      <c r="L1231" s="3"/>
      <c r="M1231" s="3"/>
      <c r="N1231" s="3"/>
      <c r="O1231" s="3"/>
      <c r="P1231" s="3"/>
      <c r="Q1231" s="261"/>
      <c r="R1231" s="261"/>
    </row>
    <row r="1232" spans="1:18" x14ac:dyDescent="0.35">
      <c r="A1232" s="3"/>
      <c r="B1232" s="3"/>
      <c r="C1232" s="3"/>
      <c r="D1232" s="3"/>
      <c r="E1232" s="3"/>
      <c r="F1232" s="3"/>
      <c r="G1232" s="3"/>
      <c r="H1232" s="3"/>
      <c r="I1232" s="3"/>
      <c r="J1232" s="3"/>
      <c r="K1232" s="3"/>
      <c r="L1232" s="3"/>
      <c r="M1232" s="3"/>
      <c r="N1232" s="3"/>
      <c r="O1232" s="3"/>
      <c r="P1232" s="3"/>
      <c r="Q1232" s="261"/>
      <c r="R1232" s="261"/>
    </row>
    <row r="1233" spans="1:18" x14ac:dyDescent="0.35">
      <c r="A1233" s="3"/>
      <c r="B1233" s="3"/>
      <c r="C1233" s="3"/>
      <c r="D1233" s="3"/>
      <c r="E1233" s="3"/>
      <c r="F1233" s="3"/>
      <c r="G1233" s="3"/>
      <c r="H1233" s="3"/>
      <c r="I1233" s="3"/>
      <c r="J1233" s="3"/>
      <c r="K1233" s="3"/>
      <c r="L1233" s="3"/>
      <c r="M1233" s="3"/>
      <c r="N1233" s="3"/>
      <c r="O1233" s="3"/>
      <c r="P1233" s="3"/>
      <c r="Q1233" s="261"/>
      <c r="R1233" s="261"/>
    </row>
    <row r="1234" spans="1:18" x14ac:dyDescent="0.35">
      <c r="A1234" s="3"/>
      <c r="B1234" s="3"/>
      <c r="C1234" s="3"/>
      <c r="D1234" s="3"/>
      <c r="E1234" s="3"/>
      <c r="F1234" s="3"/>
      <c r="G1234" s="3"/>
      <c r="H1234" s="3"/>
      <c r="I1234" s="3"/>
      <c r="J1234" s="3"/>
      <c r="K1234" s="3"/>
      <c r="L1234" s="3"/>
      <c r="M1234" s="3"/>
      <c r="N1234" s="3"/>
      <c r="O1234" s="3"/>
      <c r="P1234" s="3"/>
      <c r="Q1234" s="261"/>
      <c r="R1234" s="261"/>
    </row>
    <row r="1235" spans="1:18" x14ac:dyDescent="0.35">
      <c r="A1235" s="3"/>
      <c r="B1235" s="3"/>
      <c r="C1235" s="3"/>
      <c r="D1235" s="3"/>
      <c r="E1235" s="3"/>
      <c r="F1235" s="3"/>
      <c r="G1235" s="3"/>
      <c r="H1235" s="3"/>
      <c r="I1235" s="3"/>
      <c r="J1235" s="3"/>
      <c r="K1235" s="3"/>
      <c r="L1235" s="3"/>
      <c r="M1235" s="3"/>
      <c r="N1235" s="3"/>
      <c r="O1235" s="3"/>
      <c r="P1235" s="3"/>
      <c r="Q1235" s="261"/>
      <c r="R1235" s="261"/>
    </row>
    <row r="1236" spans="1:18" x14ac:dyDescent="0.35">
      <c r="A1236" s="3"/>
      <c r="B1236" s="3"/>
      <c r="C1236" s="3"/>
      <c r="D1236" s="3"/>
      <c r="E1236" s="3"/>
      <c r="F1236" s="3"/>
      <c r="G1236" s="3"/>
      <c r="H1236" s="3"/>
      <c r="I1236" s="3"/>
      <c r="J1236" s="3"/>
      <c r="K1236" s="3"/>
      <c r="L1236" s="3"/>
      <c r="M1236" s="3"/>
      <c r="N1236" s="3"/>
      <c r="O1236" s="3"/>
      <c r="P1236" s="3"/>
      <c r="Q1236" s="261"/>
      <c r="R1236" s="261"/>
    </row>
    <row r="1237" spans="1:18" x14ac:dyDescent="0.35">
      <c r="A1237" s="3"/>
      <c r="B1237" s="3"/>
      <c r="C1237" s="3"/>
      <c r="D1237" s="3"/>
      <c r="E1237" s="3"/>
      <c r="F1237" s="3"/>
      <c r="G1237" s="3"/>
      <c r="H1237" s="3"/>
      <c r="I1237" s="3"/>
      <c r="J1237" s="3"/>
      <c r="K1237" s="3"/>
      <c r="L1237" s="3"/>
      <c r="M1237" s="3"/>
      <c r="N1237" s="3"/>
      <c r="O1237" s="3"/>
      <c r="P1237" s="3"/>
      <c r="Q1237" s="261"/>
      <c r="R1237" s="261"/>
    </row>
    <row r="1238" spans="1:18" x14ac:dyDescent="0.35">
      <c r="A1238" s="3"/>
      <c r="B1238" s="3"/>
      <c r="C1238" s="3"/>
      <c r="D1238" s="3"/>
      <c r="E1238" s="3"/>
      <c r="F1238" s="3"/>
      <c r="G1238" s="3"/>
      <c r="H1238" s="3"/>
      <c r="I1238" s="3"/>
      <c r="J1238" s="3"/>
      <c r="K1238" s="3"/>
      <c r="L1238" s="3"/>
      <c r="M1238" s="3"/>
      <c r="N1238" s="3"/>
      <c r="O1238" s="3"/>
      <c r="P1238" s="3"/>
      <c r="Q1238" s="261"/>
      <c r="R1238" s="261"/>
    </row>
    <row r="1239" spans="1:18" x14ac:dyDescent="0.35">
      <c r="A1239" s="3"/>
      <c r="B1239" s="3"/>
      <c r="C1239" s="3"/>
      <c r="D1239" s="3"/>
      <c r="E1239" s="3"/>
      <c r="F1239" s="3"/>
      <c r="G1239" s="3"/>
      <c r="H1239" s="3"/>
      <c r="I1239" s="3"/>
      <c r="J1239" s="3"/>
      <c r="K1239" s="3"/>
      <c r="L1239" s="3"/>
      <c r="M1239" s="3"/>
      <c r="N1239" s="3"/>
      <c r="O1239" s="3"/>
      <c r="P1239" s="3"/>
      <c r="Q1239" s="261"/>
      <c r="R1239" s="261"/>
    </row>
    <row r="1240" spans="1:18" x14ac:dyDescent="0.35">
      <c r="A1240" s="3"/>
      <c r="B1240" s="3"/>
      <c r="C1240" s="3"/>
      <c r="D1240" s="3"/>
      <c r="E1240" s="3"/>
      <c r="F1240" s="3"/>
      <c r="G1240" s="3"/>
      <c r="H1240" s="3"/>
      <c r="I1240" s="3"/>
      <c r="J1240" s="3"/>
      <c r="K1240" s="3"/>
      <c r="L1240" s="3"/>
      <c r="M1240" s="3"/>
      <c r="N1240" s="3"/>
      <c r="O1240" s="3"/>
      <c r="P1240" s="3"/>
      <c r="Q1240" s="261"/>
      <c r="R1240" s="261"/>
    </row>
    <row r="1241" spans="1:18" x14ac:dyDescent="0.35">
      <c r="A1241" s="3"/>
      <c r="B1241" s="3"/>
      <c r="C1241" s="3"/>
      <c r="D1241" s="3"/>
      <c r="E1241" s="3"/>
      <c r="F1241" s="3"/>
      <c r="G1241" s="3"/>
      <c r="H1241" s="3"/>
      <c r="I1241" s="3"/>
      <c r="J1241" s="3"/>
      <c r="K1241" s="3"/>
      <c r="L1241" s="3"/>
      <c r="M1241" s="3"/>
      <c r="N1241" s="3"/>
      <c r="O1241" s="3"/>
      <c r="P1241" s="3"/>
      <c r="Q1241" s="261"/>
      <c r="R1241" s="261"/>
    </row>
    <row r="1242" spans="1:18" x14ac:dyDescent="0.35">
      <c r="A1242" s="3"/>
      <c r="B1242" s="3"/>
      <c r="C1242" s="3"/>
      <c r="D1242" s="3"/>
      <c r="E1242" s="3"/>
      <c r="F1242" s="3"/>
      <c r="G1242" s="3"/>
      <c r="H1242" s="3"/>
      <c r="I1242" s="3"/>
      <c r="J1242" s="3"/>
      <c r="K1242" s="3"/>
      <c r="L1242" s="3"/>
      <c r="M1242" s="3"/>
      <c r="N1242" s="3"/>
      <c r="O1242" s="3"/>
      <c r="P1242" s="3"/>
      <c r="Q1242" s="261"/>
      <c r="R1242" s="261"/>
    </row>
    <row r="1243" spans="1:18" x14ac:dyDescent="0.35">
      <c r="A1243" s="3"/>
      <c r="B1243" s="3"/>
      <c r="C1243" s="3"/>
      <c r="D1243" s="3"/>
      <c r="E1243" s="3"/>
      <c r="F1243" s="3"/>
      <c r="G1243" s="3"/>
      <c r="H1243" s="3"/>
      <c r="I1243" s="3"/>
      <c r="J1243" s="3"/>
      <c r="K1243" s="3"/>
      <c r="L1243" s="3"/>
      <c r="M1243" s="3"/>
      <c r="N1243" s="3"/>
      <c r="O1243" s="3"/>
      <c r="P1243" s="3"/>
      <c r="Q1243" s="261"/>
      <c r="R1243" s="261"/>
    </row>
    <row r="1244" spans="1:18" x14ac:dyDescent="0.35">
      <c r="A1244" s="3"/>
      <c r="B1244" s="3"/>
      <c r="C1244" s="3"/>
      <c r="D1244" s="3"/>
      <c r="E1244" s="3"/>
      <c r="F1244" s="3"/>
      <c r="G1244" s="3"/>
      <c r="H1244" s="3"/>
      <c r="I1244" s="3"/>
      <c r="J1244" s="3"/>
      <c r="K1244" s="3"/>
      <c r="L1244" s="3"/>
      <c r="M1244" s="3"/>
      <c r="N1244" s="3"/>
      <c r="O1244" s="3"/>
      <c r="P1244" s="3"/>
      <c r="Q1244" s="261"/>
      <c r="R1244" s="261"/>
    </row>
    <row r="1245" spans="1:18" x14ac:dyDescent="0.35">
      <c r="A1245" s="3"/>
      <c r="B1245" s="3"/>
      <c r="C1245" s="3"/>
      <c r="D1245" s="3"/>
      <c r="E1245" s="3"/>
      <c r="F1245" s="3"/>
      <c r="G1245" s="3"/>
      <c r="H1245" s="3"/>
      <c r="I1245" s="3"/>
      <c r="J1245" s="3"/>
      <c r="K1245" s="3"/>
      <c r="L1245" s="3"/>
      <c r="M1245" s="3"/>
      <c r="N1245" s="3"/>
      <c r="O1245" s="3"/>
      <c r="P1245" s="3"/>
      <c r="Q1245" s="261"/>
      <c r="R1245" s="261"/>
    </row>
    <row r="1246" spans="1:18" x14ac:dyDescent="0.35">
      <c r="A1246" s="3"/>
      <c r="B1246" s="3"/>
      <c r="C1246" s="3"/>
      <c r="D1246" s="3"/>
      <c r="E1246" s="3"/>
      <c r="F1246" s="3"/>
      <c r="G1246" s="3"/>
      <c r="H1246" s="3"/>
      <c r="I1246" s="3"/>
      <c r="J1246" s="3"/>
      <c r="K1246" s="3"/>
      <c r="L1246" s="3"/>
      <c r="M1246" s="3"/>
      <c r="N1246" s="3"/>
      <c r="O1246" s="3"/>
      <c r="P1246" s="3"/>
      <c r="Q1246" s="261"/>
      <c r="R1246" s="261"/>
    </row>
    <row r="1247" spans="1:18" x14ac:dyDescent="0.35">
      <c r="A1247" s="3"/>
      <c r="B1247" s="3"/>
      <c r="C1247" s="3"/>
      <c r="D1247" s="3"/>
      <c r="E1247" s="3"/>
      <c r="F1247" s="3"/>
      <c r="G1247" s="3"/>
      <c r="H1247" s="3"/>
      <c r="I1247" s="3"/>
      <c r="J1247" s="3"/>
      <c r="K1247" s="3"/>
      <c r="L1247" s="3"/>
      <c r="M1247" s="3"/>
      <c r="N1247" s="3"/>
      <c r="O1247" s="3"/>
      <c r="P1247" s="3"/>
      <c r="Q1247" s="261"/>
      <c r="R1247" s="261"/>
    </row>
    <row r="1248" spans="1:18" x14ac:dyDescent="0.35">
      <c r="A1248" s="3"/>
      <c r="B1248" s="3"/>
      <c r="C1248" s="3"/>
      <c r="D1248" s="3"/>
      <c r="E1248" s="3"/>
      <c r="F1248" s="3"/>
      <c r="G1248" s="3"/>
      <c r="H1248" s="3"/>
      <c r="I1248" s="3"/>
      <c r="J1248" s="3"/>
      <c r="K1248" s="3"/>
      <c r="L1248" s="3"/>
      <c r="M1248" s="3"/>
      <c r="N1248" s="3"/>
      <c r="O1248" s="3"/>
      <c r="P1248" s="3"/>
      <c r="Q1248" s="261"/>
      <c r="R1248" s="261"/>
    </row>
    <row r="1249" spans="1:18" x14ac:dyDescent="0.35">
      <c r="A1249" s="3"/>
      <c r="B1249" s="3"/>
      <c r="C1249" s="3"/>
      <c r="D1249" s="3"/>
      <c r="E1249" s="3"/>
      <c r="F1249" s="3"/>
      <c r="G1249" s="3"/>
      <c r="H1249" s="3"/>
      <c r="I1249" s="3"/>
      <c r="J1249" s="3"/>
      <c r="K1249" s="3"/>
      <c r="L1249" s="3"/>
      <c r="M1249" s="3"/>
      <c r="N1249" s="3"/>
      <c r="O1249" s="3"/>
      <c r="P1249" s="3"/>
      <c r="Q1249" s="261"/>
      <c r="R1249" s="261"/>
    </row>
    <row r="1250" spans="1:18" x14ac:dyDescent="0.35">
      <c r="A1250" s="3"/>
      <c r="B1250" s="3"/>
      <c r="C1250" s="3"/>
      <c r="D1250" s="3"/>
      <c r="E1250" s="3"/>
      <c r="F1250" s="3"/>
      <c r="G1250" s="3"/>
      <c r="H1250" s="3"/>
      <c r="I1250" s="3"/>
      <c r="J1250" s="3"/>
      <c r="K1250" s="3"/>
      <c r="L1250" s="3"/>
      <c r="M1250" s="3"/>
      <c r="N1250" s="3"/>
      <c r="O1250" s="3"/>
      <c r="P1250" s="3"/>
      <c r="Q1250" s="261"/>
      <c r="R1250" s="261"/>
    </row>
    <row r="1251" spans="1:18" x14ac:dyDescent="0.35">
      <c r="A1251" s="3"/>
      <c r="B1251" s="3"/>
      <c r="C1251" s="3"/>
      <c r="D1251" s="3"/>
      <c r="E1251" s="3"/>
      <c r="F1251" s="3"/>
      <c r="G1251" s="3"/>
      <c r="H1251" s="3"/>
      <c r="I1251" s="3"/>
      <c r="J1251" s="3"/>
      <c r="K1251" s="3"/>
      <c r="L1251" s="3"/>
      <c r="M1251" s="3"/>
      <c r="N1251" s="3"/>
      <c r="O1251" s="3"/>
      <c r="P1251" s="3"/>
      <c r="Q1251" s="261"/>
      <c r="R1251" s="261"/>
    </row>
    <row r="1252" spans="1:18" x14ac:dyDescent="0.35">
      <c r="A1252" s="3"/>
      <c r="B1252" s="3"/>
      <c r="C1252" s="3"/>
      <c r="D1252" s="3"/>
      <c r="E1252" s="3"/>
      <c r="F1252" s="3"/>
      <c r="G1252" s="3"/>
      <c r="H1252" s="3"/>
      <c r="I1252" s="3"/>
      <c r="K1252" s="3"/>
      <c r="L1252" s="3"/>
      <c r="M1252" s="3"/>
      <c r="N1252" s="3"/>
      <c r="O1252" s="3"/>
      <c r="P1252" s="3"/>
    </row>
    <row r="1253" spans="1:18" x14ac:dyDescent="0.35">
      <c r="A1253" s="3"/>
      <c r="B1253" s="3"/>
      <c r="C1253" s="3"/>
      <c r="D1253" s="3"/>
      <c r="E1253" s="3"/>
      <c r="F1253" s="3"/>
      <c r="G1253" s="3"/>
      <c r="H1253" s="3"/>
      <c r="I1253" s="3"/>
      <c r="K1253" s="3"/>
      <c r="L1253" s="3"/>
      <c r="M1253" s="3"/>
      <c r="N1253" s="3"/>
      <c r="O1253" s="3"/>
    </row>
    <row r="1254" spans="1:18" x14ac:dyDescent="0.35">
      <c r="A1254" s="3"/>
      <c r="B1254" s="3"/>
      <c r="C1254" s="3"/>
      <c r="D1254" s="3"/>
      <c r="E1254" s="3"/>
      <c r="F1254" s="3"/>
      <c r="G1254" s="3"/>
      <c r="H1254" s="3"/>
      <c r="I1254" s="3"/>
      <c r="K1254" s="3"/>
      <c r="L1254" s="3"/>
      <c r="M1254" s="3"/>
      <c r="N1254" s="3"/>
      <c r="O1254" s="3"/>
    </row>
    <row r="1255" spans="1:18" x14ac:dyDescent="0.35">
      <c r="F1255" s="3"/>
      <c r="G1255" s="3"/>
      <c r="H1255" s="3"/>
      <c r="I1255" s="3"/>
    </row>
    <row r="1256" spans="1:18" x14ac:dyDescent="0.35">
      <c r="F1256" s="3"/>
      <c r="G1256" s="3"/>
      <c r="H1256" s="3"/>
      <c r="I1256" s="3"/>
    </row>
  </sheetData>
  <mergeCells count="35">
    <mergeCell ref="L25:N25"/>
    <mergeCell ref="L21:N21"/>
    <mergeCell ref="L24:N24"/>
    <mergeCell ref="L23:N23"/>
    <mergeCell ref="L22:N22"/>
    <mergeCell ref="L19:N19"/>
    <mergeCell ref="L15:N15"/>
    <mergeCell ref="L18:N18"/>
    <mergeCell ref="Q1:R1"/>
    <mergeCell ref="L5:N5"/>
    <mergeCell ref="L6:N6"/>
    <mergeCell ref="L8:N8"/>
    <mergeCell ref="L9:N9"/>
    <mergeCell ref="K1:O2"/>
    <mergeCell ref="A1:D2"/>
    <mergeCell ref="F1:I2"/>
    <mergeCell ref="L4:N4"/>
    <mergeCell ref="L3:N3"/>
    <mergeCell ref="L7:N7"/>
    <mergeCell ref="L29:N29"/>
    <mergeCell ref="F40:I40"/>
    <mergeCell ref="A40:D40"/>
    <mergeCell ref="A3:D3"/>
    <mergeCell ref="A19:D19"/>
    <mergeCell ref="F19:I19"/>
    <mergeCell ref="F3:I3"/>
    <mergeCell ref="L20:N20"/>
    <mergeCell ref="L28:N28"/>
    <mergeCell ref="L16:N16"/>
    <mergeCell ref="L17:N17"/>
    <mergeCell ref="L27:N27"/>
    <mergeCell ref="L10:N10"/>
    <mergeCell ref="L11:N11"/>
    <mergeCell ref="L26:N26"/>
    <mergeCell ref="L14:N14"/>
  </mergeCell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7" tint="0.59999389629810485"/>
  </sheetPr>
  <dimension ref="A1:N33"/>
  <sheetViews>
    <sheetView workbookViewId="0">
      <selection activeCell="B5" sqref="B5"/>
    </sheetView>
  </sheetViews>
  <sheetFormatPr defaultRowHeight="14.5" x14ac:dyDescent="0.35"/>
  <cols>
    <col min="1" max="1" width="8.81640625" customWidth="1"/>
    <col min="2" max="2" width="31.1796875" bestFit="1" customWidth="1"/>
    <col min="3" max="3" width="12.26953125" customWidth="1"/>
    <col min="4" max="4" width="13.81640625" customWidth="1"/>
    <col min="5" max="5" width="2.453125" style="18" customWidth="1"/>
    <col min="6" max="7" width="24.81640625" customWidth="1"/>
    <col min="9" max="9" width="18.54296875" customWidth="1"/>
    <col min="11" max="11" width="18.453125" bestFit="1" customWidth="1"/>
    <col min="12" max="12" width="25.1796875" customWidth="1"/>
    <col min="13" max="13" width="16.7265625" customWidth="1"/>
  </cols>
  <sheetData>
    <row r="1" spans="1:14" x14ac:dyDescent="0.35">
      <c r="A1" s="331" t="s">
        <v>873</v>
      </c>
      <c r="B1" s="333"/>
      <c r="C1" s="333"/>
      <c r="D1" s="333"/>
      <c r="F1" s="331" t="s">
        <v>874</v>
      </c>
      <c r="G1" s="331"/>
      <c r="H1" s="331"/>
      <c r="I1" s="331"/>
    </row>
    <row r="2" spans="1:14" x14ac:dyDescent="0.35">
      <c r="A2" s="333"/>
      <c r="B2" s="333"/>
      <c r="C2" s="333"/>
      <c r="D2" s="333"/>
      <c r="F2" s="331"/>
      <c r="G2" s="331"/>
      <c r="H2" s="331"/>
      <c r="I2" s="331"/>
    </row>
    <row r="3" spans="1:14" x14ac:dyDescent="0.35">
      <c r="A3" s="334" t="s">
        <v>396</v>
      </c>
      <c r="B3" s="334"/>
      <c r="C3" s="334"/>
      <c r="D3" s="334"/>
      <c r="F3" s="328" t="s">
        <v>397</v>
      </c>
      <c r="G3" s="328"/>
      <c r="H3" s="328"/>
      <c r="I3" s="328"/>
    </row>
    <row r="4" spans="1:14" x14ac:dyDescent="0.35">
      <c r="A4" s="16">
        <f>'Process Model'!C30</f>
        <v>4651754.2991693364</v>
      </c>
      <c r="B4" t="s">
        <v>371</v>
      </c>
      <c r="C4" s="293" t="s">
        <v>8</v>
      </c>
      <c r="D4" s="62">
        <v>120</v>
      </c>
      <c r="E4" s="227"/>
      <c r="F4">
        <v>0</v>
      </c>
      <c r="G4" t="s">
        <v>884</v>
      </c>
      <c r="H4" t="s">
        <v>112</v>
      </c>
    </row>
    <row r="5" spans="1:14" x14ac:dyDescent="0.35">
      <c r="A5" s="16">
        <f>'Process Model'!C53</f>
        <v>0</v>
      </c>
      <c r="B5" t="s">
        <v>367</v>
      </c>
      <c r="C5" s="293" t="s">
        <v>8</v>
      </c>
      <c r="D5" s="53">
        <v>130</v>
      </c>
      <c r="K5" s="326" t="s">
        <v>885</v>
      </c>
      <c r="L5" s="326"/>
      <c r="M5" s="326"/>
      <c r="N5" s="326"/>
    </row>
    <row r="6" spans="1:14" x14ac:dyDescent="0.35">
      <c r="A6" s="16">
        <f>'Process Model'!C54</f>
        <v>0</v>
      </c>
      <c r="B6" t="s">
        <v>368</v>
      </c>
      <c r="C6" s="293" t="s">
        <v>8</v>
      </c>
      <c r="D6" s="53">
        <v>130</v>
      </c>
      <c r="K6" s="6">
        <f>15.28</f>
        <v>15.28</v>
      </c>
      <c r="L6" t="s">
        <v>544</v>
      </c>
    </row>
    <row r="7" spans="1:14" x14ac:dyDescent="0.35">
      <c r="A7" s="16">
        <f>'Process Model'!C55</f>
        <v>0</v>
      </c>
      <c r="B7" t="s">
        <v>369</v>
      </c>
      <c r="C7" s="293" t="s">
        <v>8</v>
      </c>
      <c r="D7" s="53">
        <v>130</v>
      </c>
      <c r="E7" s="228"/>
      <c r="K7" s="16">
        <f>K6*A10</f>
        <v>191710.7872480948</v>
      </c>
      <c r="L7" t="s">
        <v>545</v>
      </c>
      <c r="M7">
        <f>K7/(K7+K10)</f>
        <v>0.67755424019254384</v>
      </c>
    </row>
    <row r="8" spans="1:14" x14ac:dyDescent="0.35">
      <c r="A8" s="16">
        <f>Lime_Treat_Input</f>
        <v>452.3</v>
      </c>
      <c r="B8" t="s">
        <v>386</v>
      </c>
      <c r="C8" s="293" t="s">
        <v>8</v>
      </c>
      <c r="D8" s="53">
        <v>140</v>
      </c>
      <c r="M8" t="s">
        <v>621</v>
      </c>
      <c r="N8" t="s">
        <v>622</v>
      </c>
    </row>
    <row r="9" spans="1:14" x14ac:dyDescent="0.35">
      <c r="A9" s="16">
        <f>'Process Model'!C80</f>
        <v>0</v>
      </c>
      <c r="B9" t="s">
        <v>387</v>
      </c>
      <c r="C9" s="293" t="s">
        <v>8</v>
      </c>
      <c r="D9" s="53">
        <v>160</v>
      </c>
      <c r="K9">
        <v>16.399999999999999</v>
      </c>
      <c r="L9" t="s">
        <v>546</v>
      </c>
      <c r="M9">
        <f>(K10)/(K7+K10)</f>
        <v>0.32244575980745621</v>
      </c>
      <c r="N9">
        <f>Stover_Delivered_To_BP/(Stover_Delivered_To_BP+'Process Model'!C114)</f>
        <v>0.33333339286299918</v>
      </c>
    </row>
    <row r="10" spans="1:14" x14ac:dyDescent="0.35">
      <c r="A10" s="16">
        <f>'Process Model'!C136</f>
        <v>12546.517490058561</v>
      </c>
      <c r="B10" t="s">
        <v>373</v>
      </c>
      <c r="C10" s="293" t="s">
        <v>8</v>
      </c>
      <c r="D10" s="53">
        <v>180</v>
      </c>
      <c r="K10" s="6">
        <f>Stover_Delivered_To_BP*K9</f>
        <v>91234.511999999988</v>
      </c>
      <c r="L10" t="s">
        <v>547</v>
      </c>
    </row>
    <row r="11" spans="1:14" x14ac:dyDescent="0.35">
      <c r="A11" s="16">
        <f>'Process Model'!C137</f>
        <v>5563.0785097429462</v>
      </c>
      <c r="B11" t="s">
        <v>1101</v>
      </c>
      <c r="C11" s="293" t="s">
        <v>8</v>
      </c>
      <c r="D11" s="62">
        <v>180</v>
      </c>
    </row>
    <row r="12" spans="1:14" x14ac:dyDescent="0.35">
      <c r="A12" s="16">
        <f>'Process Model'!C128</f>
        <v>27497.19102008974</v>
      </c>
      <c r="B12" t="s">
        <v>511</v>
      </c>
      <c r="C12" s="293" t="s">
        <v>8</v>
      </c>
      <c r="D12" s="62">
        <v>180</v>
      </c>
    </row>
    <row r="13" spans="1:14" x14ac:dyDescent="0.35">
      <c r="A13" s="6"/>
      <c r="B13" s="16"/>
      <c r="C13" s="293"/>
      <c r="D13" s="63" t="s">
        <v>395</v>
      </c>
    </row>
    <row r="14" spans="1:14" x14ac:dyDescent="0.35">
      <c r="A14" s="16">
        <f>SUM(A4:A12)</f>
        <v>4697813.3861892279</v>
      </c>
      <c r="B14" t="s">
        <v>379</v>
      </c>
      <c r="C14" s="293" t="s">
        <v>8</v>
      </c>
      <c r="D14" s="8">
        <f>Total_Mass_In_Ag-Total_Mass_Out_Ag-Stover_Delivered_To_BP</f>
        <v>-585.1832400671392</v>
      </c>
      <c r="F14">
        <f>SUM(F4:F13)</f>
        <v>0</v>
      </c>
      <c r="G14" t="s">
        <v>790</v>
      </c>
      <c r="H14" t="s">
        <v>112</v>
      </c>
    </row>
    <row r="15" spans="1:14" x14ac:dyDescent="0.35">
      <c r="A15" s="329" t="s">
        <v>358</v>
      </c>
      <c r="B15" s="329"/>
      <c r="C15" s="329"/>
      <c r="D15" s="329"/>
      <c r="F15" s="329" t="s">
        <v>357</v>
      </c>
      <c r="G15" s="329"/>
      <c r="H15" s="329"/>
      <c r="I15" s="329"/>
    </row>
    <row r="16" spans="1:14" x14ac:dyDescent="0.35">
      <c r="A16" s="16">
        <f>'Process Model'!H15</f>
        <v>166.89240000000015</v>
      </c>
      <c r="B16" t="s">
        <v>374</v>
      </c>
      <c r="C16" s="293" t="s">
        <v>8</v>
      </c>
      <c r="D16" s="53">
        <v>200</v>
      </c>
      <c r="F16">
        <v>0</v>
      </c>
      <c r="G16" t="s">
        <v>884</v>
      </c>
      <c r="H16" t="s">
        <v>112</v>
      </c>
    </row>
    <row r="17" spans="1:9" x14ac:dyDescent="0.35">
      <c r="A17" s="16">
        <f>Waste_Water_DAH</f>
        <v>21963.095065816353</v>
      </c>
      <c r="B17" t="s">
        <v>375</v>
      </c>
      <c r="C17" s="293" t="s">
        <v>8</v>
      </c>
      <c r="D17" s="53">
        <v>300</v>
      </c>
    </row>
    <row r="18" spans="1:9" x14ac:dyDescent="0.35">
      <c r="A18" s="16">
        <f>'Process Model'!H142</f>
        <v>237.9057033965733</v>
      </c>
      <c r="B18" t="s">
        <v>383</v>
      </c>
      <c r="C18" s="293" t="s">
        <v>8</v>
      </c>
      <c r="D18" s="53">
        <v>500</v>
      </c>
    </row>
    <row r="19" spans="1:9" x14ac:dyDescent="0.35">
      <c r="C19" s="293"/>
      <c r="D19" s="64" t="s">
        <v>395</v>
      </c>
    </row>
    <row r="20" spans="1:9" x14ac:dyDescent="0.35">
      <c r="A20" s="16">
        <f>SUM(A16:A18)</f>
        <v>22367.893169212926</v>
      </c>
      <c r="B20" t="s">
        <v>384</v>
      </c>
      <c r="C20" s="293" t="s">
        <v>8</v>
      </c>
      <c r="D20" s="8">
        <f>Inputs!A39+Size_Reduced_Biomass-Outputs!A20-kg_Corn_Beer</f>
        <v>15.975472113052092</v>
      </c>
      <c r="F20">
        <f>SUM(F16:F19)</f>
        <v>0</v>
      </c>
      <c r="H20" t="s">
        <v>112</v>
      </c>
    </row>
    <row r="21" spans="1:9" x14ac:dyDescent="0.35">
      <c r="A21" s="327" t="s">
        <v>351</v>
      </c>
      <c r="B21" s="327"/>
      <c r="C21" s="327"/>
      <c r="D21" s="327"/>
      <c r="F21" s="327" t="s">
        <v>352</v>
      </c>
      <c r="G21" s="327"/>
      <c r="H21" s="327"/>
      <c r="I21" s="327"/>
    </row>
    <row r="22" spans="1:9" x14ac:dyDescent="0.35">
      <c r="A22" s="16">
        <f>H2O_Removed_Distillation_kg</f>
        <v>21001.962139200001</v>
      </c>
      <c r="B22" t="s">
        <v>359</v>
      </c>
      <c r="C22" s="293" t="s">
        <v>8</v>
      </c>
      <c r="D22" s="53">
        <v>700</v>
      </c>
      <c r="F22" s="6">
        <f>2716.364181</f>
        <v>2716.3641809999999</v>
      </c>
      <c r="G22" t="s">
        <v>1077</v>
      </c>
      <c r="H22" s="289" t="s">
        <v>112</v>
      </c>
    </row>
    <row r="23" spans="1:9" x14ac:dyDescent="0.35">
      <c r="A23" s="16">
        <f>CO_2_Output_Vent</f>
        <v>1298.45254176</v>
      </c>
      <c r="B23" t="s">
        <v>377</v>
      </c>
      <c r="C23" s="293" t="s">
        <v>8</v>
      </c>
      <c r="D23" s="53">
        <v>700</v>
      </c>
      <c r="F23" s="6">
        <f>3.6*SUM('Process Model'!M52:M59)</f>
        <v>13813.980174535371</v>
      </c>
      <c r="G23" t="s">
        <v>1091</v>
      </c>
      <c r="H23" s="289" t="s">
        <v>112</v>
      </c>
    </row>
    <row r="24" spans="1:9" x14ac:dyDescent="0.35">
      <c r="A24" s="16">
        <f>Burnable_BM_kgs</f>
        <v>2584.0580769971916</v>
      </c>
      <c r="B24" t="s">
        <v>538</v>
      </c>
      <c r="C24" s="293" t="s">
        <v>8</v>
      </c>
      <c r="D24" s="53">
        <v>700</v>
      </c>
    </row>
    <row r="25" spans="1:9" x14ac:dyDescent="0.35">
      <c r="A25" s="16">
        <f>Final_Anhydrous_Eth_Mass</f>
        <v>1411.086443333515</v>
      </c>
      <c r="B25" t="s">
        <v>378</v>
      </c>
      <c r="C25" s="293" t="s">
        <v>8</v>
      </c>
      <c r="D25" s="53">
        <v>700</v>
      </c>
    </row>
    <row r="26" spans="1:9" x14ac:dyDescent="0.35">
      <c r="A26" s="16"/>
      <c r="C26" s="293"/>
      <c r="D26" s="36"/>
    </row>
    <row r="27" spans="1:9" x14ac:dyDescent="0.35">
      <c r="A27" s="16">
        <f>SUM(A22:A25)</f>
        <v>26295.559201290711</v>
      </c>
      <c r="B27" t="s">
        <v>392</v>
      </c>
      <c r="C27" s="293" t="s">
        <v>8</v>
      </c>
      <c r="D27" s="199"/>
    </row>
    <row r="28" spans="1:9" x14ac:dyDescent="0.35">
      <c r="A28" s="16"/>
      <c r="C28" s="293"/>
    </row>
    <row r="29" spans="1:9" x14ac:dyDescent="0.35">
      <c r="A29" s="16">
        <f>Total_Mass_Out_Ag+A20+A27</f>
        <v>4746476.8385597318</v>
      </c>
      <c r="B29" t="s">
        <v>877</v>
      </c>
      <c r="C29" s="317" t="s">
        <v>8</v>
      </c>
    </row>
    <row r="30" spans="1:9" x14ac:dyDescent="0.35">
      <c r="A30" s="16"/>
      <c r="D30" s="196" t="s">
        <v>395</v>
      </c>
    </row>
    <row r="31" spans="1:9" x14ac:dyDescent="0.35">
      <c r="A31" s="103"/>
      <c r="D31" s="62">
        <f>Inputs!A42-Outputs!A29</f>
        <v>-402.31536795478314</v>
      </c>
    </row>
    <row r="32" spans="1:9" x14ac:dyDescent="0.35">
      <c r="A32" s="6"/>
    </row>
    <row r="33" spans="1:1" x14ac:dyDescent="0.35">
      <c r="A33" s="6"/>
    </row>
  </sheetData>
  <mergeCells count="9">
    <mergeCell ref="A1:D2"/>
    <mergeCell ref="F1:I2"/>
    <mergeCell ref="K5:N5"/>
    <mergeCell ref="A21:D21"/>
    <mergeCell ref="F21:I21"/>
    <mergeCell ref="A3:D3"/>
    <mergeCell ref="A15:D15"/>
    <mergeCell ref="F3:I3"/>
    <mergeCell ref="F15:I15"/>
  </mergeCells>
  <conditionalFormatting sqref="D14">
    <cfRule type="cellIs" dxfId="41" priority="6" operator="greaterThan">
      <formula>500</formula>
    </cfRule>
    <cfRule type="cellIs" dxfId="40" priority="7" operator="lessThan">
      <formula>-500</formula>
    </cfRule>
    <cfRule type="cellIs" dxfId="39" priority="8" operator="between">
      <formula>-500</formula>
      <formula>500</formula>
    </cfRule>
    <cfRule type="cellIs" dxfId="38" priority="9" operator="between">
      <formula>-50</formula>
      <formula>50</formula>
    </cfRule>
  </conditionalFormatting>
  <conditionalFormatting sqref="D20">
    <cfRule type="cellIs" dxfId="37" priority="3" operator="greaterThan">
      <formula>501</formula>
    </cfRule>
    <cfRule type="cellIs" dxfId="36" priority="4" operator="lessThan">
      <formula>50</formula>
    </cfRule>
    <cfRule type="cellIs" dxfId="35" priority="5" operator="lessThan">
      <formula>500</formula>
    </cfRule>
  </conditionalFormatting>
  <conditionalFormatting sqref="D31">
    <cfRule type="cellIs" dxfId="34" priority="1" operator="lessThan">
      <formula>-50</formula>
    </cfRule>
    <cfRule type="cellIs" dxfId="33" priority="2" operator="lessThan">
      <formula>10</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4" tint="-0.249977111117893"/>
  </sheetPr>
  <dimension ref="A1:AW936"/>
  <sheetViews>
    <sheetView topLeftCell="D1" zoomScaleNormal="100" workbookViewId="0">
      <selection activeCell="D151" sqref="D151"/>
    </sheetView>
  </sheetViews>
  <sheetFormatPr defaultRowHeight="14.5" x14ac:dyDescent="0.35"/>
  <cols>
    <col min="1" max="1" width="4.453125" style="1" customWidth="1"/>
    <col min="2" max="2" width="18.453125" bestFit="1" customWidth="1"/>
    <col min="3" max="3" width="16.26953125" customWidth="1"/>
    <col min="4" max="4" width="21" customWidth="1"/>
    <col min="5" max="5" width="21.453125" bestFit="1" customWidth="1"/>
    <col min="6" max="6" width="4.453125" style="18" customWidth="1"/>
    <col min="7" max="7" width="22.81640625" customWidth="1"/>
    <col min="8" max="8" width="17.54296875" customWidth="1"/>
    <col min="9" max="9" width="18.54296875" customWidth="1"/>
    <col min="10" max="10" width="17.54296875" customWidth="1"/>
    <col min="11" max="11" width="4.453125" style="18" customWidth="1"/>
    <col min="12" max="13" width="17.54296875" customWidth="1"/>
    <col min="14" max="14" width="21.7265625" bestFit="1" customWidth="1"/>
    <col min="15" max="15" width="18.81640625" style="66" customWidth="1"/>
    <col min="16" max="16" width="4.453125" style="18" customWidth="1"/>
    <col min="17" max="17" width="22" customWidth="1"/>
    <col min="18" max="18" width="17.453125" customWidth="1"/>
    <col min="19" max="19" width="19" bestFit="1" customWidth="1"/>
    <col min="20" max="20" width="17.453125" customWidth="1"/>
    <col min="21" max="21" width="4.453125" style="18" customWidth="1"/>
    <col min="24" max="24" width="10.26953125" bestFit="1" customWidth="1"/>
    <col min="26" max="26" width="4.453125" style="1" customWidth="1"/>
    <col min="27" max="27" width="11.7265625" customWidth="1"/>
    <col min="31" max="31" width="4.453125" style="1" customWidth="1"/>
    <col min="36" max="36" width="4.453125" style="1" customWidth="1"/>
    <col min="41" max="41" width="4.453125" style="1" customWidth="1"/>
    <col min="46" max="46" width="4.453125" style="1" customWidth="1"/>
  </cols>
  <sheetData>
    <row r="1" spans="2:46" x14ac:dyDescent="0.35">
      <c r="B1" s="345" t="s">
        <v>0</v>
      </c>
      <c r="C1" s="345"/>
      <c r="D1" s="345"/>
      <c r="E1" s="345"/>
      <c r="F1" s="19"/>
      <c r="G1" s="346" t="s">
        <v>188</v>
      </c>
      <c r="H1" s="346"/>
      <c r="I1" s="346"/>
      <c r="J1" s="346"/>
      <c r="L1" s="347" t="s">
        <v>199</v>
      </c>
      <c r="M1" s="347"/>
      <c r="N1" s="347"/>
      <c r="O1" s="347"/>
      <c r="Q1" s="348" t="s">
        <v>91</v>
      </c>
      <c r="R1" s="348"/>
      <c r="S1" s="348"/>
      <c r="T1" s="348"/>
      <c r="V1" s="341"/>
      <c r="W1" s="349"/>
      <c r="X1" s="349"/>
      <c r="Y1" s="349"/>
      <c r="Z1" s="3"/>
      <c r="AA1" s="341"/>
      <c r="AB1" s="341"/>
      <c r="AC1" s="341"/>
      <c r="AD1" s="341"/>
      <c r="AE1" s="3"/>
      <c r="AF1" s="341"/>
      <c r="AG1" s="342"/>
      <c r="AH1" s="342"/>
      <c r="AI1" s="342"/>
      <c r="AJ1" s="3"/>
      <c r="AK1" s="341"/>
      <c r="AL1" s="342"/>
      <c r="AM1" s="342"/>
      <c r="AN1" s="342"/>
      <c r="AO1" s="3"/>
      <c r="AP1" s="341"/>
      <c r="AQ1" s="341"/>
      <c r="AR1" s="341"/>
      <c r="AS1" s="341"/>
      <c r="AT1" s="3"/>
    </row>
    <row r="2" spans="2:46" x14ac:dyDescent="0.35">
      <c r="B2" s="337" t="s">
        <v>41</v>
      </c>
      <c r="C2" s="337"/>
      <c r="D2" s="337"/>
      <c r="E2" s="337"/>
      <c r="G2" s="337" t="s">
        <v>1</v>
      </c>
      <c r="H2" s="337"/>
      <c r="I2" s="337"/>
      <c r="J2" s="337"/>
      <c r="L2" s="3"/>
      <c r="M2" s="341" t="s">
        <v>12</v>
      </c>
      <c r="N2" s="341"/>
      <c r="O2" s="65"/>
      <c r="Q2" s="3"/>
      <c r="R2" s="341" t="s">
        <v>12</v>
      </c>
      <c r="S2" s="341"/>
      <c r="T2" s="3"/>
      <c r="V2" s="3"/>
      <c r="W2" s="3"/>
      <c r="X2" s="3"/>
      <c r="Y2" s="3"/>
      <c r="Z2" s="3"/>
      <c r="AA2" s="3"/>
      <c r="AB2" s="3"/>
      <c r="AC2" s="3"/>
      <c r="AD2" s="3"/>
      <c r="AE2" s="3"/>
      <c r="AF2" s="3"/>
      <c r="AG2" s="3"/>
      <c r="AH2" s="3"/>
      <c r="AI2" s="3"/>
      <c r="AJ2" s="3"/>
      <c r="AK2" s="3"/>
      <c r="AL2" s="3"/>
      <c r="AM2" s="3"/>
      <c r="AN2" s="3"/>
      <c r="AO2" s="3"/>
      <c r="AP2" s="3"/>
      <c r="AQ2" s="3"/>
      <c r="AR2" s="3"/>
      <c r="AS2" s="3"/>
      <c r="AT2" s="3"/>
    </row>
    <row r="3" spans="2:46" x14ac:dyDescent="0.35">
      <c r="C3" s="335" t="s">
        <v>12</v>
      </c>
      <c r="D3" s="335"/>
      <c r="H3" s="335" t="s">
        <v>12</v>
      </c>
      <c r="I3" s="335"/>
      <c r="L3" s="37" t="s">
        <v>190</v>
      </c>
      <c r="M3" s="22">
        <f>kg_Corn_Beer</f>
        <v>26295.559201290707</v>
      </c>
      <c r="N3" s="3" t="s">
        <v>189</v>
      </c>
      <c r="O3" s="65"/>
      <c r="Q3" s="3"/>
      <c r="R3" s="40">
        <f>Final_Anhydrous_Eth_Mass*kg_eth_to_L_eth</f>
        <v>1788.4492310944424</v>
      </c>
      <c r="S3" s="41" t="s">
        <v>214</v>
      </c>
      <c r="T3" s="3"/>
      <c r="V3" s="3"/>
      <c r="W3" s="3"/>
      <c r="X3" s="3">
        <v>773000</v>
      </c>
      <c r="Y3" s="3" t="s">
        <v>831</v>
      </c>
      <c r="Z3" s="3"/>
      <c r="AA3" s="3"/>
      <c r="AB3" s="3"/>
      <c r="AC3" s="3"/>
      <c r="AD3" s="3"/>
      <c r="AE3" s="3"/>
      <c r="AF3" s="3"/>
      <c r="AG3" s="3"/>
      <c r="AH3" s="3"/>
      <c r="AI3" s="3"/>
      <c r="AJ3" s="3"/>
      <c r="AK3" s="3"/>
      <c r="AL3" s="3"/>
      <c r="AM3" s="3"/>
      <c r="AN3" s="3"/>
      <c r="AO3" s="3"/>
      <c r="AP3" s="3"/>
      <c r="AQ3" s="3"/>
      <c r="AR3" s="3"/>
      <c r="AS3" s="3"/>
      <c r="AT3" s="3"/>
    </row>
    <row r="4" spans="2:46" x14ac:dyDescent="0.35">
      <c r="B4" s="4" t="s">
        <v>19</v>
      </c>
      <c r="C4">
        <v>1</v>
      </c>
      <c r="D4" t="s">
        <v>7</v>
      </c>
      <c r="E4" t="s">
        <v>542</v>
      </c>
      <c r="G4" s="4" t="s">
        <v>92</v>
      </c>
      <c r="H4" s="3">
        <f>Stover_Delivered_To_BP</f>
        <v>5563.08</v>
      </c>
      <c r="I4" t="s">
        <v>61</v>
      </c>
      <c r="L4" s="37" t="s">
        <v>195</v>
      </c>
      <c r="M4" s="22">
        <f>[0]!Elect_DD_I</f>
        <v>438.12325490000001</v>
      </c>
      <c r="N4" s="3" t="s">
        <v>112</v>
      </c>
      <c r="O4" s="65">
        <f>Upgrd_Elec_Power_In/Corn_beer_Input_to_DD</f>
        <v>1.666149221418706E-2</v>
      </c>
      <c r="Q4" s="3"/>
      <c r="R4" s="22">
        <f>R3/'Conversions Page'!D13</f>
        <v>472.45852657821541</v>
      </c>
      <c r="S4" s="3" t="s">
        <v>215</v>
      </c>
      <c r="T4" s="3"/>
      <c r="V4" s="3"/>
      <c r="W4" s="3"/>
      <c r="X4" s="3">
        <f>X3/'Conversions Page'!D10</f>
        <v>701254637.987499</v>
      </c>
      <c r="Y4" s="3" t="s">
        <v>832</v>
      </c>
      <c r="Z4" s="3"/>
      <c r="AA4" s="3"/>
      <c r="AB4" s="3"/>
      <c r="AC4" s="3"/>
      <c r="AD4" s="3"/>
      <c r="AE4" s="3"/>
      <c r="AF4" s="3"/>
      <c r="AG4" s="3"/>
      <c r="AH4" s="3"/>
      <c r="AI4" s="3"/>
      <c r="AJ4" s="3"/>
      <c r="AK4" s="3"/>
      <c r="AL4" s="3"/>
      <c r="AM4" s="3"/>
      <c r="AN4" s="3"/>
      <c r="AO4" s="3"/>
      <c r="AP4" s="3"/>
      <c r="AQ4" s="3"/>
      <c r="AR4" s="3"/>
      <c r="AS4" s="3"/>
      <c r="AT4" s="3"/>
    </row>
    <row r="5" spans="2:46" x14ac:dyDescent="0.35">
      <c r="B5" s="4" t="s">
        <v>897</v>
      </c>
      <c r="C5">
        <f>C4*'Conversions Page'!D6</f>
        <v>2.47105</v>
      </c>
      <c r="D5" t="s">
        <v>31</v>
      </c>
      <c r="G5" s="4" t="s">
        <v>334</v>
      </c>
      <c r="H5" s="6">
        <f>3.6*M52</f>
        <v>400.40522245030058</v>
      </c>
      <c r="I5" t="s">
        <v>112</v>
      </c>
      <c r="L5" s="37" t="s">
        <v>196</v>
      </c>
      <c r="M5" s="22">
        <f>MJ_Heat_Per_ha</f>
        <v>13676.458567766878</v>
      </c>
      <c r="N5" s="3" t="s">
        <v>112</v>
      </c>
      <c r="O5" s="66">
        <f>Upgrd_Heat_Power_In/Corn_beer_Input_to_DD</f>
        <v>0.52010525667374186</v>
      </c>
      <c r="Q5" s="3"/>
      <c r="R5" s="6">
        <f>'Process Model'!R4/(Biomass_Input_To_BP*'Conversions Page'!D10)</f>
        <v>77.045031765959948</v>
      </c>
      <c r="S5" s="3" t="s">
        <v>211</v>
      </c>
      <c r="T5" s="3"/>
      <c r="V5" s="3"/>
      <c r="W5" s="3"/>
      <c r="X5" s="28">
        <f>X4/Stover_Biomass_From_Agr</f>
        <v>126055.10580245098</v>
      </c>
      <c r="Y5" s="3" t="s">
        <v>830</v>
      </c>
      <c r="Z5" s="3"/>
      <c r="AA5" s="3"/>
      <c r="AB5" s="3"/>
      <c r="AC5" s="3"/>
      <c r="AD5" s="3"/>
      <c r="AE5" s="3"/>
      <c r="AF5" s="3"/>
      <c r="AG5" s="3"/>
      <c r="AH5" s="3"/>
      <c r="AI5" s="3"/>
      <c r="AJ5" s="3"/>
      <c r="AK5" s="3"/>
      <c r="AL5" s="3"/>
      <c r="AM5" s="3"/>
      <c r="AN5" s="3"/>
      <c r="AO5" s="3"/>
      <c r="AP5" s="3"/>
      <c r="AQ5" s="3"/>
      <c r="AR5" s="3"/>
      <c r="AS5" s="3"/>
      <c r="AT5" s="3"/>
    </row>
    <row r="6" spans="2:46" x14ac:dyDescent="0.35">
      <c r="B6" s="4"/>
      <c r="G6" s="4" t="s">
        <v>275</v>
      </c>
      <c r="H6" s="6">
        <f>H10*Biomass_Input_To_BP</f>
        <v>781.05643199999997</v>
      </c>
      <c r="I6" t="s">
        <v>112</v>
      </c>
      <c r="L6" s="37" t="s">
        <v>923</v>
      </c>
      <c r="M6" s="22">
        <f>Inputs!A37</f>
        <v>9.6934810000000002</v>
      </c>
      <c r="N6" s="3" t="s">
        <v>8</v>
      </c>
      <c r="O6" s="202"/>
      <c r="Q6" s="3"/>
      <c r="R6" s="343" t="s">
        <v>216</v>
      </c>
      <c r="S6" s="343"/>
      <c r="T6" s="3"/>
      <c r="V6" s="3"/>
      <c r="W6" s="3"/>
      <c r="X6" s="3"/>
      <c r="Y6" s="3"/>
      <c r="Z6" s="3"/>
      <c r="AA6" s="3"/>
      <c r="AB6" s="3"/>
      <c r="AC6" s="3"/>
      <c r="AD6" s="3"/>
      <c r="AE6" s="3"/>
      <c r="AF6" s="3"/>
      <c r="AG6" s="3"/>
      <c r="AH6" s="3"/>
      <c r="AI6" s="3"/>
      <c r="AJ6" s="3"/>
      <c r="AK6" s="3"/>
      <c r="AL6" s="3"/>
      <c r="AM6" s="3"/>
      <c r="AN6" s="3"/>
      <c r="AO6" s="3"/>
      <c r="AP6" s="3"/>
      <c r="AQ6" s="3"/>
      <c r="AR6" s="3"/>
      <c r="AS6" s="3"/>
      <c r="AT6" s="3"/>
    </row>
    <row r="7" spans="2:46" x14ac:dyDescent="0.35">
      <c r="C7" s="326" t="s">
        <v>30</v>
      </c>
      <c r="D7" s="326"/>
      <c r="G7" s="4"/>
      <c r="L7" s="37"/>
      <c r="M7" s="3"/>
      <c r="N7" s="3"/>
      <c r="O7" s="65"/>
      <c r="Q7" s="37"/>
      <c r="R7" s="22">
        <f>R5/'Conversions Page'!D11</f>
        <v>2.1572608894468783</v>
      </c>
      <c r="S7" s="3" t="s">
        <v>217</v>
      </c>
      <c r="T7" s="3" t="s">
        <v>222</v>
      </c>
      <c r="V7" s="3"/>
      <c r="W7" s="3"/>
      <c r="X7" s="3"/>
      <c r="Y7" s="3"/>
      <c r="Z7" s="3"/>
      <c r="AA7" s="3"/>
      <c r="AB7" s="3"/>
      <c r="AC7" s="3"/>
      <c r="AD7" s="3"/>
      <c r="AE7" s="3"/>
      <c r="AF7" s="3"/>
      <c r="AG7" s="3"/>
      <c r="AH7" s="3"/>
      <c r="AI7" s="3"/>
      <c r="AJ7" s="3"/>
      <c r="AK7" s="3"/>
      <c r="AL7" s="3"/>
      <c r="AM7" s="3"/>
      <c r="AN7" s="3"/>
      <c r="AO7" s="3"/>
      <c r="AP7" s="3"/>
      <c r="AQ7" s="3"/>
      <c r="AR7" s="3"/>
      <c r="AS7" s="3"/>
      <c r="AT7" s="3"/>
    </row>
    <row r="8" spans="2:46" x14ac:dyDescent="0.35">
      <c r="B8" s="4" t="s">
        <v>20</v>
      </c>
      <c r="C8" s="6">
        <f>C136/'Conversions Page'!D8/'Conversions Page'!D6</f>
        <v>199.89776876160681</v>
      </c>
      <c r="D8" t="s">
        <v>6</v>
      </c>
      <c r="G8" s="4"/>
      <c r="H8" s="326" t="s">
        <v>95</v>
      </c>
      <c r="I8" s="326"/>
      <c r="L8" s="37"/>
      <c r="M8" s="343" t="s">
        <v>30</v>
      </c>
      <c r="N8" s="343"/>
      <c r="O8" s="65"/>
      <c r="Q8" s="3"/>
      <c r="R8" s="3"/>
      <c r="S8" s="3"/>
      <c r="T8" s="3"/>
      <c r="V8" s="3"/>
      <c r="W8" s="3"/>
      <c r="X8" s="108">
        <v>0.02</v>
      </c>
      <c r="Y8" s="3"/>
      <c r="Z8" s="3"/>
      <c r="AA8" s="109">
        <f>AA10/R9</f>
        <v>2.4193548387096774E-2</v>
      </c>
      <c r="AB8" s="3"/>
      <c r="AC8" s="3"/>
      <c r="AD8" s="3"/>
      <c r="AE8" s="3"/>
      <c r="AF8" s="3"/>
      <c r="AG8" s="3"/>
      <c r="AH8" s="3"/>
      <c r="AI8" s="3"/>
      <c r="AJ8" s="3"/>
      <c r="AK8" s="3"/>
      <c r="AL8" s="3"/>
      <c r="AM8" s="3"/>
      <c r="AN8" s="3"/>
      <c r="AO8" s="3"/>
      <c r="AP8" s="3"/>
      <c r="AQ8" s="3"/>
      <c r="AR8" s="3"/>
      <c r="AS8" s="3"/>
      <c r="AT8" s="3"/>
    </row>
    <row r="9" spans="2:46" x14ac:dyDescent="0.35">
      <c r="B9" s="4"/>
      <c r="C9" s="24">
        <f>Seeds_Per_ha/'Conversions Page'!D6</f>
        <v>29999.99385079218</v>
      </c>
      <c r="D9" t="s">
        <v>39</v>
      </c>
      <c r="E9" s="12" t="s">
        <v>40</v>
      </c>
      <c r="G9" s="4"/>
      <c r="H9">
        <v>39</v>
      </c>
      <c r="I9" t="s">
        <v>96</v>
      </c>
      <c r="J9" s="12" t="s">
        <v>102</v>
      </c>
      <c r="L9" s="37"/>
      <c r="M9" s="3">
        <v>1.81</v>
      </c>
      <c r="N9" s="21" t="s">
        <v>198</v>
      </c>
      <c r="O9" s="42" t="s">
        <v>197</v>
      </c>
      <c r="Q9" s="3"/>
      <c r="R9" s="61">
        <f>R3*22.77</f>
        <v>40722.988992020451</v>
      </c>
      <c r="S9" s="3" t="s">
        <v>497</v>
      </c>
      <c r="T9" s="3"/>
      <c r="V9" s="3"/>
      <c r="W9" s="3">
        <f>R9*0.02</f>
        <v>814.45977984040906</v>
      </c>
      <c r="X9" s="3" t="s">
        <v>599</v>
      </c>
      <c r="Y9" s="3"/>
      <c r="Z9" s="3"/>
      <c r="AA9" s="90">
        <f>LCA!G74*1000</f>
        <v>91626.72523204601</v>
      </c>
      <c r="AB9" s="3" t="s">
        <v>601</v>
      </c>
      <c r="AC9" s="3"/>
      <c r="AD9" s="3"/>
      <c r="AE9" s="3"/>
      <c r="AF9" s="3"/>
      <c r="AG9" s="3"/>
      <c r="AH9" s="3"/>
      <c r="AI9" s="3"/>
      <c r="AJ9" s="3"/>
      <c r="AK9" s="3"/>
      <c r="AL9" s="3"/>
      <c r="AM9" s="3"/>
      <c r="AN9" s="3"/>
      <c r="AO9" s="3"/>
      <c r="AP9" s="3"/>
      <c r="AQ9" s="3"/>
      <c r="AR9" s="3"/>
      <c r="AS9" s="3"/>
      <c r="AT9" s="3"/>
    </row>
    <row r="10" spans="2:46" x14ac:dyDescent="0.35">
      <c r="C10">
        <f>C11*1900/'Conversions Page'!D9</f>
        <v>74131.484805000015</v>
      </c>
      <c r="D10" t="s">
        <v>42</v>
      </c>
      <c r="G10" s="4"/>
      <c r="H10">
        <f>H9/1000*'Conversions Page'!D16</f>
        <v>0.1404</v>
      </c>
      <c r="I10" t="s">
        <v>101</v>
      </c>
      <c r="L10" s="37"/>
      <c r="M10" s="3">
        <v>7.7</v>
      </c>
      <c r="N10" s="21" t="s">
        <v>201</v>
      </c>
      <c r="O10" s="12" t="s">
        <v>200</v>
      </c>
      <c r="Q10" s="3"/>
      <c r="R10" s="3"/>
      <c r="S10" s="3"/>
      <c r="T10" s="3"/>
      <c r="V10" s="3"/>
      <c r="W10" s="3">
        <f>W9*93/1000</f>
        <v>75.744759525158031</v>
      </c>
      <c r="X10" s="3" t="s">
        <v>600</v>
      </c>
      <c r="Y10" s="3"/>
      <c r="Z10" s="3"/>
      <c r="AA10" s="3">
        <f>AA9/93</f>
        <v>985.23360464565599</v>
      </c>
      <c r="AB10" s="3"/>
      <c r="AC10" s="3"/>
      <c r="AD10" s="3"/>
      <c r="AE10" s="3"/>
      <c r="AF10" s="3"/>
      <c r="AG10" s="3"/>
      <c r="AH10" s="3"/>
      <c r="AI10" s="3"/>
      <c r="AJ10" s="3"/>
      <c r="AK10" s="3"/>
      <c r="AL10" s="3"/>
      <c r="AM10" s="3"/>
      <c r="AN10" s="3"/>
      <c r="AO10" s="3"/>
      <c r="AP10" s="3"/>
      <c r="AQ10" s="3"/>
      <c r="AR10" s="3"/>
      <c r="AS10" s="3"/>
      <c r="AT10" s="3"/>
    </row>
    <row r="11" spans="2:46" x14ac:dyDescent="0.35">
      <c r="C11" s="34">
        <f>Seeds_Per_Acre_Input</f>
        <v>17.694590000000002</v>
      </c>
      <c r="D11" t="s">
        <v>363</v>
      </c>
      <c r="G11" s="4"/>
      <c r="H11" s="32">
        <v>0.97</v>
      </c>
      <c r="I11" t="s">
        <v>103</v>
      </c>
      <c r="M11" s="6">
        <f>(1/L_eth_Per_kWh_Elec)*'Conversions Page'!D16*Kg_Ethanol_Per_ha*kg_eth_to_L_eth</f>
        <v>3532.7007852450861</v>
      </c>
      <c r="N11" s="21" t="s">
        <v>202</v>
      </c>
      <c r="Q11" s="37" t="s">
        <v>605</v>
      </c>
      <c r="R11" s="91">
        <f>3.88*R9/1000</f>
        <v>158.00519728903936</v>
      </c>
      <c r="S11" s="3" t="s">
        <v>606</v>
      </c>
      <c r="T11" s="3"/>
      <c r="V11" s="3"/>
      <c r="W11" s="3"/>
      <c r="X11" s="3"/>
      <c r="Y11" s="3"/>
      <c r="Z11" s="3"/>
      <c r="AB11" s="3"/>
      <c r="AC11" s="3"/>
      <c r="AD11" s="3"/>
      <c r="AE11" s="3"/>
      <c r="AF11" s="3"/>
      <c r="AG11" s="3"/>
      <c r="AH11" s="3"/>
      <c r="AI11" s="3"/>
      <c r="AJ11" s="3"/>
      <c r="AK11" s="3"/>
      <c r="AL11" s="3"/>
      <c r="AM11" s="3"/>
      <c r="AN11" s="3"/>
      <c r="AO11" s="3"/>
      <c r="AP11" s="3"/>
      <c r="AQ11" s="3"/>
      <c r="AR11" s="3"/>
      <c r="AS11" s="3"/>
      <c r="AT11" s="3"/>
    </row>
    <row r="12" spans="2:46" x14ac:dyDescent="0.35">
      <c r="G12" s="4"/>
      <c r="L12" s="37"/>
      <c r="M12" s="22">
        <f>MJ_Per_L_Eth_Prod*Kg_Ethanol_Per_ha*kg_eth_to_L_eth</f>
        <v>13676.458567766878</v>
      </c>
      <c r="N12" s="21" t="s">
        <v>203</v>
      </c>
      <c r="O12" s="65"/>
      <c r="Q12" s="37" t="s">
        <v>608</v>
      </c>
      <c r="R12" s="22">
        <f>R9*2.01/1000</f>
        <v>81.853207873961097</v>
      </c>
      <c r="S12" s="3" t="s">
        <v>609</v>
      </c>
      <c r="T12" s="3"/>
      <c r="V12" s="3"/>
      <c r="W12" s="3"/>
      <c r="X12" s="3"/>
      <c r="Y12" s="3"/>
      <c r="Z12" s="3"/>
      <c r="AC12" s="3"/>
      <c r="AD12" s="3"/>
      <c r="AE12" s="3"/>
      <c r="AF12" s="3"/>
      <c r="AG12" s="3"/>
      <c r="AH12" s="3"/>
      <c r="AI12" s="3"/>
      <c r="AJ12" s="3"/>
      <c r="AK12" s="3"/>
      <c r="AL12" s="3"/>
      <c r="AM12" s="3"/>
      <c r="AN12" s="3"/>
      <c r="AO12" s="3"/>
      <c r="AP12" s="3"/>
      <c r="AQ12" s="3"/>
      <c r="AR12" s="3"/>
      <c r="AS12" s="3"/>
      <c r="AT12" s="3"/>
    </row>
    <row r="13" spans="2:46" x14ac:dyDescent="0.35">
      <c r="C13" s="335" t="s">
        <v>27</v>
      </c>
      <c r="D13" s="335"/>
      <c r="G13" s="4"/>
      <c r="H13" s="335" t="s">
        <v>27</v>
      </c>
      <c r="I13" s="335"/>
      <c r="L13" s="37"/>
      <c r="M13" s="22">
        <f>Stover_Post_EH*Lignin_Ratio</f>
        <v>332.88109990632</v>
      </c>
      <c r="N13" s="21" t="s">
        <v>210</v>
      </c>
      <c r="O13" s="42" t="s">
        <v>223</v>
      </c>
      <c r="Q13" s="37" t="s">
        <v>610</v>
      </c>
      <c r="R13" s="22">
        <f>(4.14/0.85)/1000*R9</f>
        <v>198.34491109054665</v>
      </c>
      <c r="S13" s="3" t="s">
        <v>611</v>
      </c>
      <c r="T13" s="3"/>
      <c r="V13" s="3"/>
      <c r="W13" s="3"/>
      <c r="X13" s="3"/>
      <c r="Y13" s="3"/>
      <c r="Z13" s="3"/>
      <c r="AA13" s="3"/>
      <c r="AB13" s="3"/>
      <c r="AC13" s="3"/>
      <c r="AD13" s="3"/>
      <c r="AE13" s="3"/>
      <c r="AF13" s="3"/>
      <c r="AG13" s="3"/>
      <c r="AH13" s="3"/>
      <c r="AI13" s="3"/>
      <c r="AJ13" s="3"/>
      <c r="AK13" s="3"/>
      <c r="AL13" s="3"/>
      <c r="AM13" s="3"/>
      <c r="AN13" s="3"/>
      <c r="AO13" s="3"/>
      <c r="AP13" s="3"/>
      <c r="AQ13" s="3"/>
      <c r="AR13" s="3"/>
      <c r="AS13" s="3"/>
      <c r="AT13" s="3"/>
    </row>
    <row r="14" spans="2:46" x14ac:dyDescent="0.35">
      <c r="C14">
        <f>Input_Hectares</f>
        <v>1</v>
      </c>
      <c r="D14" t="s">
        <v>43</v>
      </c>
      <c r="G14" s="4"/>
      <c r="H14" s="22">
        <f>Biomass_Input_To_BP*Percen_To_Hammer_Mill</f>
        <v>5396.1876000000002</v>
      </c>
      <c r="I14" t="s">
        <v>139</v>
      </c>
      <c r="Q14" s="37" t="s">
        <v>618</v>
      </c>
      <c r="R14" s="91">
        <f>(4.22/1.85)*R9/1000</f>
        <v>92.892439754770962</v>
      </c>
      <c r="S14" s="3" t="s">
        <v>616</v>
      </c>
      <c r="T14" s="3">
        <f>(1.63*R9)/100</f>
        <v>663.78472056993326</v>
      </c>
      <c r="V14" s="3"/>
      <c r="W14" s="3"/>
      <c r="X14" s="3"/>
      <c r="Y14" s="3">
        <v>33.200000000000003</v>
      </c>
      <c r="Z14" s="3" t="s">
        <v>676</v>
      </c>
      <c r="AA14" s="3"/>
      <c r="AB14" s="3"/>
      <c r="AC14" s="3"/>
      <c r="AD14" s="3"/>
      <c r="AE14" s="3"/>
      <c r="AF14" s="3"/>
      <c r="AG14" s="3"/>
      <c r="AH14" s="3"/>
      <c r="AI14" s="3"/>
      <c r="AJ14" s="3"/>
      <c r="AK14" s="3"/>
      <c r="AL14" s="3"/>
      <c r="AM14" s="3"/>
      <c r="AN14" s="3"/>
      <c r="AO14" s="3"/>
      <c r="AP14" s="3"/>
      <c r="AQ14" s="3"/>
      <c r="AR14" s="3"/>
      <c r="AS14" s="3"/>
      <c r="AT14" s="3"/>
    </row>
    <row r="15" spans="2:46" x14ac:dyDescent="0.35">
      <c r="G15" s="4"/>
      <c r="H15" s="22">
        <f>(1-Percen_To_Hammer_Mill)*Biomass_Input_To_BP</f>
        <v>166.89240000000015</v>
      </c>
      <c r="I15" t="s">
        <v>360</v>
      </c>
      <c r="L15" s="37"/>
      <c r="M15" s="341" t="s">
        <v>27</v>
      </c>
      <c r="N15" s="341"/>
      <c r="O15" s="65"/>
      <c r="Q15" s="37" t="s">
        <v>172</v>
      </c>
      <c r="R15" s="91">
        <f>R9*(5.34/2.66)/1000</f>
        <v>81.75216587119894</v>
      </c>
      <c r="S15" s="3" t="s">
        <v>617</v>
      </c>
      <c r="T15" s="3"/>
      <c r="V15" s="3"/>
      <c r="W15" s="3"/>
      <c r="X15" s="3"/>
      <c r="Y15" s="3">
        <f>Y14*R9/1000</f>
        <v>1352.0032345350792</v>
      </c>
      <c r="Z15" s="3" t="s">
        <v>677</v>
      </c>
      <c r="AA15" s="3"/>
      <c r="AB15" s="3"/>
      <c r="AC15" s="3"/>
      <c r="AD15" s="3"/>
      <c r="AE15" s="3"/>
      <c r="AF15" s="3"/>
      <c r="AG15" s="3"/>
      <c r="AH15" s="3"/>
      <c r="AI15" s="3"/>
      <c r="AJ15" s="3"/>
      <c r="AK15" s="3"/>
      <c r="AL15" s="3"/>
      <c r="AM15" s="3"/>
      <c r="AN15" s="3"/>
      <c r="AO15" s="3"/>
      <c r="AP15" s="3"/>
      <c r="AQ15" s="3"/>
      <c r="AR15" s="3"/>
      <c r="AS15" s="3"/>
      <c r="AT15" s="3"/>
    </row>
    <row r="16" spans="2:46" x14ac:dyDescent="0.35">
      <c r="B16" s="337" t="s">
        <v>569</v>
      </c>
      <c r="C16" s="337"/>
      <c r="D16" s="337"/>
      <c r="E16" s="337"/>
      <c r="G16" s="4"/>
      <c r="H16" s="22">
        <f>C140-(Percen_To_Hammer_Mill*C140)</f>
        <v>72.7650864000002</v>
      </c>
      <c r="I16" t="s">
        <v>516</v>
      </c>
      <c r="L16" s="37" t="s">
        <v>224</v>
      </c>
      <c r="M16" s="22">
        <f>H72</f>
        <v>21001.962139200001</v>
      </c>
      <c r="N16" s="3" t="s">
        <v>209</v>
      </c>
      <c r="Q16" s="37" t="s">
        <v>619</v>
      </c>
      <c r="R16" s="91">
        <f>(7.72/711)*R9</f>
        <v>442.16803800055965</v>
      </c>
      <c r="S16" s="3" t="s">
        <v>98</v>
      </c>
      <c r="T16" s="3"/>
      <c r="V16" s="3"/>
      <c r="W16" s="3"/>
      <c r="X16" s="3"/>
      <c r="Y16" s="3">
        <v>32</v>
      </c>
      <c r="Z16" s="3" t="s">
        <v>679</v>
      </c>
      <c r="AA16" s="3" t="s">
        <v>678</v>
      </c>
      <c r="AC16" s="3"/>
      <c r="AD16" s="3"/>
      <c r="AE16" s="3"/>
      <c r="AF16" s="3"/>
      <c r="AG16" s="3"/>
      <c r="AH16" s="3"/>
      <c r="AI16" s="3"/>
      <c r="AJ16" s="3"/>
      <c r="AK16" s="3"/>
      <c r="AL16" s="3"/>
      <c r="AM16" s="3"/>
      <c r="AN16" s="3"/>
      <c r="AO16" s="3"/>
      <c r="AP16" s="3"/>
      <c r="AQ16" s="3"/>
      <c r="AR16" s="3"/>
      <c r="AS16" s="3"/>
      <c r="AT16" s="3"/>
    </row>
    <row r="17" spans="2:46" x14ac:dyDescent="0.35">
      <c r="C17" s="335" t="s">
        <v>12</v>
      </c>
      <c r="D17" s="335"/>
      <c r="G17" s="4"/>
      <c r="H17" s="22">
        <f>Percen_To_Hammer_Mill*C140</f>
        <v>2352.7377935999998</v>
      </c>
      <c r="I17" t="s">
        <v>517</v>
      </c>
      <c r="M17" s="6">
        <f>Corn_beer_Input_to_DD-M16-M18-Final_Anhydrous_Eth_Mass</f>
        <v>2584.0580769971916</v>
      </c>
      <c r="N17" s="3" t="s">
        <v>521</v>
      </c>
      <c r="O17" s="65"/>
      <c r="Q17" s="37" t="s">
        <v>635</v>
      </c>
      <c r="R17" s="22">
        <f>0.246*R9/1000</f>
        <v>10.017855292037032</v>
      </c>
      <c r="S17" s="3" t="s">
        <v>26</v>
      </c>
      <c r="T17" s="3"/>
      <c r="V17" s="3"/>
      <c r="W17" s="3"/>
      <c r="X17" s="3"/>
      <c r="Y17" s="61">
        <f>Y15/Y16</f>
        <v>42.250101079221224</v>
      </c>
      <c r="Z17" s="3" t="s">
        <v>680</v>
      </c>
      <c r="AA17" s="3"/>
      <c r="AB17" s="144">
        <f>Y17/(R3+Y17)</f>
        <v>2.3078667445110151E-2</v>
      </c>
      <c r="AC17" s="3" t="s">
        <v>681</v>
      </c>
      <c r="AD17" s="3"/>
      <c r="AE17" s="3"/>
      <c r="AF17" s="3"/>
      <c r="AG17" s="3"/>
      <c r="AH17" s="3"/>
      <c r="AI17" s="3"/>
      <c r="AJ17" s="3"/>
      <c r="AK17" s="3"/>
      <c r="AL17" s="3"/>
      <c r="AM17" s="3"/>
      <c r="AN17" s="3"/>
      <c r="AO17" s="3"/>
      <c r="AP17" s="3"/>
      <c r="AQ17" s="3"/>
      <c r="AR17" s="3"/>
      <c r="AS17" s="3"/>
      <c r="AT17" s="3"/>
    </row>
    <row r="18" spans="2:46" x14ac:dyDescent="0.35">
      <c r="B18" s="4" t="s">
        <v>579</v>
      </c>
      <c r="C18" s="11">
        <f>Inputs!K11</f>
        <v>34</v>
      </c>
      <c r="D18" t="s">
        <v>580</v>
      </c>
      <c r="L18" s="31"/>
      <c r="M18" s="22">
        <f>(0.146*C140)*(44/12)</f>
        <v>1298.45254176</v>
      </c>
      <c r="N18" s="3" t="s">
        <v>208</v>
      </c>
      <c r="O18" s="66" t="s">
        <v>520</v>
      </c>
      <c r="Q18" s="37" t="s">
        <v>675</v>
      </c>
      <c r="R18" s="22">
        <f>Y18</f>
        <v>11.161301174567939</v>
      </c>
      <c r="S18" s="3" t="s">
        <v>72</v>
      </c>
      <c r="T18" s="3"/>
      <c r="V18" s="3"/>
      <c r="W18" s="3"/>
      <c r="X18" s="3"/>
      <c r="Y18" s="22">
        <f>Y17/'Conversions Page'!D13</f>
        <v>11.161301174567939</v>
      </c>
      <c r="Z18" s="3" t="s">
        <v>682</v>
      </c>
      <c r="AA18" s="3"/>
      <c r="AB18" s="3"/>
      <c r="AC18" s="3"/>
      <c r="AD18" s="3"/>
      <c r="AE18" s="3"/>
      <c r="AF18" s="3"/>
      <c r="AG18" s="3"/>
      <c r="AH18" s="3"/>
      <c r="AI18" s="3"/>
      <c r="AJ18" s="3"/>
      <c r="AK18" s="3"/>
      <c r="AL18" s="3"/>
      <c r="AM18" s="3"/>
      <c r="AN18" s="3"/>
      <c r="AO18" s="3"/>
      <c r="AP18" s="3"/>
      <c r="AQ18" s="3"/>
      <c r="AR18" s="3"/>
      <c r="AS18" s="3"/>
      <c r="AT18" s="3"/>
    </row>
    <row r="19" spans="2:46" x14ac:dyDescent="0.35">
      <c r="B19" s="9"/>
      <c r="E19" s="10"/>
      <c r="G19" s="337" t="s">
        <v>2</v>
      </c>
      <c r="H19" s="337"/>
      <c r="I19" s="337"/>
      <c r="J19" s="337"/>
      <c r="L19" s="37" t="s">
        <v>225</v>
      </c>
      <c r="M19" s="22">
        <f>Kg_Ethanol_Per_ha+Gas_Denaturant</f>
        <v>1411.086443333515</v>
      </c>
      <c r="N19" s="3" t="s">
        <v>226</v>
      </c>
      <c r="O19" s="65"/>
      <c r="Q19" s="3" t="s">
        <v>17</v>
      </c>
      <c r="R19" s="3"/>
      <c r="S19" s="3">
        <v>12.72</v>
      </c>
      <c r="T19" s="3" t="s">
        <v>620</v>
      </c>
      <c r="V19" s="3"/>
      <c r="W19" s="3"/>
      <c r="X19" s="3"/>
      <c r="Y19" s="3"/>
      <c r="Z19" s="3"/>
      <c r="AA19" s="3"/>
      <c r="AB19" s="3"/>
      <c r="AC19" s="3"/>
      <c r="AD19" s="3"/>
      <c r="AE19" s="3"/>
      <c r="AF19" s="3"/>
      <c r="AG19" s="3"/>
      <c r="AH19" s="3"/>
      <c r="AI19" s="3"/>
      <c r="AJ19" s="3"/>
      <c r="AK19" s="3"/>
      <c r="AL19" s="3"/>
      <c r="AM19" s="3"/>
      <c r="AN19" s="3"/>
      <c r="AO19" s="3"/>
      <c r="AP19" s="3"/>
      <c r="AQ19" s="3"/>
      <c r="AR19" s="3"/>
      <c r="AS19" s="3"/>
      <c r="AT19" s="3"/>
    </row>
    <row r="20" spans="2:46" x14ac:dyDescent="0.35">
      <c r="C20" s="326" t="s">
        <v>30</v>
      </c>
      <c r="D20" s="326"/>
      <c r="H20" s="335" t="s">
        <v>12</v>
      </c>
      <c r="I20" s="335"/>
      <c r="L20" s="3"/>
      <c r="M20" s="246">
        <f>M44</f>
        <v>0</v>
      </c>
      <c r="N20" s="3" t="s">
        <v>534</v>
      </c>
      <c r="O20" s="65"/>
      <c r="Q20" s="3"/>
      <c r="R20" s="3"/>
      <c r="S20" s="3">
        <f>S19*'Conversions Page'!D9</f>
        <v>5.7687074829931975</v>
      </c>
      <c r="T20" s="3" t="s">
        <v>589</v>
      </c>
      <c r="V20" s="3"/>
      <c r="W20" s="3"/>
      <c r="X20" s="3"/>
      <c r="Y20" s="3"/>
      <c r="Z20" s="3"/>
      <c r="AA20" s="3"/>
      <c r="AB20" s="3"/>
      <c r="AC20" s="3"/>
      <c r="AD20" s="3"/>
      <c r="AE20" s="3"/>
      <c r="AF20" s="3"/>
      <c r="AG20" s="3"/>
      <c r="AH20" s="3"/>
      <c r="AI20" s="3"/>
      <c r="AJ20" s="3"/>
      <c r="AK20" s="3"/>
      <c r="AL20" s="3"/>
      <c r="AM20" s="3"/>
      <c r="AN20" s="3"/>
      <c r="AO20" s="3"/>
      <c r="AP20" s="3"/>
      <c r="AQ20" s="3"/>
      <c r="AR20" s="3"/>
      <c r="AS20" s="3"/>
      <c r="AT20" s="3"/>
    </row>
    <row r="21" spans="2:46" x14ac:dyDescent="0.35">
      <c r="C21" s="11">
        <f>C22/'Conversions Page'!D6</f>
        <v>2.8333333333333335</v>
      </c>
      <c r="D21" t="s">
        <v>572</v>
      </c>
      <c r="E21" s="12" t="s">
        <v>18</v>
      </c>
      <c r="G21" s="4" t="s">
        <v>104</v>
      </c>
      <c r="H21" s="22">
        <f>Size_Reduced_Biomass</f>
        <v>5396.1876000000002</v>
      </c>
      <c r="I21" t="s">
        <v>105</v>
      </c>
      <c r="Q21" s="3"/>
      <c r="S21" s="3"/>
      <c r="T21" s="3"/>
      <c r="V21" s="3"/>
      <c r="W21" s="3"/>
      <c r="X21" s="3"/>
      <c r="Y21" s="3"/>
      <c r="Z21" s="3"/>
      <c r="AA21" s="3"/>
      <c r="AB21" s="3"/>
      <c r="AC21" s="3"/>
      <c r="AD21" s="3"/>
      <c r="AE21" s="3"/>
      <c r="AF21" s="3"/>
      <c r="AG21" s="3"/>
      <c r="AH21" s="3"/>
      <c r="AI21" s="3"/>
      <c r="AJ21" s="3"/>
      <c r="AK21" s="3"/>
      <c r="AL21" s="3"/>
      <c r="AM21" s="3"/>
      <c r="AN21" s="3"/>
      <c r="AO21" s="3"/>
      <c r="AP21" s="3"/>
      <c r="AQ21" s="3"/>
      <c r="AR21" s="3"/>
      <c r="AS21" s="3"/>
      <c r="AT21" s="3"/>
    </row>
    <row r="22" spans="2:46" x14ac:dyDescent="0.35">
      <c r="C22" s="11">
        <f>C23*'Conversions Page'!D14</f>
        <v>7.0013083333333332</v>
      </c>
      <c r="D22" t="s">
        <v>228</v>
      </c>
      <c r="E22" s="15"/>
      <c r="G22" s="4" t="s">
        <v>353</v>
      </c>
      <c r="H22" s="22">
        <f>Biomass_Input_To_DAH*Ratio_Water_To_Stover</f>
        <v>21584.750400000001</v>
      </c>
      <c r="I22" t="s">
        <v>109</v>
      </c>
      <c r="J22" s="75"/>
      <c r="L22" s="3"/>
      <c r="M22" s="344" t="s">
        <v>522</v>
      </c>
      <c r="N22" s="344"/>
      <c r="O22" s="65" t="s">
        <v>523</v>
      </c>
      <c r="Q22" s="61"/>
      <c r="R22" s="3"/>
      <c r="S22" s="3"/>
      <c r="T22" s="3"/>
      <c r="V22" s="3"/>
      <c r="W22" s="3"/>
      <c r="X22" s="3"/>
      <c r="Y22" s="3"/>
      <c r="Z22" s="3"/>
      <c r="AA22" s="3"/>
      <c r="AB22" s="3"/>
      <c r="AC22" s="3"/>
      <c r="AD22" s="3"/>
      <c r="AE22" s="3"/>
      <c r="AF22" s="3"/>
      <c r="AG22" s="3"/>
      <c r="AH22" s="3"/>
      <c r="AI22" s="3"/>
      <c r="AJ22" s="3"/>
      <c r="AK22" s="3"/>
      <c r="AL22" s="3"/>
      <c r="AM22" s="3"/>
      <c r="AN22" s="3"/>
      <c r="AO22" s="3"/>
      <c r="AP22" s="3"/>
      <c r="AQ22" s="3"/>
      <c r="AR22" s="3"/>
      <c r="AS22" s="3"/>
      <c r="AT22" s="3"/>
    </row>
    <row r="23" spans="2:46" x14ac:dyDescent="0.35">
      <c r="C23" s="16">
        <f>'Process Model'!C24/'Conversions Page'!D15</f>
        <v>2281381.3246266022</v>
      </c>
      <c r="D23" t="s">
        <v>234</v>
      </c>
      <c r="G23" s="4" t="s">
        <v>107</v>
      </c>
      <c r="H23" s="60">
        <f>Dilution_Water_Added*Percent_Acid_By_Weight/10</f>
        <v>172.67800320000001</v>
      </c>
      <c r="I23" t="s">
        <v>110</v>
      </c>
      <c r="L23" s="3"/>
      <c r="M23" s="6">
        <f>(12.0107/44.01)*CO_2_Output_Vent</f>
        <v>354.35864447436569</v>
      </c>
      <c r="N23" s="21" t="s">
        <v>524</v>
      </c>
      <c r="O23" s="86">
        <f>M23/C140</f>
        <v>0.1460969794743619</v>
      </c>
      <c r="Q23" s="3"/>
      <c r="R23" s="3"/>
      <c r="S23" s="3"/>
      <c r="T23" s="3"/>
      <c r="V23" s="3"/>
      <c r="W23" s="3"/>
      <c r="X23" s="3"/>
      <c r="Y23" s="3"/>
      <c r="Z23" s="3"/>
      <c r="AA23" s="3"/>
      <c r="AB23" s="3"/>
      <c r="AC23" s="3"/>
      <c r="AD23" s="3"/>
      <c r="AE23" s="3"/>
      <c r="AF23" s="3"/>
      <c r="AG23" s="3"/>
      <c r="AH23" s="3"/>
      <c r="AI23" s="3"/>
      <c r="AJ23" s="3"/>
      <c r="AK23" s="3"/>
      <c r="AL23" s="3"/>
      <c r="AM23" s="3"/>
      <c r="AN23" s="3"/>
      <c r="AO23" s="3"/>
      <c r="AP23" s="3"/>
      <c r="AQ23" s="3"/>
      <c r="AR23" s="3"/>
      <c r="AS23" s="3"/>
      <c r="AT23" s="3"/>
    </row>
    <row r="24" spans="2:46" x14ac:dyDescent="0.35">
      <c r="C24" s="16">
        <f>C25/997</f>
        <v>8635.9636800547869</v>
      </c>
      <c r="D24" t="s">
        <v>543</v>
      </c>
      <c r="G24" s="4" t="s">
        <v>108</v>
      </c>
      <c r="H24" s="22">
        <f>Acid_Per_ha*H33</f>
        <v>59.969597416352123</v>
      </c>
      <c r="I24" t="s">
        <v>111</v>
      </c>
      <c r="L24" s="3"/>
      <c r="M24" s="6">
        <f>Final_Anhydrous_Eth_Mass*(24.0214/46.01)</f>
        <v>736.71532036278415</v>
      </c>
      <c r="N24" s="21" t="s">
        <v>525</v>
      </c>
      <c r="O24" s="86">
        <f>M24/C140</f>
        <v>0.3037371451658652</v>
      </c>
      <c r="Q24" s="3"/>
      <c r="R24" s="3"/>
      <c r="S24" s="3"/>
      <c r="T24" s="3"/>
      <c r="V24" s="3"/>
      <c r="W24" s="3"/>
      <c r="X24" s="3"/>
      <c r="Y24" s="3"/>
      <c r="Z24" s="3"/>
      <c r="AA24" s="3"/>
      <c r="AB24" s="3"/>
      <c r="AC24" s="3"/>
      <c r="AD24" s="3"/>
      <c r="AE24" s="3"/>
      <c r="AF24" s="3"/>
      <c r="AG24" s="3"/>
      <c r="AH24" s="3"/>
      <c r="AI24" s="3"/>
      <c r="AJ24" s="3"/>
      <c r="AK24" s="3"/>
      <c r="AL24" s="3"/>
      <c r="AM24" s="3"/>
      <c r="AN24" s="3"/>
      <c r="AO24" s="3"/>
      <c r="AP24" s="3"/>
      <c r="AQ24" s="3"/>
      <c r="AR24" s="3"/>
      <c r="AS24" s="3"/>
      <c r="AT24" s="3"/>
    </row>
    <row r="25" spans="2:46" x14ac:dyDescent="0.35">
      <c r="C25" s="16">
        <f>Inputs!K15</f>
        <v>8610055.7890146226</v>
      </c>
      <c r="D25" t="s">
        <v>8</v>
      </c>
      <c r="G25" s="4" t="s">
        <v>124</v>
      </c>
      <c r="H25" s="6">
        <f>MJ_DAH_Per_ha</f>
        <v>14895.508901012641</v>
      </c>
      <c r="I25" t="s">
        <v>112</v>
      </c>
      <c r="J25">
        <f>H25/(Dilution_Water_Added+Biomass_Input_To_DAH)</f>
        <v>0.55207528000000006</v>
      </c>
      <c r="L25" s="3"/>
      <c r="M25" s="22">
        <f>H16</f>
        <v>72.7650864000002</v>
      </c>
      <c r="N25" s="21" t="s">
        <v>526</v>
      </c>
      <c r="O25" s="87">
        <f>M25/C140</f>
        <v>3.0000000000000082E-2</v>
      </c>
      <c r="Q25" s="3"/>
      <c r="R25" s="61">
        <f>M44</f>
        <v>0</v>
      </c>
      <c r="S25" s="3" t="s">
        <v>1050</v>
      </c>
      <c r="T25" s="3"/>
      <c r="V25" s="3"/>
      <c r="W25" s="3"/>
      <c r="X25" s="3"/>
      <c r="Y25" s="3"/>
      <c r="Z25" s="3"/>
      <c r="AA25" s="3"/>
      <c r="AB25" s="3"/>
      <c r="AC25" s="3"/>
      <c r="AD25" s="3"/>
      <c r="AE25" s="3"/>
      <c r="AF25" s="3"/>
      <c r="AG25" s="3"/>
      <c r="AH25" s="3"/>
      <c r="AI25" s="3"/>
      <c r="AJ25" s="3"/>
      <c r="AK25" s="3"/>
      <c r="AL25" s="3"/>
      <c r="AM25" s="3"/>
      <c r="AN25" s="3"/>
      <c r="AO25" s="3"/>
      <c r="AP25" s="3"/>
      <c r="AQ25" s="3"/>
      <c r="AR25" s="3"/>
      <c r="AS25" s="3"/>
      <c r="AT25" s="3"/>
    </row>
    <row r="26" spans="2:46" x14ac:dyDescent="0.35">
      <c r="C26" s="16">
        <f>Inputs!A16</f>
        <v>4664015.4830839848</v>
      </c>
      <c r="D26" t="s">
        <v>581</v>
      </c>
      <c r="G26" s="4" t="s">
        <v>334</v>
      </c>
      <c r="H26" s="6">
        <f>MJ_per_ha_300</f>
        <v>256.48652525520021</v>
      </c>
      <c r="I26" t="s">
        <v>112</v>
      </c>
      <c r="J26">
        <f>H26/(Dilution_Water_Added+Biomass_Input_To_DAH)</f>
        <v>9.506212321276606E-3</v>
      </c>
      <c r="L26" s="3"/>
      <c r="M26" s="22">
        <f>H65</f>
        <v>63.52392042720021</v>
      </c>
      <c r="N26" s="21" t="s">
        <v>527</v>
      </c>
      <c r="O26" s="87">
        <f>M26/C140</f>
        <v>2.6190000000000085E-2</v>
      </c>
      <c r="Q26" s="3"/>
      <c r="R26" s="91">
        <f>-'Process Model'!R16</f>
        <v>-442.16803800055965</v>
      </c>
      <c r="S26" s="3" t="s">
        <v>1051</v>
      </c>
      <c r="T26" s="3"/>
      <c r="V26" s="3"/>
      <c r="W26" s="3"/>
      <c r="X26" s="3"/>
      <c r="Y26" s="3"/>
      <c r="Z26" s="3"/>
      <c r="AA26" s="3"/>
      <c r="AB26" s="3"/>
      <c r="AC26" s="3"/>
      <c r="AD26" s="3"/>
      <c r="AE26" s="3"/>
      <c r="AF26" s="3"/>
      <c r="AG26" s="3"/>
      <c r="AH26" s="3"/>
      <c r="AI26" s="3"/>
      <c r="AJ26" s="3"/>
      <c r="AK26" s="3"/>
      <c r="AL26" s="3"/>
      <c r="AM26" s="3"/>
      <c r="AN26" s="3"/>
      <c r="AO26" s="3"/>
      <c r="AP26" s="3"/>
      <c r="AQ26" s="3"/>
      <c r="AR26" s="3"/>
      <c r="AS26" s="3"/>
      <c r="AT26" s="3"/>
    </row>
    <row r="27" spans="2:46" x14ac:dyDescent="0.35">
      <c r="G27" s="4"/>
      <c r="H27" s="6"/>
      <c r="L27" s="3"/>
      <c r="M27" s="22">
        <f>Burnable_BM_kgs*O27</f>
        <v>1276.4623505651787</v>
      </c>
      <c r="N27" s="21" t="s">
        <v>528</v>
      </c>
      <c r="O27" s="88">
        <f>1-SUM(O23:O26)</f>
        <v>0.49397587535977272</v>
      </c>
      <c r="Q27" s="3"/>
      <c r="R27" s="91">
        <f>R25+R26</f>
        <v>-442.16803800055965</v>
      </c>
      <c r="S27" s="3" t="s">
        <v>1052</v>
      </c>
      <c r="T27" s="3"/>
      <c r="V27" s="3"/>
      <c r="W27" s="3"/>
      <c r="X27" s="3"/>
      <c r="Y27" s="3"/>
      <c r="Z27" s="3"/>
      <c r="AA27" s="3"/>
      <c r="AB27" s="3"/>
      <c r="AC27" s="3"/>
      <c r="AD27" s="3"/>
      <c r="AE27" s="3"/>
      <c r="AF27" s="3"/>
      <c r="AG27" s="3"/>
      <c r="AH27" s="3"/>
      <c r="AI27" s="3"/>
      <c r="AJ27" s="3"/>
      <c r="AK27" s="3"/>
      <c r="AL27" s="3"/>
      <c r="AM27" s="3"/>
      <c r="AN27" s="3"/>
      <c r="AO27" s="3"/>
      <c r="AP27" s="3"/>
      <c r="AQ27" s="3"/>
      <c r="AR27" s="3"/>
      <c r="AS27" s="3"/>
      <c r="AT27" s="3"/>
    </row>
    <row r="28" spans="2:46" x14ac:dyDescent="0.35">
      <c r="C28" s="335" t="s">
        <v>27</v>
      </c>
      <c r="D28" s="335"/>
      <c r="G28" s="4"/>
      <c r="H28" s="326" t="s">
        <v>30</v>
      </c>
      <c r="I28" s="326"/>
      <c r="L28" s="3"/>
      <c r="M28" s="3"/>
      <c r="N28" s="89" t="s">
        <v>532</v>
      </c>
      <c r="O28" s="88">
        <v>0.51800000000000002</v>
      </c>
      <c r="Q28" s="3"/>
      <c r="R28" s="61"/>
      <c r="S28" s="3"/>
      <c r="T28" s="3"/>
      <c r="V28" s="3"/>
      <c r="W28" s="3"/>
      <c r="X28" s="3"/>
      <c r="Y28" s="3"/>
      <c r="Z28" s="3"/>
      <c r="AA28" s="3"/>
      <c r="AB28" s="3"/>
      <c r="AC28" s="3"/>
      <c r="AD28" s="3"/>
      <c r="AE28" s="3"/>
      <c r="AF28" s="3"/>
      <c r="AG28" s="3"/>
      <c r="AH28" s="3"/>
      <c r="AI28" s="3"/>
      <c r="AJ28" s="3"/>
      <c r="AK28" s="3"/>
      <c r="AL28" s="3"/>
      <c r="AM28" s="3"/>
      <c r="AN28" s="3"/>
      <c r="AO28" s="3"/>
      <c r="AP28" s="3"/>
      <c r="AQ28" s="3"/>
      <c r="AR28" s="3"/>
      <c r="AS28" s="3"/>
      <c r="AT28" s="3"/>
    </row>
    <row r="29" spans="2:46" x14ac:dyDescent="0.35">
      <c r="B29" s="4"/>
      <c r="C29" s="28">
        <f>Input_Hectares</f>
        <v>1</v>
      </c>
      <c r="D29" s="21" t="s">
        <v>44</v>
      </c>
      <c r="G29" s="4"/>
      <c r="H29" s="6">
        <v>4</v>
      </c>
      <c r="I29" t="s">
        <v>113</v>
      </c>
      <c r="J29" s="25" t="s">
        <v>125</v>
      </c>
      <c r="L29" s="3"/>
      <c r="M29" s="3"/>
      <c r="N29" s="3"/>
      <c r="O29" s="88"/>
      <c r="Q29" s="3"/>
      <c r="R29" s="3">
        <f>24*365</f>
        <v>8760</v>
      </c>
      <c r="S29" s="3" t="s">
        <v>1053</v>
      </c>
      <c r="T29" s="3"/>
      <c r="V29" s="3"/>
      <c r="W29" s="3"/>
      <c r="X29" s="3"/>
      <c r="Y29" s="3"/>
      <c r="Z29" s="3"/>
      <c r="AA29" s="3"/>
      <c r="AB29" s="3"/>
      <c r="AC29" s="3"/>
      <c r="AD29" s="3"/>
      <c r="AE29" s="3"/>
      <c r="AF29" s="3"/>
      <c r="AG29" s="3"/>
      <c r="AH29" s="3"/>
      <c r="AI29" s="3"/>
      <c r="AJ29" s="3"/>
      <c r="AK29" s="3"/>
      <c r="AL29" s="3"/>
      <c r="AM29" s="3"/>
      <c r="AN29" s="3"/>
      <c r="AO29" s="3"/>
      <c r="AP29" s="3"/>
      <c r="AQ29" s="3"/>
      <c r="AR29" s="3"/>
      <c r="AS29" s="3"/>
      <c r="AT29" s="3"/>
    </row>
    <row r="30" spans="2:46" x14ac:dyDescent="0.35">
      <c r="B30" s="4"/>
      <c r="C30" s="28">
        <f>C26-Inputs!K17</f>
        <v>4651754.2991693364</v>
      </c>
      <c r="D30" s="21" t="s">
        <v>370</v>
      </c>
      <c r="G30" s="4"/>
      <c r="H30" s="33">
        <v>0.08</v>
      </c>
      <c r="I30" t="s">
        <v>114</v>
      </c>
      <c r="L30" s="3"/>
      <c r="M30" s="22">
        <f>C140</f>
        <v>2425.50288</v>
      </c>
      <c r="N30" s="3" t="s">
        <v>530</v>
      </c>
      <c r="O30" s="65"/>
      <c r="Q30" s="3"/>
      <c r="R30" s="28">
        <f>Final_Gal_EtOH</f>
        <v>472.45852657821541</v>
      </c>
      <c r="S30" s="3" t="s">
        <v>234</v>
      </c>
      <c r="T30" s="3"/>
      <c r="V30" s="3"/>
      <c r="W30" s="3"/>
      <c r="X30" s="3"/>
      <c r="Y30" s="3"/>
      <c r="Z30" s="3"/>
      <c r="AA30" s="3"/>
      <c r="AB30" s="3"/>
      <c r="AC30" s="3"/>
      <c r="AD30" s="3"/>
      <c r="AE30" s="3"/>
      <c r="AF30" s="3"/>
      <c r="AG30" s="3"/>
      <c r="AH30" s="3"/>
      <c r="AI30" s="3"/>
      <c r="AJ30" s="3"/>
      <c r="AK30" s="3"/>
      <c r="AL30" s="3"/>
      <c r="AM30" s="3"/>
      <c r="AN30" s="3"/>
      <c r="AO30" s="3"/>
      <c r="AP30" s="3"/>
      <c r="AQ30" s="3"/>
      <c r="AR30" s="3"/>
      <c r="AS30" s="3"/>
      <c r="AT30" s="3"/>
    </row>
    <row r="31" spans="2:46" x14ac:dyDescent="0.35">
      <c r="B31" s="4"/>
      <c r="D31" s="21"/>
      <c r="G31" s="4"/>
      <c r="H31">
        <v>98.078999999999994</v>
      </c>
      <c r="I31" t="s">
        <v>115</v>
      </c>
      <c r="L31" s="3"/>
      <c r="M31" s="22">
        <f>SUM(M23:M27)</f>
        <v>2503.8253222295289</v>
      </c>
      <c r="N31" s="3" t="s">
        <v>529</v>
      </c>
      <c r="O31" s="65" t="s">
        <v>533</v>
      </c>
      <c r="Q31" s="3"/>
      <c r="R31" s="3"/>
      <c r="S31" s="3"/>
      <c r="T31" s="3"/>
      <c r="V31" s="3"/>
      <c r="W31" s="3"/>
      <c r="X31" s="3"/>
      <c r="Y31" s="3"/>
      <c r="Z31" s="3"/>
      <c r="AA31" s="3"/>
      <c r="AB31" s="3"/>
      <c r="AC31" s="3"/>
      <c r="AD31" s="3"/>
      <c r="AE31" s="3"/>
      <c r="AF31" s="3"/>
      <c r="AG31" s="3"/>
      <c r="AH31" s="3"/>
      <c r="AI31" s="3"/>
      <c r="AJ31" s="3"/>
      <c r="AK31" s="3"/>
      <c r="AL31" s="3"/>
      <c r="AM31" s="3"/>
      <c r="AN31" s="3"/>
      <c r="AO31" s="3"/>
      <c r="AP31" s="3"/>
      <c r="AQ31" s="3"/>
      <c r="AR31" s="3"/>
      <c r="AS31" s="3"/>
      <c r="AT31" s="3"/>
    </row>
    <row r="32" spans="2:46" x14ac:dyDescent="0.35">
      <c r="B32" s="337" t="s">
        <v>28</v>
      </c>
      <c r="C32" s="337"/>
      <c r="D32" s="337"/>
      <c r="E32" s="337"/>
      <c r="G32" s="4"/>
      <c r="H32">
        <v>17.030999999999999</v>
      </c>
      <c r="I32" t="s">
        <v>116</v>
      </c>
      <c r="L32" s="3"/>
      <c r="M32" s="22">
        <f>M30-M31</f>
        <v>-78.32244222952886</v>
      </c>
      <c r="N32" s="3" t="s">
        <v>531</v>
      </c>
      <c r="O32" s="87">
        <f>M31/M30</f>
        <v>1.0322912179883823</v>
      </c>
      <c r="Q32" s="3"/>
      <c r="R32" s="3">
        <f>R25/R29</f>
        <v>0</v>
      </c>
      <c r="S32" s="3" t="s">
        <v>1054</v>
      </c>
      <c r="T32" s="3"/>
      <c r="V32" s="3"/>
      <c r="W32" s="3">
        <f>17/3.6</f>
        <v>4.7222222222222223</v>
      </c>
      <c r="X32" s="3">
        <f>W32*Burnable_BM_kgs</f>
        <v>12202.49647470896</v>
      </c>
      <c r="Y32" s="3"/>
      <c r="Z32" s="3"/>
      <c r="AA32" s="3"/>
      <c r="AB32" s="3"/>
      <c r="AC32" s="3"/>
      <c r="AD32" s="3"/>
      <c r="AE32" s="3"/>
      <c r="AF32" s="3"/>
      <c r="AG32" s="3"/>
      <c r="AH32" s="3"/>
      <c r="AI32" s="3"/>
      <c r="AJ32" s="3"/>
      <c r="AK32" s="3"/>
      <c r="AL32" s="3"/>
      <c r="AM32" s="3"/>
      <c r="AN32" s="3"/>
      <c r="AO32" s="3"/>
      <c r="AP32" s="3"/>
      <c r="AQ32" s="3"/>
      <c r="AR32" s="3"/>
      <c r="AS32" s="3"/>
      <c r="AT32" s="3"/>
    </row>
    <row r="33" spans="2:46" x14ac:dyDescent="0.35">
      <c r="B33" s="4"/>
      <c r="C33" s="335" t="s">
        <v>12</v>
      </c>
      <c r="D33" s="335"/>
      <c r="G33" s="4"/>
      <c r="H33" s="6">
        <f>Molar_Mass_nh3*2/Molar_mass_h2so4</f>
        <v>0.34729146912183034</v>
      </c>
      <c r="I33" t="s">
        <v>117</v>
      </c>
      <c r="L33" s="3"/>
      <c r="M33" s="3"/>
      <c r="N33" s="3"/>
      <c r="O33" s="65"/>
      <c r="Q33" s="3"/>
      <c r="R33" s="3">
        <f>R32/R30</f>
        <v>0</v>
      </c>
      <c r="S33" s="3" t="s">
        <v>1046</v>
      </c>
      <c r="T33" s="3"/>
      <c r="V33" s="3"/>
      <c r="W33" s="3"/>
      <c r="X33" s="3"/>
      <c r="Y33" s="3"/>
      <c r="Z33" s="3"/>
      <c r="AA33" s="3"/>
      <c r="AB33" s="3"/>
      <c r="AC33" s="3"/>
      <c r="AD33" s="3"/>
      <c r="AE33" s="3"/>
      <c r="AF33" s="3"/>
      <c r="AG33" s="3"/>
      <c r="AH33" s="3"/>
      <c r="AI33" s="3"/>
      <c r="AJ33" s="3"/>
      <c r="AK33" s="3"/>
      <c r="AL33" s="3"/>
      <c r="AM33" s="3"/>
      <c r="AN33" s="3"/>
      <c r="AO33" s="3"/>
      <c r="AP33" s="3"/>
      <c r="AQ33" s="3"/>
      <c r="AR33" s="3"/>
      <c r="AS33" s="3"/>
      <c r="AT33" s="3"/>
    </row>
    <row r="34" spans="2:46" x14ac:dyDescent="0.35">
      <c r="B34" s="4"/>
      <c r="C34" s="6">
        <f>Inputs!A6</f>
        <v>161.37</v>
      </c>
      <c r="D34" t="s">
        <v>47</v>
      </c>
      <c r="E34" s="12" t="s">
        <v>535</v>
      </c>
      <c r="H34">
        <v>4.1840000000000002</v>
      </c>
      <c r="I34" t="s">
        <v>118</v>
      </c>
      <c r="J34" s="12" t="s">
        <v>126</v>
      </c>
      <c r="L34" s="3"/>
      <c r="M34" s="3"/>
      <c r="N34" s="3"/>
      <c r="O34" s="65"/>
      <c r="Q34" s="3"/>
      <c r="R34">
        <f>R33*1000</f>
        <v>0</v>
      </c>
      <c r="S34" s="3" t="s">
        <v>1047</v>
      </c>
      <c r="T34" s="3"/>
      <c r="V34" s="3"/>
      <c r="W34" s="3"/>
      <c r="X34" s="3"/>
      <c r="Y34" s="3"/>
      <c r="Z34" s="3"/>
      <c r="AA34" s="3"/>
      <c r="AB34" s="3"/>
      <c r="AC34" s="3"/>
      <c r="AD34" s="3"/>
      <c r="AE34" s="3"/>
      <c r="AF34" s="3"/>
      <c r="AG34" s="3"/>
      <c r="AH34" s="3"/>
      <c r="AI34" s="3"/>
      <c r="AJ34" s="3"/>
      <c r="AK34" s="3"/>
      <c r="AL34" s="3"/>
      <c r="AM34" s="3"/>
      <c r="AN34" s="3"/>
      <c r="AO34" s="3"/>
      <c r="AP34" s="3"/>
      <c r="AQ34" s="3"/>
      <c r="AR34" s="3"/>
      <c r="AS34" s="3"/>
      <c r="AT34" s="3"/>
    </row>
    <row r="35" spans="2:46" x14ac:dyDescent="0.35">
      <c r="B35" s="4"/>
      <c r="C35" s="6">
        <f>Inputs!A7</f>
        <v>15.65</v>
      </c>
      <c r="D35" t="s">
        <v>562</v>
      </c>
      <c r="H35">
        <v>1.03</v>
      </c>
      <c r="I35" t="s">
        <v>123</v>
      </c>
      <c r="L35" s="3"/>
      <c r="M35" s="3"/>
      <c r="N35" s="3"/>
      <c r="O35" s="65"/>
      <c r="Q35" s="3"/>
      <c r="R35" s="3"/>
      <c r="S35" s="3"/>
      <c r="T35" s="3"/>
      <c r="V35" s="3"/>
      <c r="W35" s="3"/>
      <c r="X35" s="3"/>
      <c r="Y35" s="3"/>
      <c r="Z35" s="3"/>
      <c r="AA35" s="3"/>
      <c r="AB35" s="3"/>
      <c r="AC35" s="3"/>
      <c r="AD35" s="3"/>
      <c r="AE35" s="3"/>
      <c r="AF35" s="3"/>
      <c r="AG35" s="3"/>
      <c r="AH35" s="3"/>
      <c r="AI35" s="3"/>
      <c r="AJ35" s="3"/>
      <c r="AK35" s="3"/>
      <c r="AL35" s="3"/>
      <c r="AM35" s="3"/>
      <c r="AN35" s="3"/>
      <c r="AO35" s="3"/>
      <c r="AP35" s="3"/>
      <c r="AQ35" s="3"/>
      <c r="AR35" s="3"/>
      <c r="AS35" s="3"/>
      <c r="AT35" s="3"/>
    </row>
    <row r="36" spans="2:46" x14ac:dyDescent="0.35">
      <c r="B36" s="4"/>
      <c r="C36" s="6">
        <f>Inputs!A8</f>
        <v>76.09</v>
      </c>
      <c r="D36" t="s">
        <v>563</v>
      </c>
      <c r="H36">
        <v>1.34</v>
      </c>
      <c r="I36" t="s">
        <v>119</v>
      </c>
      <c r="L36" s="337" t="s">
        <v>697</v>
      </c>
      <c r="M36" s="337"/>
      <c r="N36" s="337"/>
      <c r="O36" s="337"/>
      <c r="Q36" s="3"/>
      <c r="R36" s="3">
        <f>R34*61000000</f>
        <v>0</v>
      </c>
      <c r="S36" s="3" t="s">
        <v>1055</v>
      </c>
      <c r="T36" s="3"/>
      <c r="V36" s="3"/>
      <c r="W36" s="3"/>
      <c r="X36" s="3"/>
      <c r="Y36" s="3"/>
      <c r="Z36" s="3"/>
      <c r="AA36" s="3"/>
      <c r="AB36" s="3"/>
      <c r="AC36" s="3"/>
      <c r="AD36" s="3"/>
      <c r="AE36" s="3"/>
      <c r="AF36" s="3"/>
      <c r="AG36" s="3"/>
      <c r="AH36" s="3"/>
      <c r="AI36" s="3"/>
      <c r="AJ36" s="3"/>
      <c r="AK36" s="3"/>
      <c r="AL36" s="3"/>
      <c r="AM36" s="3"/>
      <c r="AN36" s="3"/>
      <c r="AO36" s="3"/>
      <c r="AP36" s="3"/>
      <c r="AQ36" s="3"/>
      <c r="AR36" s="3"/>
      <c r="AS36" s="3"/>
      <c r="AT36" s="3"/>
    </row>
    <row r="37" spans="2:46" x14ac:dyDescent="0.35">
      <c r="B37" s="4"/>
      <c r="H37">
        <v>175</v>
      </c>
      <c r="I37" t="s">
        <v>120</v>
      </c>
      <c r="L37" s="3"/>
      <c r="M37" s="341" t="s">
        <v>12</v>
      </c>
      <c r="N37" s="341"/>
      <c r="O37" s="65"/>
      <c r="Q37" s="3"/>
      <c r="R37" s="3">
        <f>ROUND(R36/1000000,2)</f>
        <v>0</v>
      </c>
      <c r="S37" s="3" t="s">
        <v>1048</v>
      </c>
      <c r="T37" s="3"/>
      <c r="V37" s="3"/>
      <c r="W37" s="3"/>
      <c r="X37" s="3"/>
      <c r="Y37" s="3"/>
      <c r="Z37" s="3"/>
      <c r="AA37" s="3"/>
      <c r="AB37" s="3"/>
      <c r="AC37" s="3"/>
      <c r="AD37" s="3"/>
      <c r="AE37" s="3"/>
      <c r="AF37" s="3"/>
      <c r="AG37" s="3"/>
      <c r="AH37" s="3"/>
      <c r="AI37" s="3"/>
      <c r="AJ37" s="3"/>
      <c r="AK37" s="3"/>
      <c r="AL37" s="3"/>
      <c r="AM37" s="3"/>
      <c r="AN37" s="3"/>
      <c r="AO37" s="3"/>
      <c r="AP37" s="3"/>
      <c r="AQ37" s="3"/>
      <c r="AR37" s="3"/>
      <c r="AS37" s="3"/>
      <c r="AT37" s="3"/>
    </row>
    <row r="38" spans="2:46" x14ac:dyDescent="0.35">
      <c r="B38" s="4"/>
      <c r="C38" s="326" t="s">
        <v>30</v>
      </c>
      <c r="D38" s="326"/>
      <c r="H38">
        <v>20</v>
      </c>
      <c r="I38" t="s">
        <v>121</v>
      </c>
      <c r="L38" s="3"/>
      <c r="M38" s="6">
        <f>Burnable_BM_kgs</f>
        <v>2584.0580769971916</v>
      </c>
      <c r="N38" s="3" t="s">
        <v>521</v>
      </c>
      <c r="O38" s="65"/>
      <c r="Q38" s="3"/>
      <c r="R38" s="79"/>
      <c r="S38" s="3"/>
      <c r="T38" s="3"/>
      <c r="V38" s="3"/>
      <c r="W38" s="3"/>
      <c r="X38" s="3"/>
      <c r="Y38" s="3"/>
      <c r="Z38" s="3"/>
      <c r="AA38" s="3"/>
      <c r="AB38" s="3"/>
      <c r="AC38" s="3"/>
      <c r="AD38" s="3"/>
      <c r="AE38" s="3"/>
      <c r="AF38" s="3"/>
      <c r="AG38" s="3"/>
      <c r="AH38" s="3"/>
      <c r="AI38" s="3"/>
      <c r="AJ38" s="3"/>
      <c r="AK38" s="3"/>
      <c r="AL38" s="3"/>
      <c r="AM38" s="3"/>
      <c r="AN38" s="3"/>
      <c r="AO38" s="3"/>
      <c r="AP38" s="3"/>
      <c r="AQ38" s="3"/>
      <c r="AR38" s="3"/>
      <c r="AS38" s="3"/>
      <c r="AT38" s="3"/>
    </row>
    <row r="39" spans="2:46" x14ac:dyDescent="0.35">
      <c r="C39">
        <v>144</v>
      </c>
      <c r="D39" t="s">
        <v>86</v>
      </c>
      <c r="E39" s="12" t="s">
        <v>85</v>
      </c>
      <c r="H39" s="6">
        <f>((Dilution_Water_Added*C_P_Water*(Final_Temp-Initial_Temp))+(Biomass_Input_To_DAH*C_P_Stover*(Final_Temp-Initial_Temp))+(Acid_Per_ha*C_P_H2so4*(Final_Temp-Initial_Temp)))/1000</f>
        <v>14895.508901012641</v>
      </c>
      <c r="I39" t="s">
        <v>122</v>
      </c>
      <c r="L39" s="37" t="s">
        <v>597</v>
      </c>
      <c r="M39" s="6">
        <v>16.739999999999998</v>
      </c>
      <c r="N39" s="3" t="s">
        <v>598</v>
      </c>
      <c r="O39" s="76"/>
      <c r="Q39" s="3"/>
      <c r="R39" s="61">
        <v>6.3</v>
      </c>
      <c r="S39" s="3" t="s">
        <v>1048</v>
      </c>
      <c r="T39" s="3"/>
      <c r="V39" s="3"/>
      <c r="W39" s="3"/>
      <c r="X39" s="3"/>
      <c r="Y39" s="3"/>
      <c r="Z39" s="3"/>
      <c r="AA39" s="3"/>
      <c r="AB39" s="3"/>
      <c r="AC39" s="3"/>
      <c r="AD39" s="3"/>
      <c r="AE39" s="3"/>
      <c r="AF39" s="3"/>
      <c r="AG39" s="3"/>
      <c r="AH39" s="3"/>
      <c r="AI39" s="3"/>
      <c r="AJ39" s="3"/>
      <c r="AK39" s="3"/>
      <c r="AL39" s="3"/>
      <c r="AM39" s="3"/>
      <c r="AN39" s="3"/>
      <c r="AO39" s="3"/>
      <c r="AP39" s="3"/>
      <c r="AQ39" s="3"/>
      <c r="AR39" s="3"/>
      <c r="AS39" s="3"/>
      <c r="AT39" s="3"/>
    </row>
    <row r="40" spans="2:46" x14ac:dyDescent="0.35">
      <c r="C40">
        <v>64</v>
      </c>
      <c r="D40" t="s">
        <v>88</v>
      </c>
      <c r="E40" s="12"/>
      <c r="L40" s="3"/>
      <c r="M40" s="3"/>
      <c r="N40" s="3"/>
      <c r="O40" s="65"/>
      <c r="Q40" s="3"/>
      <c r="R40" s="79">
        <f>R39*1000000</f>
        <v>6300000</v>
      </c>
      <c r="S40" s="3" t="s">
        <v>1055</v>
      </c>
      <c r="T40" s="3"/>
      <c r="V40" s="3"/>
      <c r="W40" s="3"/>
      <c r="X40" s="3"/>
      <c r="Y40" s="3"/>
      <c r="Z40" s="3"/>
      <c r="AA40" s="3"/>
      <c r="AB40" s="3"/>
      <c r="AC40" s="3"/>
      <c r="AD40" s="3"/>
      <c r="AE40" s="3"/>
      <c r="AF40" s="3"/>
      <c r="AG40" s="3"/>
      <c r="AH40" s="3"/>
      <c r="AI40" s="3"/>
      <c r="AJ40" s="3"/>
      <c r="AK40" s="3"/>
      <c r="AL40" s="3"/>
      <c r="AM40" s="3"/>
      <c r="AN40" s="3"/>
      <c r="AO40" s="3"/>
      <c r="AP40" s="3"/>
      <c r="AQ40" s="3"/>
      <c r="AR40" s="3"/>
      <c r="AS40" s="3"/>
      <c r="AT40" s="3"/>
    </row>
    <row r="41" spans="2:46" x14ac:dyDescent="0.35">
      <c r="C41">
        <v>82</v>
      </c>
      <c r="D41" t="s">
        <v>87</v>
      </c>
      <c r="G41" s="326" t="s">
        <v>127</v>
      </c>
      <c r="H41" s="326"/>
      <c r="I41" s="326"/>
      <c r="J41" s="326"/>
      <c r="L41" s="37" t="s">
        <v>1086</v>
      </c>
      <c r="M41" s="28">
        <v>41</v>
      </c>
      <c r="N41" s="3" t="s">
        <v>1048</v>
      </c>
      <c r="O41" s="65"/>
      <c r="Q41" s="3"/>
      <c r="R41" s="79">
        <f>R40/61000000</f>
        <v>0.10327868852459017</v>
      </c>
      <c r="S41" s="3" t="s">
        <v>1047</v>
      </c>
      <c r="T41" s="3"/>
      <c r="V41" s="3"/>
      <c r="W41" s="3"/>
      <c r="X41" s="3"/>
      <c r="Y41" s="3"/>
      <c r="Z41" s="3"/>
      <c r="AA41" s="3"/>
      <c r="AB41" s="3"/>
      <c r="AC41" s="3"/>
      <c r="AD41" s="3"/>
      <c r="AE41" s="3"/>
      <c r="AF41" s="3"/>
      <c r="AG41" s="3"/>
      <c r="AH41" s="3"/>
      <c r="AI41" s="3"/>
      <c r="AJ41" s="3"/>
      <c r="AK41" s="3"/>
      <c r="AL41" s="3"/>
      <c r="AM41" s="3"/>
      <c r="AN41" s="3"/>
      <c r="AO41" s="3"/>
      <c r="AP41" s="3"/>
      <c r="AQ41" s="3"/>
      <c r="AR41" s="3"/>
      <c r="AS41" s="3"/>
      <c r="AT41" s="3"/>
    </row>
    <row r="42" spans="2:46" x14ac:dyDescent="0.35">
      <c r="H42">
        <v>0.41049999999999998</v>
      </c>
      <c r="I42" t="s">
        <v>128</v>
      </c>
      <c r="L42" s="37" t="s">
        <v>1087</v>
      </c>
      <c r="M42" s="28">
        <v>28</v>
      </c>
      <c r="N42" s="3" t="s">
        <v>1048</v>
      </c>
      <c r="O42" s="65"/>
      <c r="Q42" s="3"/>
      <c r="R42" s="79">
        <f>R41/1000</f>
        <v>1.0327868852459018E-4</v>
      </c>
      <c r="S42" s="3" t="s">
        <v>1046</v>
      </c>
      <c r="T42" s="3"/>
      <c r="V42" s="3"/>
      <c r="W42" s="3"/>
      <c r="X42" s="3"/>
      <c r="Y42" s="3"/>
      <c r="Z42" s="3"/>
      <c r="AA42" s="3"/>
      <c r="AB42" s="3"/>
      <c r="AC42" s="3"/>
      <c r="AD42" s="3"/>
      <c r="AE42" s="3"/>
      <c r="AF42" s="3"/>
      <c r="AG42" s="3"/>
      <c r="AH42" s="3"/>
      <c r="AI42" s="3"/>
      <c r="AJ42" s="3"/>
      <c r="AK42" s="3"/>
      <c r="AL42" s="3"/>
      <c r="AM42" s="3"/>
      <c r="AN42" s="3"/>
      <c r="AO42" s="3"/>
      <c r="AP42" s="3"/>
      <c r="AQ42" s="3"/>
      <c r="AR42" s="3"/>
      <c r="AS42" s="3"/>
      <c r="AT42" s="3"/>
    </row>
    <row r="43" spans="2:46" x14ac:dyDescent="0.35">
      <c r="C43" s="5">
        <f>C39*'Conversions Page'!D6*'Conversions Page'!D9</f>
        <v>161.37469387755098</v>
      </c>
      <c r="D43" t="s">
        <v>47</v>
      </c>
      <c r="H43">
        <v>0.31390000000000001</v>
      </c>
      <c r="I43" t="s">
        <v>129</v>
      </c>
      <c r="L43" s="23" t="s">
        <v>1088</v>
      </c>
      <c r="M43" s="28">
        <f>M41-M42</f>
        <v>13</v>
      </c>
      <c r="N43" s="3" t="s">
        <v>1048</v>
      </c>
      <c r="O43" s="65"/>
      <c r="Q43" s="3"/>
      <c r="R43" s="79">
        <f>R42*Final_Gal_EtOH</f>
        <v>4.8794897007258316E-2</v>
      </c>
      <c r="S43" s="3" t="s">
        <v>1054</v>
      </c>
      <c r="T43" s="3"/>
      <c r="V43" s="3"/>
      <c r="W43" s="3"/>
      <c r="X43" s="3"/>
      <c r="Y43" s="3"/>
      <c r="Z43" s="3"/>
      <c r="AA43" s="3"/>
      <c r="AB43" s="3"/>
      <c r="AC43" s="3"/>
      <c r="AD43" s="3"/>
      <c r="AE43" s="3"/>
      <c r="AF43" s="3"/>
      <c r="AG43" s="3"/>
      <c r="AH43" s="3"/>
      <c r="AI43" s="3"/>
      <c r="AJ43" s="3"/>
      <c r="AK43" s="3"/>
      <c r="AL43" s="3"/>
      <c r="AM43" s="3"/>
      <c r="AN43" s="3"/>
      <c r="AO43" s="3"/>
      <c r="AP43" s="3"/>
      <c r="AQ43" s="3"/>
      <c r="AR43" s="3"/>
      <c r="AS43" s="3"/>
      <c r="AT43" s="3"/>
    </row>
    <row r="44" spans="2:46" x14ac:dyDescent="0.35">
      <c r="C44" s="5">
        <f>C40*'Conversions Page'!D6*'Conversions Page'!D9</f>
        <v>71.722086167800441</v>
      </c>
      <c r="D44" t="s">
        <v>89</v>
      </c>
      <c r="H44">
        <v>6.3399999999999998E-2</v>
      </c>
      <c r="I44" t="s">
        <v>130</v>
      </c>
      <c r="J44" s="12" t="s">
        <v>133</v>
      </c>
      <c r="L44" s="37"/>
      <c r="M44" s="61"/>
      <c r="N44" s="3"/>
      <c r="O44" s="65"/>
      <c r="Q44" s="3"/>
      <c r="R44" s="22">
        <f>R43*R29</f>
        <v>427.44329778358286</v>
      </c>
      <c r="S44" s="3" t="s">
        <v>1056</v>
      </c>
      <c r="T44" s="3"/>
      <c r="V44" s="3"/>
      <c r="W44" s="3"/>
      <c r="X44" s="3"/>
      <c r="Y44" s="3"/>
      <c r="Z44" s="3"/>
      <c r="AA44" s="3"/>
      <c r="AB44" s="3"/>
      <c r="AC44" s="3"/>
      <c r="AD44" s="3"/>
      <c r="AE44" s="3"/>
      <c r="AF44" s="3"/>
      <c r="AG44" s="3"/>
      <c r="AH44" s="3"/>
      <c r="AI44" s="3"/>
      <c r="AJ44" s="3"/>
      <c r="AK44" s="3"/>
      <c r="AL44" s="3"/>
      <c r="AM44" s="3"/>
      <c r="AN44" s="3"/>
      <c r="AO44" s="3"/>
      <c r="AP44" s="3"/>
      <c r="AQ44" s="3"/>
      <c r="AR44" s="3"/>
      <c r="AS44" s="3"/>
      <c r="AT44" s="3"/>
    </row>
    <row r="45" spans="2:46" x14ac:dyDescent="0.35">
      <c r="C45" s="5">
        <f>'Conversions Page'!D9*'Conversions Page'!D6*'Process Model'!C41</f>
        <v>91.89392290249431</v>
      </c>
      <c r="D45" t="s">
        <v>90</v>
      </c>
      <c r="H45">
        <v>0.16950000000000001</v>
      </c>
      <c r="I45" t="s">
        <v>132</v>
      </c>
      <c r="L45" s="3"/>
      <c r="M45" s="3">
        <f>M41*1000000</f>
        <v>41000000</v>
      </c>
      <c r="N45" s="3" t="s">
        <v>1055</v>
      </c>
      <c r="O45" s="3"/>
      <c r="Q45" s="3"/>
      <c r="R45" s="3"/>
      <c r="S45" s="3"/>
      <c r="T45" s="3"/>
      <c r="V45" s="3"/>
      <c r="W45" s="3"/>
      <c r="X45" s="3"/>
      <c r="Y45" s="3"/>
      <c r="Z45" s="3"/>
      <c r="AA45" s="3"/>
      <c r="AB45" s="3"/>
      <c r="AC45" s="3"/>
      <c r="AD45" s="3"/>
      <c r="AE45" s="3"/>
      <c r="AF45" s="3"/>
      <c r="AG45" s="3"/>
      <c r="AH45" s="3"/>
      <c r="AI45" s="3"/>
      <c r="AJ45" s="3"/>
      <c r="AK45" s="3"/>
      <c r="AL45" s="3"/>
      <c r="AM45" s="3"/>
      <c r="AN45" s="3"/>
      <c r="AO45" s="3"/>
      <c r="AP45" s="3"/>
      <c r="AQ45" s="3"/>
      <c r="AR45" s="3"/>
      <c r="AS45" s="3"/>
      <c r="AT45" s="3"/>
    </row>
    <row r="46" spans="2:46" x14ac:dyDescent="0.35">
      <c r="C46" s="5"/>
      <c r="H46">
        <v>4.2700000000000002E-2</v>
      </c>
      <c r="I46" t="s">
        <v>131</v>
      </c>
      <c r="L46" s="3"/>
      <c r="M46" s="3">
        <f>M45/Full_Prod_Rate</f>
        <v>1.3436910965570299</v>
      </c>
      <c r="N46" s="3" t="s">
        <v>1066</v>
      </c>
      <c r="O46" s="3"/>
      <c r="Q46" s="3"/>
      <c r="R46" s="3"/>
      <c r="S46" s="3"/>
      <c r="T46" s="3"/>
      <c r="V46" s="3"/>
      <c r="W46" s="3"/>
      <c r="X46" s="3"/>
      <c r="Y46" s="3"/>
      <c r="Z46" s="3"/>
      <c r="AA46" s="3"/>
      <c r="AB46" s="3"/>
      <c r="AC46" s="3"/>
      <c r="AD46" s="3"/>
      <c r="AE46" s="3"/>
      <c r="AF46" s="3"/>
      <c r="AG46" s="3"/>
      <c r="AH46" s="3"/>
      <c r="AI46" s="3"/>
      <c r="AJ46" s="3"/>
      <c r="AK46" s="3"/>
      <c r="AL46" s="3"/>
      <c r="AM46" s="3"/>
      <c r="AN46" s="3"/>
      <c r="AO46" s="3"/>
      <c r="AP46" s="3"/>
      <c r="AQ46" s="3"/>
      <c r="AR46" s="3"/>
      <c r="AS46" s="3"/>
      <c r="AT46" s="3"/>
    </row>
    <row r="47" spans="2:46" x14ac:dyDescent="0.35">
      <c r="C47" s="5">
        <f>1</f>
        <v>1</v>
      </c>
      <c r="D47" t="s">
        <v>566</v>
      </c>
      <c r="L47" s="3"/>
      <c r="M47" s="3">
        <f>M46/1000</f>
        <v>1.3436910965570299E-3</v>
      </c>
      <c r="N47" s="3" t="s">
        <v>1067</v>
      </c>
      <c r="O47" s="3"/>
      <c r="V47" s="3"/>
      <c r="W47" s="3"/>
      <c r="X47" s="3"/>
      <c r="Y47" s="3"/>
      <c r="Z47" s="3"/>
      <c r="AA47" s="3"/>
      <c r="AB47" s="3"/>
      <c r="AC47" s="3"/>
      <c r="AD47" s="3"/>
      <c r="AE47" s="3"/>
      <c r="AF47" s="3"/>
      <c r="AG47" s="3"/>
      <c r="AH47" s="3"/>
      <c r="AI47" s="3"/>
      <c r="AJ47" s="3"/>
      <c r="AK47" s="3"/>
      <c r="AL47" s="3"/>
      <c r="AM47" s="3"/>
      <c r="AN47" s="3"/>
      <c r="AO47" s="3"/>
      <c r="AP47" s="3"/>
      <c r="AQ47" s="3"/>
      <c r="AR47" s="3"/>
      <c r="AS47" s="3"/>
      <c r="AT47" s="3"/>
    </row>
    <row r="48" spans="2:46" x14ac:dyDescent="0.35">
      <c r="C48" s="56">
        <f>(2*30.97)/(283.88)</f>
        <v>0.21819078483866422</v>
      </c>
      <c r="D48" t="s">
        <v>564</v>
      </c>
      <c r="G48" s="4" t="s">
        <v>153</v>
      </c>
      <c r="H48" s="32">
        <v>0.81299999999999994</v>
      </c>
      <c r="I48" t="s">
        <v>135</v>
      </c>
      <c r="J48" s="25" t="s">
        <v>125</v>
      </c>
      <c r="L48" s="3"/>
      <c r="M48" s="3">
        <f>M47*Final_Gal_EtOH</f>
        <v>0.63483831565560089</v>
      </c>
      <c r="N48" s="3" t="s">
        <v>1068</v>
      </c>
      <c r="O48" s="3"/>
      <c r="V48" s="3"/>
      <c r="W48" s="3"/>
      <c r="X48" s="3"/>
      <c r="Y48" s="3"/>
      <c r="Z48" s="3"/>
      <c r="AA48" s="3"/>
      <c r="AB48" s="3"/>
      <c r="AC48" s="3"/>
      <c r="AD48" s="3"/>
      <c r="AE48" s="3"/>
      <c r="AF48" s="3"/>
      <c r="AG48" s="3"/>
      <c r="AH48" s="3"/>
      <c r="AI48" s="3"/>
      <c r="AJ48" s="3"/>
      <c r="AK48" s="3"/>
      <c r="AL48" s="3"/>
      <c r="AM48" s="3"/>
      <c r="AN48" s="3"/>
      <c r="AO48" s="3"/>
      <c r="AP48" s="3"/>
      <c r="AQ48" s="3"/>
      <c r="AR48" s="3"/>
      <c r="AS48" s="3"/>
      <c r="AT48" s="3"/>
    </row>
    <row r="49" spans="2:46" x14ac:dyDescent="0.35">
      <c r="C49" s="56">
        <f>(2*39)/94.2</f>
        <v>0.8280254777070063</v>
      </c>
      <c r="D49" t="s">
        <v>565</v>
      </c>
      <c r="H49" s="32">
        <v>0.67</v>
      </c>
      <c r="I49" t="s">
        <v>136</v>
      </c>
      <c r="L49" s="3"/>
      <c r="M49" s="3">
        <f>M48*R29</f>
        <v>5561.1836451430636</v>
      </c>
      <c r="N49" s="3" t="s">
        <v>273</v>
      </c>
      <c r="O49" s="3"/>
      <c r="V49" s="3"/>
      <c r="W49" s="3"/>
      <c r="X49" s="3"/>
      <c r="Y49" s="3"/>
      <c r="Z49" s="3"/>
      <c r="AA49" s="3"/>
      <c r="AB49" s="3"/>
      <c r="AC49" s="3"/>
      <c r="AD49" s="3"/>
      <c r="AE49" s="3"/>
      <c r="AF49" s="3"/>
      <c r="AG49" s="3"/>
      <c r="AH49" s="3"/>
      <c r="AI49" s="3"/>
      <c r="AJ49" s="3"/>
      <c r="AK49" s="3"/>
      <c r="AL49" s="3"/>
      <c r="AM49" s="3"/>
      <c r="AN49" s="3"/>
      <c r="AO49" s="3"/>
      <c r="AP49" s="3"/>
      <c r="AQ49" s="3"/>
      <c r="AR49" s="3"/>
      <c r="AS49" s="3"/>
      <c r="AT49" s="3"/>
    </row>
    <row r="50" spans="2:46" x14ac:dyDescent="0.35">
      <c r="B50" s="6"/>
      <c r="C50" s="10"/>
      <c r="H50" s="32">
        <v>0.97299999999999998</v>
      </c>
      <c r="I50" t="s">
        <v>140</v>
      </c>
      <c r="L50" s="3" t="s">
        <v>1089</v>
      </c>
      <c r="M50" s="3"/>
      <c r="N50" s="3"/>
      <c r="O50" s="3"/>
      <c r="V50" s="3"/>
      <c r="W50" s="3"/>
      <c r="X50" s="3"/>
      <c r="Y50" s="3"/>
      <c r="Z50" s="3"/>
      <c r="AA50" s="3"/>
      <c r="AB50" s="3"/>
      <c r="AC50" s="3"/>
      <c r="AD50" s="3"/>
      <c r="AE50" s="3"/>
      <c r="AF50" s="3"/>
      <c r="AG50" s="3"/>
      <c r="AH50" s="3"/>
      <c r="AI50" s="3"/>
      <c r="AJ50" s="3"/>
      <c r="AK50" s="3"/>
      <c r="AL50" s="3"/>
      <c r="AM50" s="3"/>
      <c r="AN50" s="3"/>
      <c r="AO50" s="3"/>
      <c r="AP50" s="3"/>
      <c r="AQ50" s="3"/>
      <c r="AR50" s="3"/>
      <c r="AS50" s="3"/>
      <c r="AT50" s="3"/>
    </row>
    <row r="51" spans="2:46" x14ac:dyDescent="0.35">
      <c r="B51" s="6"/>
      <c r="C51" s="335" t="s">
        <v>27</v>
      </c>
      <c r="D51" s="335"/>
      <c r="J51" s="15"/>
      <c r="L51" s="143">
        <v>0.31</v>
      </c>
      <c r="M51" s="22">
        <f t="shared" ref="M51:M59" si="0">$M$49*L51</f>
        <v>1723.9669299943498</v>
      </c>
      <c r="N51" s="3" t="s">
        <v>273</v>
      </c>
      <c r="O51" s="3" t="s">
        <v>1069</v>
      </c>
      <c r="V51" s="3"/>
      <c r="W51" s="3"/>
      <c r="X51" s="3"/>
      <c r="Y51" s="3"/>
      <c r="Z51" s="3"/>
      <c r="AA51" s="3"/>
      <c r="AB51" s="3"/>
      <c r="AC51" s="3"/>
      <c r="AD51" s="3"/>
      <c r="AE51" s="3"/>
      <c r="AF51" s="3"/>
      <c r="AG51" s="3"/>
      <c r="AH51" s="3"/>
      <c r="AI51" s="3"/>
      <c r="AJ51" s="3"/>
      <c r="AK51" s="3"/>
      <c r="AL51" s="3"/>
      <c r="AM51" s="3"/>
      <c r="AN51" s="3"/>
      <c r="AO51" s="3"/>
      <c r="AP51" s="3"/>
      <c r="AQ51" s="3"/>
      <c r="AR51" s="3"/>
      <c r="AS51" s="3"/>
      <c r="AT51" s="3"/>
    </row>
    <row r="52" spans="2:46" x14ac:dyDescent="0.35">
      <c r="B52" s="6"/>
      <c r="C52" s="29">
        <f>Input_Hectares</f>
        <v>1</v>
      </c>
      <c r="D52" s="13" t="s">
        <v>45</v>
      </c>
      <c r="E52" s="13"/>
      <c r="G52" s="326" t="s">
        <v>134</v>
      </c>
      <c r="H52" s="326"/>
      <c r="I52" s="326"/>
      <c r="J52" s="326"/>
      <c r="L52" s="143">
        <v>0.02</v>
      </c>
      <c r="M52" s="22">
        <f t="shared" si="0"/>
        <v>111.22367290286127</v>
      </c>
      <c r="N52" s="3" t="s">
        <v>273</v>
      </c>
      <c r="O52" s="3" t="s">
        <v>1070</v>
      </c>
      <c r="V52" s="3"/>
      <c r="W52" s="3"/>
      <c r="X52" s="3"/>
      <c r="Y52" s="3"/>
      <c r="Z52" s="3"/>
      <c r="AA52" s="3"/>
      <c r="AB52" s="3"/>
      <c r="AC52" s="3"/>
      <c r="AD52" s="3"/>
      <c r="AE52" s="3"/>
      <c r="AF52" s="3"/>
      <c r="AG52" s="3"/>
      <c r="AH52" s="3"/>
      <c r="AI52" s="3"/>
      <c r="AJ52" s="3"/>
      <c r="AK52" s="3"/>
      <c r="AL52" s="3"/>
      <c r="AM52" s="3"/>
      <c r="AN52" s="3"/>
      <c r="AO52" s="3"/>
      <c r="AP52" s="3"/>
      <c r="AQ52" s="3"/>
      <c r="AR52" s="3"/>
      <c r="AS52" s="3"/>
      <c r="AT52" s="3"/>
    </row>
    <row r="53" spans="2:46" x14ac:dyDescent="0.35">
      <c r="B53" s="6"/>
      <c r="C53" s="29">
        <f>(1-Inputs!K4)*Inputs!A6</f>
        <v>0</v>
      </c>
      <c r="D53" s="13" t="s">
        <v>364</v>
      </c>
      <c r="E53" s="13"/>
      <c r="H53">
        <f>Cellulose_Ratio*H48</f>
        <v>0.33373649999999994</v>
      </c>
      <c r="I53" t="s">
        <v>137</v>
      </c>
      <c r="L53" s="143">
        <v>0.14000000000000001</v>
      </c>
      <c r="M53" s="22">
        <f t="shared" si="0"/>
        <v>778.56571032002898</v>
      </c>
      <c r="N53" s="3" t="s">
        <v>273</v>
      </c>
      <c r="O53" s="3" t="s">
        <v>1071</v>
      </c>
      <c r="V53" s="3"/>
      <c r="W53" s="3"/>
      <c r="X53" s="3"/>
      <c r="Y53" s="3"/>
      <c r="Z53" s="3"/>
      <c r="AA53" s="3"/>
      <c r="AB53" s="3"/>
      <c r="AC53" s="3"/>
      <c r="AD53" s="3"/>
      <c r="AE53" s="3"/>
      <c r="AF53" s="3"/>
      <c r="AG53" s="3"/>
      <c r="AH53" s="3"/>
      <c r="AI53" s="3"/>
      <c r="AJ53" s="3"/>
      <c r="AK53" s="3"/>
      <c r="AL53" s="3"/>
      <c r="AM53" s="3"/>
      <c r="AN53" s="3"/>
      <c r="AO53" s="3"/>
      <c r="AP53" s="3"/>
      <c r="AQ53" s="3"/>
      <c r="AR53" s="3"/>
      <c r="AS53" s="3"/>
      <c r="AT53" s="3"/>
    </row>
    <row r="54" spans="2:46" x14ac:dyDescent="0.35">
      <c r="B54" s="6"/>
      <c r="C54" s="29">
        <f>(1-Inputs!K5)*Inputs!A7</f>
        <v>0</v>
      </c>
      <c r="D54" s="13" t="s">
        <v>365</v>
      </c>
      <c r="E54" s="13"/>
      <c r="H54">
        <f>Cellulose_Ratio-Glucose_DAH</f>
        <v>7.676350000000004E-2</v>
      </c>
      <c r="I54" t="s">
        <v>128</v>
      </c>
      <c r="L54" s="143">
        <v>0.06</v>
      </c>
      <c r="M54" s="22">
        <f t="shared" si="0"/>
        <v>333.6710187085838</v>
      </c>
      <c r="N54" s="3" t="s">
        <v>273</v>
      </c>
      <c r="O54" s="3" t="s">
        <v>1072</v>
      </c>
      <c r="V54" s="3"/>
      <c r="W54" s="3"/>
      <c r="X54" s="3"/>
      <c r="Y54" s="3"/>
      <c r="Z54" s="3"/>
      <c r="AA54" s="3"/>
      <c r="AB54" s="3"/>
      <c r="AC54" s="3"/>
      <c r="AD54" s="3"/>
      <c r="AE54" s="3"/>
      <c r="AF54" s="3"/>
      <c r="AG54" s="3"/>
      <c r="AH54" s="3"/>
      <c r="AI54" s="3"/>
      <c r="AJ54" s="3"/>
      <c r="AK54" s="3"/>
      <c r="AL54" s="3"/>
      <c r="AM54" s="3"/>
      <c r="AN54" s="3"/>
      <c r="AO54" s="3"/>
      <c r="AP54" s="3"/>
      <c r="AQ54" s="3"/>
      <c r="AR54" s="3"/>
      <c r="AS54" s="3"/>
      <c r="AT54" s="3"/>
    </row>
    <row r="55" spans="2:46" x14ac:dyDescent="0.35">
      <c r="B55" s="6"/>
      <c r="C55" s="29">
        <f>(1-Inputs!K6)*Inputs!A8</f>
        <v>0</v>
      </c>
      <c r="D55" s="13" t="s">
        <v>366</v>
      </c>
      <c r="E55" s="13"/>
      <c r="H55">
        <f>Hemicellulose_Ratio*H49</f>
        <v>0.21031300000000003</v>
      </c>
      <c r="I55" t="s">
        <v>138</v>
      </c>
      <c r="L55" s="143">
        <v>0.13</v>
      </c>
      <c r="M55" s="22">
        <f t="shared" si="0"/>
        <v>722.95387386859829</v>
      </c>
      <c r="N55" s="3" t="s">
        <v>273</v>
      </c>
      <c r="O55" s="3" t="s">
        <v>1073</v>
      </c>
      <c r="V55" s="3"/>
      <c r="W55" s="3"/>
      <c r="X55" s="3"/>
      <c r="Y55" s="3"/>
      <c r="Z55" s="3"/>
      <c r="AA55" s="3"/>
      <c r="AB55" s="3"/>
      <c r="AC55" s="3"/>
      <c r="AD55" s="3"/>
      <c r="AE55" s="3"/>
      <c r="AF55" s="3"/>
      <c r="AG55" s="3"/>
      <c r="AH55" s="3"/>
      <c r="AI55" s="3"/>
      <c r="AJ55" s="3"/>
      <c r="AK55" s="3"/>
      <c r="AL55" s="3"/>
      <c r="AM55" s="3"/>
      <c r="AN55" s="3"/>
      <c r="AO55" s="3"/>
      <c r="AP55" s="3"/>
      <c r="AQ55" s="3"/>
      <c r="AR55" s="3"/>
      <c r="AS55" s="3"/>
      <c r="AT55" s="3"/>
    </row>
    <row r="56" spans="2:46" x14ac:dyDescent="0.35">
      <c r="B56" s="6"/>
      <c r="C56" s="23"/>
      <c r="D56" s="13"/>
      <c r="E56" s="13"/>
      <c r="H56">
        <f>Hemicellulose_Ratio-Xylose_DAH</f>
        <v>0.10358699999999998</v>
      </c>
      <c r="I56" t="s">
        <v>129</v>
      </c>
      <c r="L56" s="143">
        <v>0.05</v>
      </c>
      <c r="M56" s="22">
        <f t="shared" si="0"/>
        <v>278.05918225715317</v>
      </c>
      <c r="N56" s="3" t="s">
        <v>273</v>
      </c>
      <c r="O56" s="3" t="s">
        <v>1074</v>
      </c>
      <c r="V56" s="3"/>
      <c r="W56" s="3"/>
      <c r="X56" s="3"/>
      <c r="Y56" s="3"/>
      <c r="Z56" s="3"/>
      <c r="AA56" s="3"/>
      <c r="AB56" s="3"/>
      <c r="AC56" s="3"/>
      <c r="AD56" s="3"/>
      <c r="AE56" s="3"/>
      <c r="AF56" s="3"/>
      <c r="AG56" s="3"/>
      <c r="AH56" s="3"/>
      <c r="AI56" s="3"/>
      <c r="AJ56" s="3"/>
      <c r="AK56" s="3"/>
      <c r="AL56" s="3"/>
      <c r="AM56" s="3"/>
      <c r="AN56" s="3"/>
      <c r="AO56" s="3"/>
      <c r="AP56" s="3"/>
      <c r="AQ56" s="3"/>
      <c r="AR56" s="3"/>
      <c r="AS56" s="3"/>
      <c r="AT56" s="3"/>
    </row>
    <row r="57" spans="2:46" x14ac:dyDescent="0.35">
      <c r="B57" s="337" t="s">
        <v>16</v>
      </c>
      <c r="C57" s="337"/>
      <c r="D57" s="337"/>
      <c r="E57" s="337"/>
      <c r="H57">
        <f>Lignin_Ratio</f>
        <v>6.3399999999999998E-2</v>
      </c>
      <c r="I57" t="s">
        <v>130</v>
      </c>
      <c r="L57" s="143">
        <v>0.18</v>
      </c>
      <c r="M57" s="22">
        <f t="shared" si="0"/>
        <v>1001.0130561257514</v>
      </c>
      <c r="N57" s="3" t="s">
        <v>273</v>
      </c>
      <c r="O57" s="3" t="s">
        <v>1062</v>
      </c>
      <c r="V57" s="3"/>
      <c r="W57" s="3"/>
      <c r="X57" s="3"/>
      <c r="Y57" s="3"/>
      <c r="Z57" s="3"/>
      <c r="AA57" s="3"/>
      <c r="AB57" s="3"/>
      <c r="AC57" s="3"/>
      <c r="AD57" s="3"/>
      <c r="AE57" s="3"/>
      <c r="AF57" s="3"/>
      <c r="AG57" s="3"/>
      <c r="AH57" s="3"/>
      <c r="AI57" s="3"/>
      <c r="AJ57" s="3"/>
      <c r="AK57" s="3"/>
      <c r="AL57" s="3"/>
      <c r="AM57" s="3"/>
      <c r="AN57" s="3"/>
      <c r="AO57" s="3"/>
      <c r="AP57" s="3"/>
      <c r="AQ57" s="3"/>
      <c r="AR57" s="3"/>
      <c r="AS57" s="3"/>
      <c r="AT57" s="3"/>
    </row>
    <row r="58" spans="2:46" x14ac:dyDescent="0.35">
      <c r="C58" s="335" t="s">
        <v>12</v>
      </c>
      <c r="D58" s="335"/>
      <c r="E58" s="8"/>
      <c r="H58">
        <f>Extractives_Ratio</f>
        <v>0.16950000000000001</v>
      </c>
      <c r="I58" t="s">
        <v>132</v>
      </c>
      <c r="L58" s="143">
        <v>0</v>
      </c>
      <c r="M58" s="22">
        <f t="shared" si="0"/>
        <v>0</v>
      </c>
      <c r="N58" s="3" t="s">
        <v>273</v>
      </c>
      <c r="O58" s="3" t="s">
        <v>1075</v>
      </c>
      <c r="V58" s="3"/>
      <c r="W58" s="3"/>
      <c r="X58" s="3"/>
      <c r="Y58" s="3"/>
      <c r="Z58" s="3"/>
      <c r="AA58" s="3"/>
      <c r="AB58" s="3"/>
      <c r="AC58" s="3"/>
      <c r="AD58" s="3"/>
      <c r="AE58" s="3"/>
      <c r="AF58" s="3"/>
      <c r="AG58" s="3"/>
      <c r="AH58" s="3"/>
      <c r="AI58" s="3"/>
      <c r="AJ58" s="3"/>
      <c r="AK58" s="3"/>
      <c r="AL58" s="3"/>
      <c r="AM58" s="3"/>
      <c r="AN58" s="3"/>
      <c r="AO58" s="3"/>
      <c r="AP58" s="3"/>
      <c r="AQ58" s="3"/>
      <c r="AR58" s="3"/>
      <c r="AS58" s="3"/>
      <c r="AT58" s="3"/>
    </row>
    <row r="59" spans="2:46" x14ac:dyDescent="0.35">
      <c r="B59" s="4" t="s">
        <v>35</v>
      </c>
      <c r="C59" s="6">
        <v>452.3</v>
      </c>
      <c r="D59" t="s">
        <v>48</v>
      </c>
      <c r="H59">
        <f>Ash_Ratio</f>
        <v>4.2700000000000002E-2</v>
      </c>
      <c r="I59" t="s">
        <v>131</v>
      </c>
      <c r="L59" s="143">
        <v>0.11</v>
      </c>
      <c r="M59" s="22">
        <f t="shared" si="0"/>
        <v>611.73020096573703</v>
      </c>
      <c r="N59" s="3" t="s">
        <v>273</v>
      </c>
      <c r="O59" s="3" t="s">
        <v>1076</v>
      </c>
      <c r="V59" s="3"/>
      <c r="W59" s="3"/>
      <c r="X59" s="3"/>
      <c r="Y59" s="3"/>
      <c r="Z59" s="3"/>
      <c r="AA59" s="3"/>
      <c r="AB59" s="3"/>
      <c r="AC59" s="3"/>
      <c r="AD59" s="3"/>
      <c r="AE59" s="3"/>
      <c r="AF59" s="3"/>
      <c r="AG59" s="3"/>
      <c r="AH59" s="3"/>
      <c r="AI59" s="3"/>
      <c r="AJ59" s="3"/>
      <c r="AK59" s="3"/>
      <c r="AL59" s="3"/>
      <c r="AM59" s="3"/>
      <c r="AN59" s="3"/>
      <c r="AO59" s="3"/>
      <c r="AP59" s="3"/>
      <c r="AQ59" s="3"/>
      <c r="AR59" s="3"/>
      <c r="AS59" s="3"/>
      <c r="AT59" s="3"/>
    </row>
    <row r="60" spans="2:46" x14ac:dyDescent="0.35">
      <c r="B60" s="6"/>
      <c r="L60" s="3"/>
      <c r="M60" s="3"/>
      <c r="N60" s="3"/>
      <c r="O60" s="65"/>
      <c r="V60" s="3"/>
      <c r="W60" s="3"/>
      <c r="X60" s="3"/>
      <c r="Y60" s="3"/>
      <c r="Z60" s="3"/>
      <c r="AA60" s="3"/>
      <c r="AB60" s="3"/>
      <c r="AC60" s="3"/>
      <c r="AD60" s="3"/>
      <c r="AE60" s="3"/>
      <c r="AF60" s="3"/>
      <c r="AG60" s="3"/>
      <c r="AH60" s="3"/>
      <c r="AI60" s="3"/>
      <c r="AJ60" s="3"/>
      <c r="AK60" s="3"/>
      <c r="AL60" s="3"/>
      <c r="AM60" s="3"/>
      <c r="AN60" s="3"/>
      <c r="AO60" s="3"/>
      <c r="AP60" s="3"/>
      <c r="AQ60" s="3"/>
      <c r="AR60" s="3"/>
      <c r="AS60" s="3"/>
      <c r="AT60" s="3"/>
    </row>
    <row r="61" spans="2:46" x14ac:dyDescent="0.35">
      <c r="B61" s="6"/>
      <c r="C61" s="326" t="s">
        <v>30</v>
      </c>
      <c r="D61" s="326"/>
      <c r="F61" s="18" t="s">
        <v>17</v>
      </c>
      <c r="H61" s="335" t="s">
        <v>27</v>
      </c>
      <c r="I61" s="335"/>
      <c r="L61" s="3"/>
      <c r="M61" s="3"/>
      <c r="N61" s="3"/>
      <c r="O61" s="65"/>
      <c r="V61" s="3"/>
      <c r="W61" s="3"/>
      <c r="X61" s="3"/>
      <c r="Y61" s="3"/>
      <c r="Z61" s="3"/>
      <c r="AA61" s="3"/>
      <c r="AB61" s="3"/>
      <c r="AC61" s="3"/>
      <c r="AD61" s="3"/>
      <c r="AE61" s="3"/>
      <c r="AF61" s="3"/>
      <c r="AG61" s="3"/>
      <c r="AH61" s="3"/>
      <c r="AI61" s="3"/>
      <c r="AJ61" s="3"/>
      <c r="AK61" s="3"/>
      <c r="AL61" s="3"/>
      <c r="AM61" s="3"/>
      <c r="AN61" s="3"/>
      <c r="AO61" s="3"/>
      <c r="AP61" s="3"/>
      <c r="AQ61" s="3"/>
      <c r="AR61" s="3"/>
      <c r="AS61" s="3"/>
      <c r="AT61" s="3"/>
    </row>
    <row r="62" spans="2:46" x14ac:dyDescent="0.35">
      <c r="B62" s="6"/>
      <c r="C62" s="6">
        <v>183.04</v>
      </c>
      <c r="D62" t="s">
        <v>34</v>
      </c>
      <c r="E62" t="s">
        <v>38</v>
      </c>
      <c r="H62" s="22">
        <f>Biomass_Input_To_DAH*Mass_Passthrough_DAH</f>
        <v>5250.4905348000002</v>
      </c>
      <c r="I62" t="s">
        <v>143</v>
      </c>
      <c r="L62" s="3"/>
      <c r="M62" s="3"/>
      <c r="N62" s="3"/>
      <c r="O62" s="65"/>
      <c r="Q62" s="3"/>
      <c r="R62" s="3"/>
      <c r="S62" s="3"/>
      <c r="T62" s="3"/>
      <c r="V62" s="3"/>
      <c r="W62" s="3"/>
      <c r="X62" s="3"/>
      <c r="Y62" s="3"/>
      <c r="Z62" s="3"/>
      <c r="AA62" s="3"/>
      <c r="AB62" s="3"/>
      <c r="AC62" s="3"/>
      <c r="AD62" s="3"/>
      <c r="AE62" s="3"/>
      <c r="AF62" s="3"/>
      <c r="AG62" s="3"/>
      <c r="AH62" s="3"/>
      <c r="AI62" s="3"/>
      <c r="AJ62" s="3"/>
      <c r="AK62" s="3"/>
      <c r="AL62" s="3"/>
      <c r="AM62" s="3"/>
      <c r="AN62" s="3"/>
      <c r="AO62" s="3"/>
      <c r="AP62" s="3"/>
      <c r="AQ62" s="3"/>
      <c r="AR62" s="3"/>
      <c r="AS62" s="3"/>
      <c r="AT62" s="3"/>
    </row>
    <row r="63" spans="2:46" x14ac:dyDescent="0.35">
      <c r="B63" s="6"/>
      <c r="C63" s="6">
        <f>Est_Lime_Per_Acre*'Conversions Page'!D6</f>
        <v>452.30099199999995</v>
      </c>
      <c r="D63" s="10" t="s">
        <v>48</v>
      </c>
      <c r="E63" s="14" t="s">
        <v>15</v>
      </c>
      <c r="H63" s="22">
        <f>Biomass_Input_To_DAH+Dilution_Water_Added+Acid_Per_ha+Base_Per_ha</f>
        <v>27213.585600616352</v>
      </c>
      <c r="I63" t="s">
        <v>142</v>
      </c>
      <c r="L63" s="3"/>
      <c r="M63" s="3"/>
      <c r="N63" s="3"/>
      <c r="O63" s="65"/>
      <c r="Q63" s="3"/>
      <c r="R63" s="3"/>
      <c r="S63" s="3"/>
      <c r="T63" s="3"/>
      <c r="V63" s="3"/>
      <c r="W63" s="3"/>
      <c r="X63" s="3"/>
      <c r="Y63" s="3"/>
      <c r="Z63" s="3"/>
      <c r="AA63" s="3"/>
      <c r="AB63" s="3"/>
      <c r="AC63" s="3"/>
      <c r="AD63" s="3"/>
      <c r="AE63" s="3"/>
      <c r="AF63" s="3"/>
      <c r="AG63" s="3"/>
      <c r="AH63" s="3"/>
      <c r="AI63" s="3"/>
      <c r="AJ63" s="3"/>
      <c r="AK63" s="3"/>
      <c r="AL63" s="3"/>
      <c r="AM63" s="3"/>
      <c r="AN63" s="3"/>
      <c r="AO63" s="3"/>
      <c r="AP63" s="3"/>
      <c r="AQ63" s="3"/>
      <c r="AR63" s="3"/>
      <c r="AS63" s="3"/>
      <c r="AT63" s="3"/>
    </row>
    <row r="64" spans="2:46" x14ac:dyDescent="0.35">
      <c r="B64" s="6"/>
      <c r="C64" s="10"/>
      <c r="H64" s="22">
        <f>PreHydrolysate_Slurry-DAH_Stover_Content</f>
        <v>21963.095065816353</v>
      </c>
      <c r="I64" t="s">
        <v>361</v>
      </c>
      <c r="L64" s="3"/>
      <c r="M64" s="3"/>
      <c r="N64" s="3"/>
      <c r="O64" s="65"/>
      <c r="Q64" s="3"/>
      <c r="R64" s="3"/>
      <c r="S64" s="3"/>
      <c r="T64" s="3"/>
      <c r="V64" s="3"/>
      <c r="W64" s="3"/>
      <c r="X64" s="3"/>
      <c r="Y64" s="3"/>
      <c r="Z64" s="3"/>
      <c r="AA64" s="3"/>
      <c r="AB64" s="3"/>
      <c r="AC64" s="3"/>
      <c r="AD64" s="3"/>
      <c r="AE64" s="3"/>
      <c r="AF64" s="3"/>
      <c r="AG64" s="3"/>
      <c r="AH64" s="3"/>
      <c r="AI64" s="3"/>
      <c r="AJ64" s="3"/>
      <c r="AK64" s="3"/>
      <c r="AL64" s="3"/>
      <c r="AM64" s="3"/>
      <c r="AN64" s="3"/>
      <c r="AO64" s="3"/>
      <c r="AP64" s="3"/>
      <c r="AQ64" s="3"/>
      <c r="AR64" s="3"/>
      <c r="AS64" s="3"/>
      <c r="AT64" s="3"/>
    </row>
    <row r="65" spans="2:49" x14ac:dyDescent="0.35">
      <c r="B65" s="6"/>
      <c r="C65" s="340" t="s">
        <v>27</v>
      </c>
      <c r="D65" s="340"/>
      <c r="E65" s="8"/>
      <c r="H65" s="22">
        <f>H17-(H17*Mass_Passthrough_DAH)</f>
        <v>63.52392042720021</v>
      </c>
      <c r="I65" t="s">
        <v>518</v>
      </c>
      <c r="L65" s="3"/>
      <c r="M65" s="3"/>
      <c r="N65" s="3"/>
      <c r="O65" s="65"/>
      <c r="Q65" s="3"/>
      <c r="R65" s="3"/>
      <c r="S65" s="3"/>
      <c r="T65" s="3"/>
      <c r="V65" s="3"/>
      <c r="W65" s="3"/>
      <c r="X65" s="3"/>
      <c r="Y65" s="3"/>
      <c r="Z65" s="3"/>
      <c r="AA65" s="3"/>
      <c r="AB65" s="3"/>
      <c r="AC65" s="3"/>
      <c r="AD65" s="3"/>
      <c r="AE65" s="3"/>
      <c r="AF65" s="3"/>
      <c r="AG65" s="3"/>
      <c r="AH65" s="3"/>
      <c r="AI65" s="3"/>
      <c r="AJ65" s="3"/>
      <c r="AK65" s="3"/>
      <c r="AL65" s="3"/>
      <c r="AM65" s="3"/>
      <c r="AN65" s="3"/>
      <c r="AO65" s="3"/>
      <c r="AP65" s="3"/>
      <c r="AQ65" s="3"/>
      <c r="AR65" s="3"/>
      <c r="AS65" s="3"/>
      <c r="AT65" s="3"/>
    </row>
    <row r="66" spans="2:49" x14ac:dyDescent="0.35">
      <c r="B66" s="6"/>
      <c r="C66" s="4">
        <f>Input_Hectares</f>
        <v>1</v>
      </c>
      <c r="D66" s="10" t="s">
        <v>46</v>
      </c>
      <c r="H66" s="22">
        <f>H17-H65</f>
        <v>2289.2138731727996</v>
      </c>
      <c r="I66" t="s">
        <v>519</v>
      </c>
      <c r="L66" s="3"/>
      <c r="M66" s="3"/>
      <c r="N66" s="3"/>
      <c r="O66" s="65"/>
      <c r="Q66" s="3"/>
      <c r="R66" s="3"/>
      <c r="S66" s="3"/>
      <c r="T66" s="3"/>
      <c r="V66" s="3"/>
      <c r="W66" s="3"/>
      <c r="X66" s="3"/>
      <c r="Y66" s="3"/>
      <c r="Z66" s="3"/>
      <c r="AA66" s="3"/>
      <c r="AB66" s="3"/>
      <c r="AC66" s="3"/>
      <c r="AD66" s="3"/>
      <c r="AE66" s="3"/>
      <c r="AF66" s="3"/>
      <c r="AG66" s="3"/>
      <c r="AH66" s="3"/>
      <c r="AI66" s="3"/>
      <c r="AJ66" s="3"/>
      <c r="AK66" s="3"/>
      <c r="AL66" s="3"/>
      <c r="AM66" s="3"/>
      <c r="AN66" s="3"/>
      <c r="AO66" s="3"/>
      <c r="AP66" s="3"/>
      <c r="AQ66" s="3"/>
      <c r="AR66" s="3"/>
      <c r="AS66" s="3"/>
      <c r="AT66" s="3"/>
    </row>
    <row r="67" spans="2:49" x14ac:dyDescent="0.35">
      <c r="B67" s="6"/>
      <c r="C67" s="4">
        <v>0</v>
      </c>
      <c r="D67" s="10" t="s">
        <v>385</v>
      </c>
      <c r="H67" s="6"/>
      <c r="L67" s="3"/>
      <c r="M67" s="3"/>
      <c r="N67" s="3"/>
      <c r="O67" s="65"/>
      <c r="Q67" s="3"/>
      <c r="R67" s="3"/>
      <c r="S67" s="3"/>
      <c r="T67" s="3"/>
      <c r="V67" s="3"/>
      <c r="W67" s="3"/>
      <c r="X67" s="3"/>
      <c r="Y67" s="3"/>
      <c r="Z67" s="3"/>
      <c r="AA67" s="3"/>
      <c r="AB67" s="3"/>
      <c r="AC67" s="3"/>
      <c r="AD67" s="3"/>
      <c r="AE67" s="3"/>
      <c r="AF67" s="3"/>
      <c r="AG67" s="3"/>
      <c r="AH67" s="3"/>
      <c r="AI67" s="3"/>
      <c r="AJ67" s="3"/>
      <c r="AK67" s="3"/>
      <c r="AL67" s="3"/>
      <c r="AM67" s="3"/>
      <c r="AN67" s="3"/>
      <c r="AO67" s="3"/>
      <c r="AP67" s="3"/>
      <c r="AQ67" s="3"/>
      <c r="AR67" s="3"/>
      <c r="AS67" s="3"/>
      <c r="AT67" s="3"/>
    </row>
    <row r="68" spans="2:49" x14ac:dyDescent="0.35">
      <c r="B68" s="6"/>
      <c r="C68" s="4"/>
      <c r="D68" s="10"/>
      <c r="G68" s="337" t="s">
        <v>3</v>
      </c>
      <c r="H68" s="337"/>
      <c r="I68" s="337"/>
      <c r="J68" s="337"/>
      <c r="L68" s="3"/>
      <c r="M68" s="3"/>
      <c r="N68" s="3"/>
      <c r="O68" s="65"/>
      <c r="Q68" s="3"/>
      <c r="R68" s="3"/>
      <c r="S68" s="3"/>
      <c r="T68" s="3"/>
      <c r="V68" s="3"/>
      <c r="W68" s="3"/>
      <c r="X68" s="3"/>
      <c r="Y68" s="3"/>
      <c r="Z68" s="3"/>
      <c r="AA68" s="3"/>
      <c r="AB68" s="3"/>
      <c r="AC68" s="3"/>
      <c r="AD68" s="3"/>
      <c r="AE68" s="3"/>
      <c r="AF68" s="3"/>
      <c r="AG68" s="3"/>
      <c r="AH68" s="3"/>
      <c r="AI68" s="3"/>
      <c r="AJ68" s="3"/>
      <c r="AK68" s="3"/>
      <c r="AL68" s="3"/>
      <c r="AM68" s="3"/>
      <c r="AN68" s="3"/>
      <c r="AO68" s="3"/>
      <c r="AP68" s="3"/>
      <c r="AQ68" s="3"/>
      <c r="AR68" s="3"/>
      <c r="AS68" s="3"/>
      <c r="AT68" s="3"/>
    </row>
    <row r="69" spans="2:49" x14ac:dyDescent="0.35">
      <c r="B69" s="337" t="s">
        <v>29</v>
      </c>
      <c r="C69" s="337"/>
      <c r="D69" s="337"/>
      <c r="E69" s="337"/>
      <c r="H69" s="335" t="s">
        <v>12</v>
      </c>
      <c r="I69" s="335"/>
      <c r="L69" s="3"/>
      <c r="M69" s="3"/>
      <c r="N69" s="3"/>
      <c r="O69" s="65"/>
      <c r="Q69" s="3"/>
      <c r="R69" s="3"/>
      <c r="S69" s="3"/>
      <c r="T69" s="3"/>
      <c r="V69" s="3"/>
      <c r="W69" s="3"/>
      <c r="X69" s="3"/>
      <c r="Y69" s="3"/>
      <c r="Z69" s="3"/>
      <c r="AA69" s="3"/>
      <c r="AB69" s="3"/>
      <c r="AC69" s="3"/>
      <c r="AD69" s="3"/>
      <c r="AE69" s="3"/>
      <c r="AF69" s="3"/>
      <c r="AG69" s="3"/>
      <c r="AH69" s="3"/>
      <c r="AI69" s="3"/>
      <c r="AJ69" s="3"/>
      <c r="AK69" s="3"/>
      <c r="AL69" s="3"/>
      <c r="AM69" s="3"/>
      <c r="AN69" s="3"/>
      <c r="AO69" s="3"/>
      <c r="AP69" s="3"/>
      <c r="AQ69" s="3"/>
      <c r="AR69" s="3"/>
      <c r="AS69" s="3"/>
      <c r="AT69" s="3"/>
    </row>
    <row r="70" spans="2:49" x14ac:dyDescent="0.35">
      <c r="C70" s="335" t="s">
        <v>12</v>
      </c>
      <c r="D70" s="335"/>
      <c r="E70" t="s">
        <v>50</v>
      </c>
      <c r="G70" s="4" t="s">
        <v>144</v>
      </c>
      <c r="H70" s="22">
        <f>DAH_Stover_Content</f>
        <v>5250.4905348000002</v>
      </c>
      <c r="I70" t="s">
        <v>143</v>
      </c>
      <c r="L70" s="3"/>
      <c r="M70" s="3"/>
      <c r="N70" s="3"/>
      <c r="O70" s="65"/>
      <c r="Q70" s="3"/>
      <c r="R70" s="3"/>
      <c r="S70" s="3"/>
      <c r="T70" s="3"/>
      <c r="V70" s="3"/>
      <c r="W70" s="3"/>
      <c r="X70" s="3"/>
      <c r="Y70" s="3"/>
      <c r="Z70" s="3"/>
      <c r="AA70" s="3"/>
      <c r="AB70" s="3"/>
      <c r="AC70" s="3"/>
      <c r="AD70" s="3"/>
      <c r="AE70" s="3"/>
      <c r="AF70" s="3"/>
      <c r="AG70" s="3"/>
      <c r="AH70" s="3"/>
      <c r="AI70" s="3"/>
      <c r="AJ70" s="3"/>
      <c r="AK70" s="3"/>
      <c r="AL70" s="3"/>
      <c r="AM70" s="3"/>
      <c r="AN70" s="3"/>
      <c r="AO70" s="3"/>
      <c r="AP70" s="3"/>
      <c r="AQ70" s="3"/>
      <c r="AR70" s="3"/>
      <c r="AS70" s="3"/>
      <c r="AT70" s="3"/>
    </row>
    <row r="71" spans="2:49" x14ac:dyDescent="0.35">
      <c r="B71" s="4" t="s">
        <v>49</v>
      </c>
      <c r="C71" s="11">
        <f>Fertilizer_Use_Input</f>
        <v>1.2130000000000001</v>
      </c>
      <c r="D71" t="s">
        <v>8</v>
      </c>
      <c r="E71" s="26" t="s">
        <v>51</v>
      </c>
      <c r="G71" s="4" t="s">
        <v>141</v>
      </c>
      <c r="H71" s="22">
        <f>PreHydrolysate_Slurry</f>
        <v>27213.585600616352</v>
      </c>
      <c r="I71" t="s">
        <v>142</v>
      </c>
      <c r="L71" s="3"/>
      <c r="M71" s="3"/>
      <c r="N71" s="3"/>
      <c r="O71" s="65"/>
      <c r="Q71" s="3"/>
      <c r="R71" s="3"/>
      <c r="S71" s="3"/>
      <c r="T71" s="3"/>
      <c r="V71" s="3"/>
      <c r="W71" s="3"/>
      <c r="X71" s="3"/>
      <c r="Y71" s="3"/>
      <c r="Z71" s="3"/>
      <c r="AA71" s="3"/>
      <c r="AB71" s="3"/>
      <c r="AC71" s="3"/>
      <c r="AD71" s="3"/>
      <c r="AE71" s="3"/>
      <c r="AF71" s="3"/>
      <c r="AG71" s="3"/>
      <c r="AH71" s="3"/>
      <c r="AI71" s="3"/>
      <c r="AJ71" s="3"/>
      <c r="AK71" s="3"/>
      <c r="AL71" s="3"/>
      <c r="AM71" s="3"/>
      <c r="AN71" s="3"/>
      <c r="AO71" s="3"/>
      <c r="AP71" s="3"/>
      <c r="AQ71" s="3"/>
      <c r="AR71" s="3"/>
      <c r="AS71" s="3"/>
      <c r="AT71" s="3"/>
    </row>
    <row r="72" spans="2:49" x14ac:dyDescent="0.35">
      <c r="B72" t="s">
        <v>540</v>
      </c>
      <c r="C72" t="s">
        <v>541</v>
      </c>
      <c r="G72" s="4" t="s">
        <v>106</v>
      </c>
      <c r="H72" s="22">
        <f>Stover_PostDAH*Ratio_Water_To_Prehydrolysate</f>
        <v>21001.962139200001</v>
      </c>
      <c r="I72" t="s">
        <v>147</v>
      </c>
      <c r="L72" s="3"/>
      <c r="M72" s="3"/>
      <c r="N72" s="3"/>
      <c r="O72" s="65"/>
      <c r="Q72" s="3"/>
      <c r="R72" s="3"/>
      <c r="S72" s="3"/>
      <c r="T72" s="3"/>
      <c r="V72" s="3"/>
      <c r="W72" s="3"/>
      <c r="X72" s="3"/>
      <c r="Y72" s="3"/>
      <c r="Z72" s="3"/>
      <c r="AA72" s="3"/>
      <c r="AB72" s="3"/>
      <c r="AC72" s="3"/>
      <c r="AD72" s="3"/>
      <c r="AE72" s="3"/>
      <c r="AF72" s="3"/>
      <c r="AG72" s="3"/>
      <c r="AH72" s="3"/>
      <c r="AI72" s="3"/>
      <c r="AJ72" s="3"/>
      <c r="AK72" s="3"/>
      <c r="AL72" s="3"/>
      <c r="AM72" s="3"/>
      <c r="AN72" s="3"/>
      <c r="AO72" s="3"/>
      <c r="AP72" s="3"/>
      <c r="AQ72" s="3"/>
      <c r="AR72" s="3"/>
      <c r="AS72" s="3"/>
      <c r="AT72" s="3"/>
    </row>
    <row r="73" spans="2:49" x14ac:dyDescent="0.35">
      <c r="C73" s="326" t="s">
        <v>30</v>
      </c>
      <c r="D73" s="326"/>
      <c r="G73" s="4" t="s">
        <v>145</v>
      </c>
      <c r="H73" s="22">
        <f>Ratio_Cellulase_To_Cellulose*Cellulose_Ratio*DAH_Stover_Content</f>
        <v>43.106527290708001</v>
      </c>
      <c r="I73" t="s">
        <v>146</v>
      </c>
      <c r="L73" s="3"/>
      <c r="M73" s="3"/>
      <c r="N73" s="3"/>
      <c r="O73" s="65"/>
      <c r="Q73" s="3"/>
      <c r="R73" s="3"/>
      <c r="S73" s="3"/>
      <c r="T73" s="3"/>
      <c r="V73" s="3"/>
      <c r="W73" s="3"/>
      <c r="X73" s="3"/>
      <c r="Y73" s="3"/>
      <c r="Z73" s="3"/>
      <c r="AA73" s="3"/>
      <c r="AB73" s="3"/>
      <c r="AC73" s="3"/>
      <c r="AD73" s="3"/>
      <c r="AE73" s="3"/>
      <c r="AF73" s="3"/>
      <c r="AG73" s="3"/>
      <c r="AH73" s="3"/>
      <c r="AI73" s="3"/>
      <c r="AJ73" s="3"/>
      <c r="AK73" s="3"/>
      <c r="AL73" s="3"/>
      <c r="AM73" s="3"/>
      <c r="AN73" s="3"/>
      <c r="AO73" s="3"/>
      <c r="AP73" s="3"/>
      <c r="AQ73" s="3"/>
      <c r="AR73" s="3"/>
      <c r="AS73" s="3"/>
      <c r="AT73" s="3"/>
    </row>
    <row r="74" spans="2:49" x14ac:dyDescent="0.35">
      <c r="C74">
        <v>1.0820000000000001</v>
      </c>
      <c r="D74" t="s">
        <v>52</v>
      </c>
      <c r="E74" s="12" t="s">
        <v>85</v>
      </c>
      <c r="F74" s="18" t="s">
        <v>17</v>
      </c>
      <c r="G74" s="4" t="s">
        <v>298</v>
      </c>
      <c r="H74" s="6">
        <f>Q_Required_Cooling_EH</f>
        <v>-686.81666685718801</v>
      </c>
      <c r="I74" t="s">
        <v>112</v>
      </c>
      <c r="L74" s="3"/>
      <c r="M74" s="3"/>
      <c r="N74" s="3"/>
      <c r="O74" s="65"/>
      <c r="Q74" s="3"/>
      <c r="R74" s="3"/>
      <c r="S74" s="3"/>
      <c r="T74" s="3"/>
      <c r="V74" s="3"/>
      <c r="W74" s="3"/>
      <c r="X74" s="3"/>
      <c r="Y74" s="3"/>
      <c r="Z74" s="3"/>
      <c r="AA74" s="3"/>
      <c r="AB74" s="3"/>
      <c r="AC74" s="3"/>
      <c r="AD74" s="3"/>
      <c r="AE74" s="3"/>
      <c r="AF74" s="3"/>
      <c r="AG74" s="3"/>
      <c r="AH74" s="3"/>
      <c r="AI74" s="3"/>
      <c r="AJ74" s="3"/>
      <c r="AK74" s="3"/>
      <c r="AL74" s="3"/>
      <c r="AM74" s="3"/>
      <c r="AN74" s="3"/>
      <c r="AO74" s="3"/>
      <c r="AP74" s="3"/>
      <c r="AQ74" s="3"/>
      <c r="AR74" s="3"/>
      <c r="AS74" s="3"/>
      <c r="AT74" s="3"/>
    </row>
    <row r="75" spans="2:49" x14ac:dyDescent="0.35">
      <c r="C75" s="11">
        <f>Lbs_Fertilizer_Per_Acre*'Conversions Page'!D9</f>
        <v>0.49070294784580498</v>
      </c>
      <c r="D75" t="s">
        <v>53</v>
      </c>
      <c r="G75" s="4" t="s">
        <v>334</v>
      </c>
      <c r="H75" s="6">
        <f>MJ_Per_ha_400</f>
        <v>57.412160137308419</v>
      </c>
      <c r="I75" t="s">
        <v>112</v>
      </c>
      <c r="L75" s="3"/>
      <c r="M75" s="3"/>
      <c r="N75" s="3"/>
      <c r="O75" s="65"/>
      <c r="Q75" s="3"/>
      <c r="R75" s="3"/>
      <c r="S75" s="3"/>
      <c r="T75" s="3"/>
      <c r="V75" s="3"/>
      <c r="W75" s="3"/>
      <c r="X75" s="3"/>
      <c r="Y75" s="3"/>
      <c r="Z75" s="3"/>
      <c r="AA75" s="3"/>
      <c r="AB75" s="3"/>
      <c r="AC75" s="3"/>
      <c r="AD75" s="3"/>
      <c r="AE75" s="3"/>
      <c r="AF75" s="3"/>
      <c r="AG75" s="3"/>
      <c r="AH75" s="3"/>
      <c r="AI75" s="3"/>
      <c r="AJ75" s="3"/>
      <c r="AK75" s="3"/>
      <c r="AL75" s="3"/>
      <c r="AM75" s="3"/>
      <c r="AN75" s="3"/>
      <c r="AO75" s="3"/>
      <c r="AP75" s="3"/>
      <c r="AQ75" s="3"/>
      <c r="AR75" s="3"/>
      <c r="AS75" s="3"/>
      <c r="AT75" s="3"/>
    </row>
    <row r="76" spans="2:49" x14ac:dyDescent="0.35">
      <c r="C76" s="11">
        <f>kg_Atrazine_Per_Acre*'Conversions Page'!D6</f>
        <v>1.2125515192743763</v>
      </c>
      <c r="D76" t="s">
        <v>54</v>
      </c>
      <c r="G76" s="4"/>
      <c r="L76" s="3"/>
      <c r="M76" s="3"/>
      <c r="N76" s="3"/>
      <c r="O76" s="65"/>
      <c r="Q76" s="3"/>
      <c r="R76" s="3"/>
      <c r="S76" s="3"/>
      <c r="T76" s="3"/>
      <c r="V76" s="3"/>
      <c r="W76" s="3"/>
      <c r="X76" s="3"/>
      <c r="Y76" s="3"/>
      <c r="Z76" s="3"/>
      <c r="AA76" s="3"/>
      <c r="AB76" s="3"/>
      <c r="AC76" s="3"/>
      <c r="AD76" s="3"/>
      <c r="AE76" s="3"/>
      <c r="AF76" s="3"/>
      <c r="AG76" s="3"/>
      <c r="AH76" s="3"/>
      <c r="AI76" s="3"/>
      <c r="AJ76" s="3"/>
      <c r="AK76" s="3"/>
      <c r="AL76" s="3"/>
      <c r="AM76" s="3"/>
      <c r="AN76" s="3"/>
      <c r="AO76" s="3"/>
      <c r="AP76" s="3"/>
      <c r="AQ76" s="3"/>
      <c r="AR76" s="3"/>
      <c r="AS76" s="3"/>
      <c r="AT76" s="3"/>
    </row>
    <row r="77" spans="2:49" x14ac:dyDescent="0.35">
      <c r="E77" s="7"/>
      <c r="G77" s="4"/>
      <c r="H77" s="326" t="s">
        <v>30</v>
      </c>
      <c r="I77" s="326"/>
      <c r="J77" s="12" t="s">
        <v>150</v>
      </c>
      <c r="L77" s="3"/>
      <c r="M77" s="3"/>
      <c r="N77" s="3"/>
      <c r="O77" s="65"/>
      <c r="Q77" s="3"/>
      <c r="R77" s="3"/>
      <c r="S77" s="3"/>
      <c r="T77" s="3"/>
      <c r="V77" s="3"/>
      <c r="W77" s="3"/>
      <c r="X77" s="3"/>
      <c r="Y77" s="3"/>
      <c r="Z77" s="3"/>
      <c r="AA77" s="3"/>
      <c r="AB77" s="3"/>
      <c r="AC77" s="3"/>
      <c r="AD77" s="3"/>
      <c r="AE77" s="3"/>
      <c r="AF77" s="3"/>
      <c r="AG77" s="3"/>
      <c r="AH77" s="3"/>
      <c r="AI77" s="3"/>
      <c r="AJ77" s="3"/>
      <c r="AK77" s="3"/>
      <c r="AL77" s="3"/>
      <c r="AM77" s="3"/>
      <c r="AN77" s="3"/>
      <c r="AO77" s="3"/>
      <c r="AP77" s="3"/>
      <c r="AQ77" s="3"/>
      <c r="AR77" s="3"/>
      <c r="AS77" s="3"/>
      <c r="AT77" s="3"/>
    </row>
    <row r="78" spans="2:49" x14ac:dyDescent="0.35">
      <c r="C78" s="335" t="s">
        <v>27</v>
      </c>
      <c r="D78" s="335"/>
      <c r="G78" s="4"/>
      <c r="H78">
        <v>4</v>
      </c>
      <c r="I78" t="s">
        <v>148</v>
      </c>
      <c r="L78" s="3"/>
      <c r="M78" s="3"/>
      <c r="N78" s="3"/>
      <c r="O78" s="65"/>
      <c r="Q78" s="3"/>
      <c r="R78" s="3"/>
      <c r="S78" s="3"/>
      <c r="T78" s="3"/>
      <c r="V78" s="3"/>
      <c r="W78" s="3"/>
      <c r="X78" s="3"/>
      <c r="Y78" s="3"/>
      <c r="Z78" s="3"/>
      <c r="AA78" s="3"/>
      <c r="AB78" s="3"/>
      <c r="AC78" s="3"/>
      <c r="AD78" s="3"/>
      <c r="AE78" s="3"/>
      <c r="AF78" s="3"/>
      <c r="AG78" s="3"/>
      <c r="AH78" s="3"/>
      <c r="AI78" s="3"/>
      <c r="AJ78" s="3"/>
      <c r="AK78" s="3"/>
      <c r="AL78" s="3"/>
      <c r="AM78" s="3"/>
      <c r="AN78" s="3"/>
      <c r="AO78" s="3"/>
      <c r="AP78" s="3"/>
      <c r="AQ78" s="3"/>
      <c r="AR78" s="3"/>
      <c r="AS78" s="3"/>
      <c r="AT78" s="3"/>
    </row>
    <row r="79" spans="2:49" x14ac:dyDescent="0.35">
      <c r="C79">
        <f>Input_Hectares</f>
        <v>1</v>
      </c>
      <c r="D79" t="s">
        <v>55</v>
      </c>
      <c r="G79" s="4"/>
      <c r="H79">
        <v>0.02</v>
      </c>
      <c r="I79" t="s">
        <v>149</v>
      </c>
      <c r="L79" s="3"/>
      <c r="M79" s="3"/>
      <c r="N79" s="3"/>
      <c r="O79" s="65"/>
      <c r="Q79" s="3"/>
      <c r="R79" s="3"/>
      <c r="S79" s="3"/>
      <c r="T79" s="3"/>
      <c r="V79" s="3"/>
      <c r="W79" s="3"/>
      <c r="X79" s="3"/>
      <c r="Y79" s="3"/>
      <c r="Z79" s="3"/>
      <c r="AA79" s="3"/>
      <c r="AB79" s="3"/>
      <c r="AC79" s="3"/>
      <c r="AD79" s="3"/>
      <c r="AE79" s="3"/>
      <c r="AF79" s="3"/>
      <c r="AG79" s="3"/>
      <c r="AH79" s="3"/>
      <c r="AI79" s="3"/>
      <c r="AJ79" s="3"/>
      <c r="AK79" s="3"/>
      <c r="AL79" s="3"/>
      <c r="AM79" s="3"/>
      <c r="AN79" s="3"/>
      <c r="AO79" s="3"/>
      <c r="AP79" s="3"/>
      <c r="AQ79" s="3"/>
      <c r="AR79" s="3"/>
      <c r="AS79" s="3"/>
      <c r="AT79" s="3"/>
    </row>
    <row r="80" spans="2:49" x14ac:dyDescent="0.35">
      <c r="C80">
        <v>0</v>
      </c>
      <c r="D80" t="s">
        <v>388</v>
      </c>
      <c r="G80" s="4"/>
      <c r="H80">
        <v>175</v>
      </c>
      <c r="I80" t="s">
        <v>151</v>
      </c>
      <c r="L80" s="3"/>
      <c r="M80" s="3"/>
      <c r="N80" s="3"/>
      <c r="O80" s="65"/>
      <c r="Q80" s="3"/>
      <c r="R80" s="3"/>
      <c r="S80" s="3"/>
      <c r="T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row>
    <row r="81" spans="2:49" x14ac:dyDescent="0.35">
      <c r="D81" s="10"/>
      <c r="G81" s="4"/>
      <c r="H81">
        <v>48</v>
      </c>
      <c r="I81" t="s">
        <v>152</v>
      </c>
      <c r="L81" s="3"/>
      <c r="M81" s="3"/>
      <c r="N81" s="3"/>
      <c r="O81" s="65"/>
      <c r="Q81" s="3"/>
      <c r="R81" s="3"/>
      <c r="S81" s="3"/>
      <c r="T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row>
    <row r="82" spans="2:49" x14ac:dyDescent="0.35">
      <c r="B82" s="337" t="s">
        <v>409</v>
      </c>
      <c r="C82" s="337"/>
      <c r="D82" s="337"/>
      <c r="E82" s="337"/>
      <c r="G82" s="4"/>
      <c r="H82" s="6">
        <f>(Stover_PostDAH*C_P_Stover*(Final_Slurry_temp_ForEH-Inital_Slurry_temp_PostDAH))/1000</f>
        <v>-686.81666685718801</v>
      </c>
      <c r="I82" t="s">
        <v>299</v>
      </c>
      <c r="L82" s="3"/>
      <c r="M82" s="3"/>
      <c r="N82" s="3"/>
      <c r="O82" s="65"/>
      <c r="Q82" s="3"/>
      <c r="R82" s="3"/>
      <c r="S82" s="3"/>
      <c r="T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row>
    <row r="83" spans="2:49" x14ac:dyDescent="0.35">
      <c r="C83" s="336" t="s">
        <v>12</v>
      </c>
      <c r="D83" s="336"/>
      <c r="G83" s="4"/>
      <c r="L83" s="3"/>
      <c r="M83" s="3"/>
      <c r="N83" s="3"/>
      <c r="O83" s="65"/>
      <c r="Q83" s="3"/>
      <c r="R83" s="3"/>
      <c r="S83" s="3"/>
      <c r="T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row>
    <row r="84" spans="2:49" x14ac:dyDescent="0.35">
      <c r="B84" s="4" t="s">
        <v>56</v>
      </c>
      <c r="C84" s="11">
        <v>2.9649999999999999</v>
      </c>
      <c r="D84" s="10" t="s">
        <v>57</v>
      </c>
      <c r="G84" s="326" t="s">
        <v>134</v>
      </c>
      <c r="H84" s="326"/>
      <c r="I84" s="326"/>
      <c r="J84" s="326"/>
      <c r="L84" s="3"/>
      <c r="M84" s="3"/>
      <c r="N84" s="3"/>
      <c r="O84" s="65"/>
      <c r="Q84" s="3"/>
      <c r="R84" s="3"/>
      <c r="S84" s="3"/>
      <c r="T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row>
    <row r="85" spans="2:49" x14ac:dyDescent="0.35">
      <c r="B85" s="4" t="s">
        <v>63</v>
      </c>
      <c r="C85" s="11">
        <v>56.124000000000002</v>
      </c>
      <c r="D85" s="10" t="s">
        <v>74</v>
      </c>
      <c r="G85" s="4"/>
      <c r="H85">
        <f>Glucose_DAH</f>
        <v>0.33373649999999994</v>
      </c>
      <c r="I85" t="s">
        <v>137</v>
      </c>
      <c r="L85" s="3"/>
      <c r="M85" s="3"/>
      <c r="N85" s="3"/>
      <c r="O85" s="65"/>
      <c r="Q85" s="3"/>
      <c r="R85" s="3"/>
      <c r="S85" s="3"/>
      <c r="T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row>
    <row r="86" spans="2:49" x14ac:dyDescent="0.35">
      <c r="B86" s="4"/>
      <c r="C86" s="11"/>
      <c r="D86" s="10"/>
      <c r="G86" s="4"/>
      <c r="H86">
        <f>Cellulose_Ratio-Glucose_DAH</f>
        <v>7.676350000000004E-2</v>
      </c>
      <c r="I86" t="s">
        <v>128</v>
      </c>
      <c r="L86" s="3"/>
      <c r="M86" s="3"/>
      <c r="N86" s="3"/>
      <c r="O86" s="65"/>
      <c r="Q86" s="3"/>
      <c r="R86" s="3"/>
      <c r="S86" s="3"/>
      <c r="T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row>
    <row r="87" spans="2:49" x14ac:dyDescent="0.35">
      <c r="B87" s="4"/>
      <c r="C87" s="338" t="s">
        <v>30</v>
      </c>
      <c r="D87" s="338"/>
      <c r="H87">
        <f>Xylose_DAH</f>
        <v>0.21031300000000003</v>
      </c>
      <c r="I87" t="s">
        <v>138</v>
      </c>
      <c r="L87" s="3"/>
      <c r="M87" s="3"/>
      <c r="N87" s="3"/>
      <c r="O87" s="65"/>
      <c r="Q87" s="3"/>
      <c r="R87" s="3"/>
      <c r="S87" s="3"/>
      <c r="T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row>
    <row r="88" spans="2:49" x14ac:dyDescent="0.35">
      <c r="B88" s="4"/>
      <c r="C88" s="11">
        <v>1.2</v>
      </c>
      <c r="D88" s="10" t="s">
        <v>64</v>
      </c>
      <c r="E88" s="25" t="s">
        <v>65</v>
      </c>
      <c r="H88">
        <f>Hemicellulose_Ratio-Xylose_DAH</f>
        <v>0.10358699999999998</v>
      </c>
      <c r="I88" t="s">
        <v>129</v>
      </c>
      <c r="L88" s="3"/>
      <c r="M88" s="3"/>
      <c r="N88" s="3"/>
      <c r="O88" s="65"/>
      <c r="Q88" s="3"/>
      <c r="R88" s="3"/>
      <c r="S88" s="3"/>
      <c r="T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row>
    <row r="89" spans="2:49" x14ac:dyDescent="0.35">
      <c r="B89" s="4"/>
      <c r="C89" s="11">
        <f>Hours_Labor_Per_Acre*'Conversions Page'!D6</f>
        <v>2.9652599999999998</v>
      </c>
      <c r="D89" s="10" t="s">
        <v>57</v>
      </c>
      <c r="E89" s="25"/>
      <c r="H89">
        <f>Lignin_Ratio</f>
        <v>6.3399999999999998E-2</v>
      </c>
      <c r="I89" t="s">
        <v>130</v>
      </c>
      <c r="L89" s="3"/>
      <c r="M89" s="3"/>
      <c r="N89" s="3"/>
      <c r="O89" s="65"/>
      <c r="Q89" s="3"/>
      <c r="R89" s="3"/>
      <c r="S89" s="3"/>
      <c r="T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row>
    <row r="90" spans="2:49" x14ac:dyDescent="0.35">
      <c r="B90" s="4"/>
      <c r="C90" s="11">
        <v>6</v>
      </c>
      <c r="D90" s="10" t="s">
        <v>66</v>
      </c>
      <c r="E90" s="25"/>
      <c r="H90">
        <f>Extractives_Ratio</f>
        <v>0.16950000000000001</v>
      </c>
      <c r="I90" t="s">
        <v>132</v>
      </c>
      <c r="L90" s="3"/>
      <c r="M90" s="3"/>
      <c r="N90" s="3"/>
      <c r="O90" s="65"/>
      <c r="Q90" s="3"/>
      <c r="R90" s="3"/>
      <c r="S90" s="3"/>
      <c r="T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row>
    <row r="91" spans="2:49" x14ac:dyDescent="0.35">
      <c r="B91" s="4"/>
      <c r="C91" s="11">
        <f>Approx_Gal_Diesel_Per_Acre*'Conversions Page'!D6</f>
        <v>14.8263</v>
      </c>
      <c r="D91" s="10" t="s">
        <v>67</v>
      </c>
      <c r="E91" s="25"/>
      <c r="H91">
        <f>Ash_Ratio</f>
        <v>4.2700000000000002E-2</v>
      </c>
      <c r="I91" t="s">
        <v>131</v>
      </c>
      <c r="L91" s="3"/>
      <c r="M91" s="3"/>
      <c r="N91" s="3"/>
      <c r="O91" s="65"/>
      <c r="Q91" s="3"/>
      <c r="R91" s="3"/>
      <c r="S91" s="3"/>
      <c r="T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row>
    <row r="92" spans="2:49" x14ac:dyDescent="0.35">
      <c r="B92" s="4">
        <v>128</v>
      </c>
      <c r="C92" s="11">
        <f>C91*'Conversions Page'!D13</f>
        <v>56.123624283000005</v>
      </c>
      <c r="D92" s="10" t="s">
        <v>68</v>
      </c>
      <c r="E92" s="25"/>
      <c r="L92" s="3"/>
      <c r="M92" s="3"/>
      <c r="N92" s="3"/>
      <c r="O92" s="65"/>
      <c r="Q92" s="3"/>
      <c r="R92" s="3"/>
      <c r="S92" s="3"/>
      <c r="T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row>
    <row r="93" spans="2:49" x14ac:dyDescent="0.35">
      <c r="E93" s="7"/>
      <c r="G93" s="4" t="s">
        <v>153</v>
      </c>
      <c r="H93" s="32">
        <v>0.95199999999999996</v>
      </c>
      <c r="I93" t="s">
        <v>154</v>
      </c>
      <c r="J93" s="17" t="s">
        <v>150</v>
      </c>
      <c r="L93" s="3"/>
      <c r="M93" s="3"/>
      <c r="N93" s="3"/>
      <c r="O93" s="65"/>
      <c r="Q93" s="3"/>
      <c r="R93" s="3"/>
      <c r="S93" s="3"/>
      <c r="T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row>
    <row r="94" spans="2:49" x14ac:dyDescent="0.35">
      <c r="C94" s="335" t="s">
        <v>27</v>
      </c>
      <c r="D94" s="335"/>
      <c r="L94" s="3"/>
      <c r="M94" s="3"/>
      <c r="N94" s="3"/>
      <c r="O94" s="65"/>
      <c r="Q94" s="3"/>
      <c r="R94" s="3"/>
      <c r="S94" s="3"/>
      <c r="T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row>
    <row r="95" spans="2:49" x14ac:dyDescent="0.35">
      <c r="C95">
        <f>Input_Hectares</f>
        <v>1</v>
      </c>
      <c r="D95" t="s">
        <v>58</v>
      </c>
      <c r="G95" s="326" t="s">
        <v>155</v>
      </c>
      <c r="H95" s="326"/>
      <c r="I95" s="326"/>
      <c r="J95" s="326"/>
      <c r="L95" s="3"/>
      <c r="M95" s="3"/>
      <c r="N95" s="3"/>
      <c r="O95" s="65"/>
      <c r="Q95" s="3"/>
      <c r="R95" s="3"/>
      <c r="S95" s="3"/>
      <c r="T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row>
    <row r="96" spans="2:49" x14ac:dyDescent="0.35">
      <c r="H96">
        <f>(Glucose_After_DAH)+Cellulose_After_DAH*H93</f>
        <v>0.40681535199999996</v>
      </c>
      <c r="I96" t="s">
        <v>137</v>
      </c>
      <c r="L96" s="3"/>
      <c r="M96" s="3"/>
      <c r="N96" s="3"/>
      <c r="O96" s="65"/>
      <c r="Q96" s="3"/>
      <c r="R96" s="3"/>
      <c r="S96" s="3"/>
      <c r="T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row>
    <row r="97" spans="2:49" x14ac:dyDescent="0.35">
      <c r="B97" s="337" t="s">
        <v>410</v>
      </c>
      <c r="C97" s="337"/>
      <c r="D97" s="337"/>
      <c r="E97" s="337"/>
      <c r="H97">
        <f>(1-H93)*Cellulose_After_DAH</f>
        <v>3.6846480000000052E-3</v>
      </c>
      <c r="I97" t="s">
        <v>128</v>
      </c>
      <c r="L97" s="3"/>
      <c r="M97" s="3"/>
      <c r="N97" s="3"/>
      <c r="O97" s="65"/>
      <c r="Q97" s="3"/>
      <c r="R97" s="3"/>
      <c r="S97" s="3"/>
      <c r="T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row>
    <row r="98" spans="2:49" x14ac:dyDescent="0.35">
      <c r="C98" s="335" t="s">
        <v>12</v>
      </c>
      <c r="D98" s="335"/>
      <c r="H98">
        <f>Xylose_After_DAH</f>
        <v>0.21031300000000003</v>
      </c>
      <c r="I98" t="s">
        <v>138</v>
      </c>
      <c r="L98" s="3"/>
      <c r="M98" s="3"/>
      <c r="N98" s="3"/>
      <c r="O98" s="65"/>
      <c r="Q98" s="3"/>
      <c r="R98" s="3"/>
      <c r="S98" s="3"/>
      <c r="T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row>
    <row r="99" spans="2:49" x14ac:dyDescent="0.35">
      <c r="B99" s="30" t="s">
        <v>59</v>
      </c>
      <c r="C99" s="27">
        <f>Input_Hectares</f>
        <v>1</v>
      </c>
      <c r="D99" t="s">
        <v>60</v>
      </c>
      <c r="H99">
        <f>HemiCell_After_DAH</f>
        <v>0.10358699999999998</v>
      </c>
      <c r="I99" t="s">
        <v>129</v>
      </c>
      <c r="L99" s="3"/>
      <c r="M99" s="3"/>
      <c r="N99" s="3"/>
      <c r="O99" s="65"/>
      <c r="Q99" s="3"/>
      <c r="R99" s="3"/>
      <c r="S99" s="3"/>
      <c r="T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row>
    <row r="100" spans="2:49" x14ac:dyDescent="0.35">
      <c r="B100" s="4" t="s">
        <v>411</v>
      </c>
      <c r="C100" s="5">
        <f>Inputs!A15</f>
        <v>37799.767051007941</v>
      </c>
      <c r="D100" s="10" t="s">
        <v>8</v>
      </c>
      <c r="H100">
        <f>Lignin_After_DAH</f>
        <v>6.3399999999999998E-2</v>
      </c>
      <c r="I100" t="s">
        <v>130</v>
      </c>
      <c r="L100" s="3"/>
      <c r="M100" s="3"/>
      <c r="N100" s="3"/>
      <c r="O100" s="65"/>
      <c r="Q100" s="3"/>
      <c r="R100" s="3"/>
      <c r="S100" s="3"/>
      <c r="T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row>
    <row r="101" spans="2:49" x14ac:dyDescent="0.35">
      <c r="B101" s="4" t="s">
        <v>394</v>
      </c>
      <c r="C101" s="6">
        <f>C112</f>
        <v>251.71522416793755</v>
      </c>
      <c r="D101" s="10" t="s">
        <v>8</v>
      </c>
      <c r="H101">
        <f>Extract_After_DAH</f>
        <v>0.16950000000000001</v>
      </c>
      <c r="I101" t="s">
        <v>132</v>
      </c>
      <c r="L101" s="3"/>
      <c r="M101" s="3"/>
      <c r="N101" s="3"/>
      <c r="O101" s="65"/>
      <c r="Q101" s="3"/>
      <c r="R101" s="3"/>
      <c r="S101" s="3"/>
      <c r="T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row>
    <row r="102" spans="2:49" x14ac:dyDescent="0.35">
      <c r="B102" s="4"/>
      <c r="D102" s="10"/>
      <c r="E102" s="12"/>
      <c r="F102" s="18" t="s">
        <v>17</v>
      </c>
      <c r="H102">
        <f>Ash_After_DAH</f>
        <v>4.2700000000000002E-2</v>
      </c>
      <c r="I102" t="s">
        <v>131</v>
      </c>
      <c r="L102" s="3"/>
      <c r="M102" s="3"/>
      <c r="N102" s="3"/>
      <c r="O102" s="65"/>
      <c r="Q102" s="3"/>
      <c r="R102" s="3"/>
      <c r="S102" s="3"/>
      <c r="T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row>
    <row r="103" spans="2:49" x14ac:dyDescent="0.35">
      <c r="B103" s="4"/>
      <c r="C103" s="339" t="s">
        <v>30</v>
      </c>
      <c r="D103" s="339"/>
      <c r="E103" s="12"/>
      <c r="L103" s="3"/>
      <c r="M103" s="3"/>
      <c r="N103" s="3"/>
      <c r="O103" s="65"/>
      <c r="Q103" s="3"/>
      <c r="R103" s="3"/>
      <c r="S103" s="3"/>
      <c r="T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row>
    <row r="104" spans="2:49" x14ac:dyDescent="0.35">
      <c r="B104" s="4"/>
      <c r="C104">
        <f>Inputs!K22</f>
        <v>286.89</v>
      </c>
      <c r="D104" s="10" t="s">
        <v>47</v>
      </c>
      <c r="E104" s="12"/>
      <c r="H104" s="335" t="s">
        <v>27</v>
      </c>
      <c r="I104" s="335"/>
      <c r="L104" s="3"/>
      <c r="M104" s="3"/>
      <c r="N104" s="3"/>
      <c r="O104" s="65"/>
      <c r="Q104" s="3"/>
      <c r="R104" s="3"/>
      <c r="S104" s="3"/>
      <c r="T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row>
    <row r="105" spans="2:49" x14ac:dyDescent="0.35">
      <c r="B105" s="4"/>
      <c r="C105">
        <f>Inputs!K23</f>
        <v>113.19</v>
      </c>
      <c r="D105" s="10" t="s">
        <v>89</v>
      </c>
      <c r="E105" s="12" t="s">
        <v>535</v>
      </c>
      <c r="H105" s="22">
        <f>Stover_PostDAH</f>
        <v>5250.4905348000002</v>
      </c>
      <c r="I105" t="s">
        <v>157</v>
      </c>
      <c r="L105" s="3"/>
      <c r="M105" s="3"/>
      <c r="N105" s="3"/>
      <c r="O105" s="65"/>
      <c r="Q105" s="3"/>
      <c r="R105" s="3"/>
      <c r="S105" s="3"/>
      <c r="T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row>
    <row r="106" spans="2:49" x14ac:dyDescent="0.35">
      <c r="B106" s="4"/>
      <c r="C106">
        <f>Inputs!K24</f>
        <v>201.72</v>
      </c>
      <c r="D106" s="10" t="s">
        <v>90</v>
      </c>
      <c r="E106" s="12"/>
      <c r="H106" s="22">
        <f>Stover_PostDAH+H72+H73</f>
        <v>26295.559201290707</v>
      </c>
      <c r="I106" t="s">
        <v>156</v>
      </c>
      <c r="L106" s="3"/>
      <c r="M106" s="3"/>
      <c r="N106" s="3"/>
      <c r="O106" s="65"/>
      <c r="Q106" s="3"/>
      <c r="R106" s="3"/>
      <c r="S106" s="3"/>
      <c r="T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row>
    <row r="107" spans="2:49" x14ac:dyDescent="0.35">
      <c r="B107" s="4"/>
      <c r="C107">
        <f>Inputs!K25</f>
        <v>25.78</v>
      </c>
      <c r="D107" s="10" t="s">
        <v>977</v>
      </c>
      <c r="E107" s="12"/>
      <c r="L107" s="3"/>
      <c r="M107" s="3"/>
      <c r="N107" s="3"/>
      <c r="O107" s="65"/>
      <c r="Q107" s="3"/>
      <c r="R107" s="3"/>
      <c r="S107" s="3"/>
      <c r="T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row>
    <row r="108" spans="2:49" x14ac:dyDescent="0.35">
      <c r="B108" s="257"/>
      <c r="D108" s="10"/>
      <c r="E108" s="12"/>
      <c r="G108" s="337" t="s">
        <v>4</v>
      </c>
      <c r="H108" s="337"/>
      <c r="I108" s="337"/>
      <c r="J108" s="337"/>
      <c r="L108" s="3"/>
      <c r="M108" s="3"/>
      <c r="N108" s="3"/>
      <c r="O108" s="65"/>
      <c r="Q108" s="3"/>
      <c r="R108" s="3"/>
      <c r="S108" s="3"/>
      <c r="T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row>
    <row r="109" spans="2:49" x14ac:dyDescent="0.35">
      <c r="B109" s="257"/>
      <c r="C109">
        <f>C104</f>
        <v>286.89</v>
      </c>
      <c r="D109" s="10" t="s">
        <v>47</v>
      </c>
      <c r="E109" s="12"/>
      <c r="H109" s="335" t="s">
        <v>12</v>
      </c>
      <c r="I109" s="335"/>
      <c r="L109" s="3"/>
      <c r="M109" s="3"/>
      <c r="N109" s="3"/>
      <c r="O109" s="65"/>
      <c r="Q109" s="3"/>
      <c r="R109" s="3"/>
      <c r="S109" s="3"/>
      <c r="T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row>
    <row r="110" spans="2:49" x14ac:dyDescent="0.35">
      <c r="B110" s="257"/>
      <c r="C110" s="6">
        <f>C105*((2*31)/284)</f>
        <v>24.710492957746478</v>
      </c>
      <c r="D110" s="10" t="s">
        <v>562</v>
      </c>
      <c r="E110" s="12"/>
      <c r="G110" s="4" t="s">
        <v>93</v>
      </c>
      <c r="H110" s="6">
        <f>MJ_Per_ha_EnzymeProd</f>
        <v>1536.3166326408334</v>
      </c>
      <c r="I110" t="s">
        <v>112</v>
      </c>
      <c r="L110" s="3"/>
      <c r="M110" s="3"/>
      <c r="N110" s="3"/>
      <c r="O110" s="65"/>
      <c r="Q110" s="3"/>
      <c r="R110" s="3"/>
      <c r="S110" s="3"/>
      <c r="T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row>
    <row r="111" spans="2:49" x14ac:dyDescent="0.35">
      <c r="B111" s="257"/>
      <c r="C111" s="6">
        <f>C106*((39.097*2)/94.2)</f>
        <v>167.44473121019109</v>
      </c>
      <c r="D111" s="10" t="s">
        <v>563</v>
      </c>
      <c r="E111" s="12"/>
      <c r="G111" s="4" t="s">
        <v>177</v>
      </c>
      <c r="H111" s="22">
        <f>Glucose_EP_I</f>
        <v>140</v>
      </c>
      <c r="I111" t="s">
        <v>8</v>
      </c>
      <c r="L111" s="3"/>
      <c r="M111" s="3"/>
      <c r="N111" s="3"/>
      <c r="O111" s="65"/>
      <c r="Q111" s="3"/>
      <c r="R111" s="3"/>
      <c r="S111" s="3"/>
      <c r="T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row>
    <row r="112" spans="2:49" x14ac:dyDescent="0.35">
      <c r="C112" s="6">
        <f>Inputs!K14</f>
        <v>251.71522416793755</v>
      </c>
      <c r="D112" s="10" t="s">
        <v>536</v>
      </c>
      <c r="G112" s="4" t="s">
        <v>172</v>
      </c>
      <c r="H112" s="59">
        <f>Ammon_DAH_I</f>
        <v>59.969597416352123</v>
      </c>
      <c r="I112" t="s">
        <v>8</v>
      </c>
      <c r="L112" s="3"/>
      <c r="M112" s="3"/>
      <c r="N112" s="3"/>
      <c r="O112" s="65"/>
      <c r="Q112" s="3"/>
      <c r="R112" s="3"/>
      <c r="S112" s="3"/>
      <c r="T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row>
    <row r="113" spans="2:49" x14ac:dyDescent="0.35">
      <c r="G113" s="4" t="s">
        <v>168</v>
      </c>
      <c r="H113" s="59">
        <f>SO2_EP_I</f>
        <v>0.90327199999999996</v>
      </c>
      <c r="I113" t="s">
        <v>8</v>
      </c>
      <c r="L113" s="3"/>
      <c r="M113" s="3"/>
      <c r="N113" s="3"/>
      <c r="O113" s="65"/>
      <c r="Q113" s="3"/>
      <c r="R113" s="3"/>
      <c r="S113" s="3"/>
      <c r="T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row>
    <row r="114" spans="2:49" x14ac:dyDescent="0.35">
      <c r="C114" s="11">
        <f>Inputs!K20</f>
        <v>11126.157019485892</v>
      </c>
      <c r="D114" t="s">
        <v>389</v>
      </c>
      <c r="E114" t="s">
        <v>9</v>
      </c>
      <c r="G114" s="4" t="s">
        <v>167</v>
      </c>
      <c r="H114" s="59">
        <f>CSL_EP_I</f>
        <v>80.676169999999999</v>
      </c>
      <c r="I114" t="s">
        <v>8</v>
      </c>
      <c r="L114" s="3"/>
      <c r="M114" s="3"/>
      <c r="N114" s="3"/>
      <c r="O114" s="65"/>
      <c r="Q114" s="3"/>
      <c r="R114" s="3"/>
      <c r="S114" s="3"/>
      <c r="T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row>
    <row r="115" spans="2:49" x14ac:dyDescent="0.35">
      <c r="C115" s="5">
        <f>C114-(C114*0.25)</f>
        <v>8344.6177646144188</v>
      </c>
      <c r="D115" t="s">
        <v>390</v>
      </c>
      <c r="G115" s="4" t="s">
        <v>165</v>
      </c>
      <c r="H115" s="59">
        <f>Corn_Oil_EP_I</f>
        <v>0.74412</v>
      </c>
      <c r="I115" t="s">
        <v>333</v>
      </c>
      <c r="L115" s="3"/>
      <c r="M115" s="3"/>
      <c r="N115" s="3"/>
      <c r="O115" s="65"/>
      <c r="Q115" s="3"/>
      <c r="R115" s="3"/>
      <c r="S115" s="3"/>
      <c r="T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row>
    <row r="116" spans="2:49" x14ac:dyDescent="0.35">
      <c r="C116" s="5">
        <f>C115/0.25</f>
        <v>33378.471058457675</v>
      </c>
      <c r="D116" t="s">
        <v>506</v>
      </c>
      <c r="G116" s="4" t="s">
        <v>163</v>
      </c>
      <c r="H116" s="59">
        <f>Ammon_Sulfate_EP</f>
        <v>1.041768</v>
      </c>
      <c r="I116" t="s">
        <v>8</v>
      </c>
      <c r="L116" s="3"/>
      <c r="M116" s="3"/>
      <c r="N116" s="3"/>
      <c r="O116" s="65"/>
      <c r="Q116" s="3"/>
      <c r="R116" s="3"/>
      <c r="S116" s="3"/>
      <c r="T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row>
    <row r="117" spans="2:49" x14ac:dyDescent="0.35">
      <c r="C117" s="5">
        <f>C116-C114</f>
        <v>22252.314038971781</v>
      </c>
      <c r="D117" t="s">
        <v>502</v>
      </c>
      <c r="G117" s="4" t="s">
        <v>162</v>
      </c>
      <c r="H117" s="59">
        <f>Potass_Phosph_EP_I</f>
        <v>1.48824</v>
      </c>
      <c r="I117" t="s">
        <v>8</v>
      </c>
      <c r="L117" s="3"/>
      <c r="M117" s="3"/>
      <c r="N117" s="3"/>
      <c r="O117" s="65"/>
      <c r="Q117" s="3"/>
      <c r="R117" s="3"/>
      <c r="S117" s="3"/>
      <c r="T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row>
    <row r="118" spans="2:49" x14ac:dyDescent="0.35">
      <c r="G118" s="4" t="s">
        <v>161</v>
      </c>
      <c r="H118" s="59">
        <f>Mg_Sulfate_EP_I</f>
        <v>0.22323599999999999</v>
      </c>
      <c r="I118" t="s">
        <v>8</v>
      </c>
      <c r="L118" s="3"/>
      <c r="M118" s="3"/>
      <c r="N118" s="3"/>
      <c r="O118" s="65"/>
      <c r="Q118" s="3"/>
      <c r="R118" s="3"/>
      <c r="S118" s="3"/>
      <c r="T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row>
    <row r="119" spans="2:49" x14ac:dyDescent="0.35">
      <c r="C119" s="6">
        <f>Inputs!K19</f>
        <v>12546.517490058561</v>
      </c>
      <c r="D119" t="s">
        <v>503</v>
      </c>
      <c r="G119" s="4" t="s">
        <v>160</v>
      </c>
      <c r="H119" s="59">
        <f>Inputs!A32</f>
        <v>0.27648</v>
      </c>
      <c r="I119" t="s">
        <v>8</v>
      </c>
      <c r="L119" s="3"/>
      <c r="M119" s="3"/>
      <c r="N119" s="3"/>
      <c r="O119" s="65"/>
      <c r="Q119" s="3"/>
      <c r="R119" s="3"/>
      <c r="S119" s="3"/>
      <c r="T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row>
    <row r="120" spans="2:49" x14ac:dyDescent="0.35">
      <c r="C120" s="6">
        <f>C119-(C119*0.15)</f>
        <v>10664.539866549776</v>
      </c>
      <c r="D120" t="s">
        <v>504</v>
      </c>
      <c r="G120" s="4" t="s">
        <v>882</v>
      </c>
      <c r="H120" s="59">
        <f>Inputs!A33</f>
        <v>8.7004090000000005</v>
      </c>
      <c r="I120" t="s">
        <v>8</v>
      </c>
      <c r="L120" s="3"/>
      <c r="M120" s="3"/>
      <c r="N120" s="3"/>
      <c r="O120" s="65"/>
      <c r="Q120" s="3"/>
      <c r="R120" s="3"/>
      <c r="S120" s="3"/>
      <c r="T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row>
    <row r="121" spans="2:49" x14ac:dyDescent="0.35">
      <c r="C121" s="6">
        <f>C120/0.7</f>
        <v>15235.056952213967</v>
      </c>
      <c r="D121" t="s">
        <v>507</v>
      </c>
      <c r="L121" s="3"/>
      <c r="M121" s="3"/>
      <c r="N121" s="3"/>
      <c r="O121" s="65"/>
      <c r="Q121" s="3"/>
      <c r="R121" s="3"/>
      <c r="S121" s="3"/>
      <c r="T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row>
    <row r="122" spans="2:49" x14ac:dyDescent="0.35">
      <c r="C122" s="6">
        <f>C121-C119</f>
        <v>2688.539462155406</v>
      </c>
      <c r="D122" t="s">
        <v>505</v>
      </c>
      <c r="H122" s="326" t="s">
        <v>30</v>
      </c>
      <c r="I122" s="326"/>
      <c r="L122" s="3"/>
      <c r="M122" s="3"/>
      <c r="N122" s="3"/>
      <c r="O122" s="65"/>
      <c r="Q122" s="3"/>
      <c r="R122" s="3"/>
      <c r="S122" s="3"/>
      <c r="T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row>
    <row r="123" spans="2:49" x14ac:dyDescent="0.35">
      <c r="G123" s="4" t="s">
        <v>174</v>
      </c>
      <c r="H123" s="6">
        <f>1.1*H73</f>
        <v>47.417180019778804</v>
      </c>
      <c r="I123" t="s">
        <v>146</v>
      </c>
      <c r="L123" s="3"/>
      <c r="M123" s="3"/>
      <c r="N123" s="3"/>
      <c r="O123" s="65"/>
      <c r="Q123" s="3"/>
      <c r="R123" s="3"/>
      <c r="S123" s="3"/>
      <c r="T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row>
    <row r="124" spans="2:49" x14ac:dyDescent="0.35">
      <c r="C124" s="5">
        <f>C121+C116</f>
        <v>48613.528010671638</v>
      </c>
      <c r="D124" t="s">
        <v>391</v>
      </c>
      <c r="G124" s="4" t="s">
        <v>93</v>
      </c>
      <c r="H124">
        <v>9</v>
      </c>
      <c r="I124" t="s">
        <v>173</v>
      </c>
      <c r="J124" s="17" t="s">
        <v>150</v>
      </c>
      <c r="L124" s="3"/>
      <c r="M124" s="3"/>
      <c r="N124" s="3"/>
      <c r="O124" s="65"/>
      <c r="Q124" s="3"/>
      <c r="R124" s="3"/>
      <c r="S124" s="3"/>
      <c r="T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row>
    <row r="125" spans="2:49" x14ac:dyDescent="0.35">
      <c r="B125" s="5"/>
      <c r="C125" s="5">
        <f>0.436*(C114+C119)</f>
        <v>10321.286086161381</v>
      </c>
      <c r="D125" t="s">
        <v>510</v>
      </c>
      <c r="G125" s="4" t="s">
        <v>93</v>
      </c>
      <c r="H125" s="6">
        <f>Electricity_Per_kg_Cell*Total_Cellulase_Required*'Conversions Page'!D16</f>
        <v>1536.3166326408334</v>
      </c>
      <c r="I125" s="10" t="s">
        <v>112</v>
      </c>
      <c r="L125" s="3"/>
      <c r="M125" s="3"/>
      <c r="N125" s="3"/>
      <c r="O125" s="65"/>
      <c r="Q125" s="3"/>
      <c r="R125" s="3"/>
      <c r="S125" s="3"/>
      <c r="T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row>
    <row r="126" spans="2:49" x14ac:dyDescent="0.35">
      <c r="B126" s="5"/>
      <c r="C126" s="5">
        <f>C125*44.01/12.0107</f>
        <v>37819.594249457761</v>
      </c>
      <c r="D126" t="s">
        <v>509</v>
      </c>
      <c r="G126" s="4" t="s">
        <v>171</v>
      </c>
      <c r="H126">
        <v>4</v>
      </c>
      <c r="I126" s="10" t="s">
        <v>170</v>
      </c>
      <c r="L126" s="3"/>
      <c r="M126" s="3"/>
      <c r="N126" s="3"/>
      <c r="O126" s="65"/>
      <c r="Q126" s="3"/>
      <c r="R126" s="3"/>
      <c r="S126" s="3"/>
      <c r="T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row>
    <row r="127" spans="2:49" x14ac:dyDescent="0.35">
      <c r="B127" s="5"/>
      <c r="C127" s="5">
        <f>C122+C117</f>
        <v>24940.853501127189</v>
      </c>
      <c r="D127" t="s">
        <v>508</v>
      </c>
      <c r="G127" s="4" t="s">
        <v>175</v>
      </c>
      <c r="H127" s="6">
        <f>Glucose_Reqd_Per_kg_Cellulase*Total_Cellulase_Required</f>
        <v>189.66872007911522</v>
      </c>
      <c r="I127" s="10" t="s">
        <v>176</v>
      </c>
      <c r="L127" s="3"/>
      <c r="M127" s="3"/>
      <c r="N127" s="3"/>
      <c r="O127" s="65"/>
      <c r="Q127" s="3"/>
      <c r="R127" s="3"/>
      <c r="S127" s="3"/>
      <c r="T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row>
    <row r="128" spans="2:49" x14ac:dyDescent="0.35">
      <c r="B128" s="5"/>
      <c r="C128" s="5">
        <f>(31.998/44.01)*C126</f>
        <v>27497.19102008974</v>
      </c>
      <c r="D128" t="s">
        <v>512</v>
      </c>
      <c r="G128" s="4" t="s">
        <v>169</v>
      </c>
      <c r="H128">
        <v>7</v>
      </c>
      <c r="I128" s="10" t="s">
        <v>159</v>
      </c>
      <c r="L128" s="3"/>
      <c r="M128" s="3"/>
      <c r="N128" s="3"/>
      <c r="O128" s="65"/>
      <c r="Q128" s="3"/>
      <c r="R128" s="3"/>
      <c r="S128" s="3"/>
      <c r="T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row>
    <row r="129" spans="2:49" x14ac:dyDescent="0.35">
      <c r="C129" s="5">
        <f>0.46*(C119+C114)</f>
        <v>10889.430274390448</v>
      </c>
      <c r="D129" t="s">
        <v>513</v>
      </c>
      <c r="E129" s="25" t="s">
        <v>539</v>
      </c>
      <c r="G129" s="4" t="s">
        <v>168</v>
      </c>
      <c r="H129">
        <v>0.6</v>
      </c>
      <c r="I129" s="10" t="s">
        <v>159</v>
      </c>
      <c r="L129" s="3"/>
      <c r="M129" s="3"/>
      <c r="N129" s="3"/>
      <c r="O129" s="65"/>
      <c r="Q129" s="3"/>
      <c r="R129" s="3"/>
      <c r="S129" s="3"/>
      <c r="T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row>
    <row r="130" spans="2:49" x14ac:dyDescent="0.35">
      <c r="C130" s="5">
        <f>C129/(15.999/18.01528)</f>
        <v>12261.774825527891</v>
      </c>
      <c r="D130" t="s">
        <v>537</v>
      </c>
      <c r="G130" s="4" t="s">
        <v>167</v>
      </c>
      <c r="H130" s="33">
        <v>0.01</v>
      </c>
      <c r="I130" s="10" t="s">
        <v>166</v>
      </c>
      <c r="L130" s="3"/>
      <c r="M130" s="3"/>
      <c r="N130" s="3"/>
      <c r="O130" s="65"/>
      <c r="Q130" s="3"/>
      <c r="R130" s="3"/>
      <c r="S130" s="3"/>
      <c r="T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row>
    <row r="131" spans="2:49" x14ac:dyDescent="0.35">
      <c r="C131" s="32">
        <f>Acre_Ft_Irr_Input</f>
        <v>0.5</v>
      </c>
      <c r="D131" t="s">
        <v>548</v>
      </c>
      <c r="G131" s="4" t="s">
        <v>165</v>
      </c>
      <c r="H131" s="32">
        <v>1E-3</v>
      </c>
      <c r="I131" s="10" t="s">
        <v>164</v>
      </c>
      <c r="L131" s="3"/>
      <c r="M131" s="3"/>
      <c r="N131" s="3"/>
      <c r="O131" s="65"/>
      <c r="Q131" s="3"/>
      <c r="R131" s="3"/>
      <c r="S131" s="3"/>
      <c r="T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row>
    <row r="132" spans="2:49" x14ac:dyDescent="0.35">
      <c r="C132" s="6">
        <f>C114*Percent_Stover_Harvested</f>
        <v>5563.0785097429462</v>
      </c>
      <c r="D132" t="s">
        <v>62</v>
      </c>
      <c r="E132" t="s">
        <v>10</v>
      </c>
      <c r="G132" s="4" t="s">
        <v>163</v>
      </c>
      <c r="H132">
        <v>1.4</v>
      </c>
      <c r="I132" s="10" t="s">
        <v>159</v>
      </c>
      <c r="J132" s="35" t="s">
        <v>343</v>
      </c>
      <c r="L132" s="3"/>
      <c r="M132" s="3"/>
      <c r="N132" s="3"/>
      <c r="O132" s="65"/>
      <c r="Q132" s="3"/>
      <c r="R132" s="3"/>
      <c r="S132" s="3"/>
      <c r="T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row>
    <row r="133" spans="2:49" x14ac:dyDescent="0.35">
      <c r="C133" s="6"/>
      <c r="D133" s="6"/>
      <c r="G133" s="4" t="s">
        <v>162</v>
      </c>
      <c r="H133">
        <v>2</v>
      </c>
      <c r="I133" s="10" t="s">
        <v>159</v>
      </c>
      <c r="L133" s="3"/>
      <c r="M133" s="3"/>
      <c r="N133" s="3"/>
      <c r="O133" s="65"/>
      <c r="Q133" s="3"/>
      <c r="R133" s="3"/>
      <c r="S133" s="3"/>
      <c r="T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row>
    <row r="134" spans="2:49" x14ac:dyDescent="0.35">
      <c r="C134" s="335" t="s">
        <v>27</v>
      </c>
      <c r="D134" s="335"/>
      <c r="G134" s="4" t="s">
        <v>161</v>
      </c>
      <c r="H134">
        <v>0.3</v>
      </c>
      <c r="I134" s="10" t="s">
        <v>159</v>
      </c>
      <c r="L134" s="3"/>
      <c r="M134" s="3"/>
      <c r="N134" s="3"/>
      <c r="O134" s="65"/>
      <c r="Q134" s="3"/>
      <c r="R134" s="3"/>
      <c r="S134" s="3"/>
      <c r="T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row>
    <row r="135" spans="2:49" x14ac:dyDescent="0.35">
      <c r="C135" s="2">
        <f>ROUND(Approx_Stover_Per_ha*Input_Hectares,2)</f>
        <v>5563.08</v>
      </c>
      <c r="D135" t="s">
        <v>61</v>
      </c>
      <c r="G135" s="4" t="s">
        <v>160</v>
      </c>
      <c r="H135">
        <v>0.4</v>
      </c>
      <c r="I135" s="10" t="s">
        <v>159</v>
      </c>
      <c r="L135" s="3"/>
      <c r="M135" s="3"/>
      <c r="N135" s="3"/>
      <c r="O135" s="65"/>
      <c r="Q135" s="3"/>
      <c r="R135" s="3"/>
      <c r="S135" s="3"/>
      <c r="T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row>
    <row r="136" spans="2:49" x14ac:dyDescent="0.35">
      <c r="C136" s="22">
        <f>C119</f>
        <v>12546.517490058561</v>
      </c>
      <c r="D136" t="s">
        <v>362</v>
      </c>
      <c r="G136" s="4" t="s">
        <v>158</v>
      </c>
      <c r="H136">
        <v>50</v>
      </c>
      <c r="I136" s="10" t="s">
        <v>159</v>
      </c>
      <c r="L136" s="3"/>
      <c r="M136" s="3"/>
      <c r="N136" s="3"/>
      <c r="O136" s="65"/>
      <c r="Q136" s="3"/>
      <c r="R136" s="3"/>
      <c r="S136" s="3"/>
      <c r="T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row>
    <row r="137" spans="2:49" x14ac:dyDescent="0.35">
      <c r="C137" s="22">
        <f>C114*(1-Percent_Stover_Harvested)</f>
        <v>5563.0785097429462</v>
      </c>
      <c r="D137" t="s">
        <v>372</v>
      </c>
      <c r="G137" s="4" t="s">
        <v>331</v>
      </c>
      <c r="H137">
        <v>1150</v>
      </c>
      <c r="I137" s="10" t="s">
        <v>159</v>
      </c>
      <c r="L137" s="3"/>
      <c r="M137" s="3"/>
      <c r="N137" s="3"/>
      <c r="O137" s="65"/>
      <c r="Q137" s="3"/>
      <c r="R137" s="3"/>
      <c r="S137" s="3"/>
      <c r="T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row>
    <row r="138" spans="2:49" x14ac:dyDescent="0.35">
      <c r="C138" s="22">
        <f>C127</f>
        <v>24940.853501127189</v>
      </c>
      <c r="D138" t="s">
        <v>393</v>
      </c>
      <c r="G138" s="4" t="s">
        <v>332</v>
      </c>
      <c r="H138" s="6">
        <f>(Total_Cellulase_Required*1000)/Cellulase_Density</f>
        <v>41.232330451981568</v>
      </c>
      <c r="I138" s="10" t="s">
        <v>73</v>
      </c>
      <c r="L138" s="3"/>
      <c r="M138" s="3"/>
      <c r="N138" s="3"/>
      <c r="O138" s="65"/>
      <c r="Q138" s="3"/>
      <c r="R138" s="3"/>
      <c r="S138" s="3"/>
      <c r="T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row>
    <row r="139" spans="2:49" x14ac:dyDescent="0.35">
      <c r="C139" s="22"/>
      <c r="L139" s="3"/>
      <c r="M139" s="3"/>
      <c r="N139" s="3"/>
      <c r="O139" s="65"/>
      <c r="Q139" s="3"/>
      <c r="R139" s="3"/>
      <c r="S139" s="3"/>
      <c r="T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row>
    <row r="140" spans="2:49" x14ac:dyDescent="0.35">
      <c r="B140" s="6"/>
      <c r="C140" s="22">
        <f>((Stover_Biomass_From_Agr)/(C114+C119))*C125</f>
        <v>2425.50288</v>
      </c>
      <c r="D140" t="s">
        <v>514</v>
      </c>
      <c r="H140" s="335" t="s">
        <v>27</v>
      </c>
      <c r="I140" s="335"/>
      <c r="L140" s="3"/>
      <c r="M140" s="3"/>
      <c r="N140" s="3"/>
      <c r="O140" s="65"/>
      <c r="Q140" s="3"/>
      <c r="R140" s="3"/>
      <c r="S140" s="3"/>
      <c r="T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row>
    <row r="141" spans="2:49" x14ac:dyDescent="0.35">
      <c r="B141" s="6"/>
      <c r="C141" s="22">
        <f>(Stover_Biomass_From_Agr/(C114+C119))*C129</f>
        <v>2559.0167999999999</v>
      </c>
      <c r="D141" t="s">
        <v>515</v>
      </c>
      <c r="G141" s="4"/>
      <c r="H141" s="22">
        <f>Total_Cellulase_Required</f>
        <v>47.417180019778804</v>
      </c>
      <c r="I141" s="10" t="s">
        <v>146</v>
      </c>
      <c r="L141" s="3"/>
      <c r="M141" s="3"/>
      <c r="N141" s="3"/>
      <c r="O141" s="65"/>
      <c r="Q141" s="3"/>
      <c r="R141" s="3"/>
      <c r="S141" s="3"/>
      <c r="T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row>
    <row r="142" spans="2:49" x14ac:dyDescent="0.35">
      <c r="G142" s="4"/>
      <c r="H142" s="22">
        <f>SUM(H111:H119)-Cellulase_Produced</f>
        <v>237.9057033965733</v>
      </c>
      <c r="I142" s="10" t="s">
        <v>381</v>
      </c>
      <c r="L142" s="3"/>
      <c r="M142" s="3"/>
      <c r="N142" s="3"/>
      <c r="O142" s="65"/>
      <c r="Q142" s="3"/>
      <c r="R142" s="3"/>
      <c r="S142" s="3"/>
      <c r="T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row>
    <row r="143" spans="2:49" x14ac:dyDescent="0.35">
      <c r="B143" s="337" t="s">
        <v>14</v>
      </c>
      <c r="C143" s="337"/>
      <c r="D143" s="337"/>
      <c r="E143" s="337"/>
      <c r="H143" s="3"/>
      <c r="L143" s="3"/>
      <c r="M143" s="3"/>
      <c r="N143" s="3"/>
      <c r="O143" s="65"/>
      <c r="Q143" s="3"/>
      <c r="R143" s="3"/>
      <c r="S143" s="3"/>
      <c r="T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row>
    <row r="144" spans="2:49" x14ac:dyDescent="0.35">
      <c r="C144" s="335" t="s">
        <v>12</v>
      </c>
      <c r="D144" s="335"/>
      <c r="G144" s="337" t="s">
        <v>5</v>
      </c>
      <c r="H144" s="337"/>
      <c r="I144" s="337"/>
      <c r="J144" s="337"/>
      <c r="L144" s="3"/>
      <c r="M144" s="3"/>
      <c r="N144" s="3"/>
      <c r="O144" s="65"/>
      <c r="Q144" s="3"/>
      <c r="R144" s="3"/>
      <c r="S144" s="3"/>
      <c r="T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row>
    <row r="145" spans="2:49" x14ac:dyDescent="0.35">
      <c r="B145" s="4" t="s">
        <v>75</v>
      </c>
      <c r="C145">
        <v>16.09</v>
      </c>
      <c r="D145" t="s">
        <v>77</v>
      </c>
      <c r="H145" s="335" t="s">
        <v>12</v>
      </c>
      <c r="I145" s="335"/>
      <c r="L145" s="3"/>
      <c r="M145" s="3"/>
      <c r="N145" s="3"/>
      <c r="O145" s="65"/>
      <c r="Q145" s="3"/>
      <c r="R145" s="3"/>
      <c r="S145" s="3"/>
      <c r="T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row>
    <row r="146" spans="2:49" x14ac:dyDescent="0.35">
      <c r="B146" s="4" t="s">
        <v>76</v>
      </c>
      <c r="C146">
        <f>Stover_Biomass_From_Agr</f>
        <v>5563.08</v>
      </c>
      <c r="D146" t="s">
        <v>11</v>
      </c>
      <c r="G146" s="4" t="s">
        <v>178</v>
      </c>
      <c r="H146" s="22">
        <f>Hydrolysate_Post_EH</f>
        <v>26295.559201290707</v>
      </c>
      <c r="I146" t="s">
        <v>156</v>
      </c>
      <c r="L146" s="3"/>
      <c r="M146" s="3"/>
      <c r="N146" s="3"/>
      <c r="O146" s="65"/>
      <c r="Q146" s="3"/>
      <c r="R146" s="3"/>
      <c r="S146" s="3"/>
      <c r="T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row>
    <row r="147" spans="2:49" x14ac:dyDescent="0.35">
      <c r="B147" s="4" t="s">
        <v>81</v>
      </c>
      <c r="C147">
        <f>C153</f>
        <v>0.27815400000000001</v>
      </c>
      <c r="D147" t="s">
        <v>82</v>
      </c>
      <c r="G147" s="4" t="s">
        <v>179</v>
      </c>
      <c r="H147" s="22">
        <f>Stover_Post_EH</f>
        <v>5250.4905348000002</v>
      </c>
      <c r="I147" t="s">
        <v>157</v>
      </c>
      <c r="L147" s="3"/>
      <c r="M147" s="3"/>
      <c r="N147" s="3"/>
      <c r="O147" s="65"/>
      <c r="Q147" s="3"/>
      <c r="R147" s="3"/>
      <c r="S147" s="3"/>
      <c r="T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row>
    <row r="148" spans="2:49" x14ac:dyDescent="0.35">
      <c r="B148" s="4"/>
      <c r="G148" s="4"/>
      <c r="H148" s="22">
        <f>(0.1)*(0.0025)*Hydrolysate</f>
        <v>6.5738898003226769</v>
      </c>
      <c r="I148" t="s">
        <v>638</v>
      </c>
      <c r="J148" s="75" t="s">
        <v>150</v>
      </c>
      <c r="L148" s="3"/>
      <c r="M148" s="3"/>
      <c r="N148" s="3"/>
      <c r="O148" s="65"/>
      <c r="Q148" s="3"/>
      <c r="R148" s="3"/>
      <c r="S148" s="3"/>
      <c r="T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row>
    <row r="149" spans="2:49" x14ac:dyDescent="0.35">
      <c r="C149" s="326" t="s">
        <v>30</v>
      </c>
      <c r="D149" s="326"/>
      <c r="G149" s="4"/>
      <c r="H149" s="22">
        <f>Hydrolysate/1000/'Conversions Page'!D15/'Conversions Page'!D13*0.67/997</f>
        <v>1.2332076359513735</v>
      </c>
      <c r="I149" t="s">
        <v>639</v>
      </c>
      <c r="L149" s="3"/>
      <c r="M149" s="3"/>
      <c r="N149" s="3"/>
      <c r="O149" s="65"/>
      <c r="Q149" s="3"/>
      <c r="R149" s="3"/>
      <c r="S149" s="3"/>
      <c r="T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row>
    <row r="150" spans="2:49" x14ac:dyDescent="0.35">
      <c r="C150" s="6">
        <f>50*(1/(SQRT(2)))</f>
        <v>35.35533905932737</v>
      </c>
      <c r="D150" t="s">
        <v>13</v>
      </c>
      <c r="G150" s="4" t="s">
        <v>348</v>
      </c>
      <c r="H150" s="124">
        <f>MJ_Per_ha_400</f>
        <v>57.412160137308419</v>
      </c>
      <c r="I150" t="s">
        <v>112</v>
      </c>
      <c r="L150" s="3"/>
      <c r="M150" s="3"/>
      <c r="N150" s="3"/>
      <c r="O150" s="65"/>
      <c r="Q150" s="3"/>
      <c r="R150" s="3"/>
      <c r="S150" s="3"/>
      <c r="T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row>
    <row r="151" spans="2:49" x14ac:dyDescent="0.35">
      <c r="C151" s="6">
        <f>Avg_Miles_To_Biorefinery*'Conversions Page'!D5</f>
        <v>56.898761361737911</v>
      </c>
      <c r="D151" t="s">
        <v>77</v>
      </c>
      <c r="G151" s="4"/>
      <c r="H151" s="6"/>
      <c r="L151" s="3"/>
      <c r="M151" s="3"/>
      <c r="N151" s="3"/>
      <c r="O151" s="65"/>
      <c r="Q151" s="3"/>
      <c r="R151" s="3"/>
      <c r="S151" s="3"/>
      <c r="T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row>
    <row r="152" spans="2:49" x14ac:dyDescent="0.35">
      <c r="C152">
        <v>20</v>
      </c>
      <c r="D152" s="3" t="s">
        <v>83</v>
      </c>
      <c r="E152" s="12" t="s">
        <v>344</v>
      </c>
      <c r="G152" s="4"/>
      <c r="H152" s="326" t="s">
        <v>30</v>
      </c>
      <c r="I152" s="326"/>
      <c r="L152" s="3"/>
      <c r="M152" s="3"/>
      <c r="N152" s="3"/>
      <c r="O152" s="65"/>
      <c r="Q152" s="3"/>
      <c r="R152" s="3"/>
      <c r="S152" s="3"/>
      <c r="T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row>
    <row r="153" spans="2:49" x14ac:dyDescent="0.35">
      <c r="C153">
        <f>C146/(Tonne_Cap_Trucks*1000)</f>
        <v>0.27815400000000001</v>
      </c>
      <c r="D153" s="13" t="s">
        <v>84</v>
      </c>
      <c r="E153" s="8"/>
      <c r="G153" s="4" t="s">
        <v>153</v>
      </c>
      <c r="H153" s="33">
        <v>0.95</v>
      </c>
      <c r="I153" t="s">
        <v>180</v>
      </c>
      <c r="L153" s="3"/>
      <c r="M153" s="3"/>
      <c r="N153" s="3"/>
      <c r="O153" s="65"/>
      <c r="Q153" s="3"/>
      <c r="R153" s="3"/>
      <c r="S153" s="3"/>
      <c r="T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row>
    <row r="154" spans="2:49" x14ac:dyDescent="0.35">
      <c r="G154" s="4"/>
      <c r="H154" s="33">
        <v>0.83</v>
      </c>
      <c r="I154" t="s">
        <v>181</v>
      </c>
      <c r="J154" s="17" t="s">
        <v>150</v>
      </c>
      <c r="L154" s="3"/>
      <c r="M154" s="3"/>
      <c r="N154" s="3"/>
      <c r="O154" s="65"/>
      <c r="Q154" s="3"/>
      <c r="R154" s="3"/>
      <c r="S154" s="3"/>
      <c r="T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row>
    <row r="155" spans="2:49" x14ac:dyDescent="0.35">
      <c r="C155" s="335" t="s">
        <v>27</v>
      </c>
      <c r="D155" s="335"/>
      <c r="G155" s="4" t="s">
        <v>191</v>
      </c>
      <c r="H155">
        <v>0.51100000000000001</v>
      </c>
      <c r="I155" t="s">
        <v>192</v>
      </c>
      <c r="J155" s="12" t="s">
        <v>194</v>
      </c>
      <c r="L155" s="3"/>
      <c r="M155" s="3"/>
      <c r="N155" s="3"/>
      <c r="O155" s="65"/>
      <c r="Q155" s="3"/>
      <c r="R155" s="3"/>
      <c r="S155" s="3"/>
      <c r="T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row>
    <row r="156" spans="2:49" x14ac:dyDescent="0.35">
      <c r="C156">
        <f>C146</f>
        <v>5563.08</v>
      </c>
      <c r="D156" t="s">
        <v>94</v>
      </c>
      <c r="G156" s="4" t="s">
        <v>246</v>
      </c>
      <c r="H156">
        <v>0.93100000000000005</v>
      </c>
      <c r="I156" t="s">
        <v>193</v>
      </c>
      <c r="J156" s="17" t="s">
        <v>194</v>
      </c>
      <c r="L156" s="3"/>
      <c r="M156" s="3"/>
      <c r="N156" s="3"/>
      <c r="O156" s="65"/>
      <c r="Q156" s="3"/>
      <c r="R156" s="3"/>
      <c r="S156" s="3"/>
      <c r="T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row>
    <row r="157" spans="2:49" x14ac:dyDescent="0.35">
      <c r="G157" s="4" t="s">
        <v>182</v>
      </c>
      <c r="H157">
        <f>Glucose_After_EH</f>
        <v>0.40681535199999996</v>
      </c>
      <c r="I157" t="s">
        <v>183</v>
      </c>
      <c r="L157" s="3"/>
      <c r="M157" s="3"/>
      <c r="N157" s="3"/>
      <c r="O157" s="65"/>
      <c r="Q157" s="3"/>
      <c r="R157" s="3"/>
      <c r="S157" s="3"/>
      <c r="T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row>
    <row r="158" spans="2:49" x14ac:dyDescent="0.35">
      <c r="H158">
        <f>Xylose_After_EH</f>
        <v>0.21031300000000003</v>
      </c>
      <c r="I158" t="s">
        <v>184</v>
      </c>
      <c r="L158" s="3"/>
      <c r="M158" s="3"/>
      <c r="N158" s="3"/>
      <c r="O158" s="65"/>
      <c r="Q158" s="3"/>
      <c r="R158" s="3"/>
      <c r="S158" s="3"/>
      <c r="T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row>
    <row r="159" spans="2:49" x14ac:dyDescent="0.35">
      <c r="G159" s="4" t="s">
        <v>185</v>
      </c>
      <c r="H159">
        <f>(Glucose_Proportion*Glucose_To_Ethanol_Conv)+(Xylose_Proportion*Xylose_To_Ethanol_Conv)</f>
        <v>0.56103437439999992</v>
      </c>
      <c r="I159" t="s">
        <v>186</v>
      </c>
      <c r="L159" s="3"/>
      <c r="M159" s="3"/>
      <c r="N159" s="3"/>
      <c r="O159" s="65"/>
      <c r="Q159" s="3"/>
      <c r="R159" s="3"/>
      <c r="S159" s="3"/>
      <c r="T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row>
    <row r="160" spans="2:49" x14ac:dyDescent="0.35">
      <c r="L160" s="3"/>
      <c r="M160" s="3"/>
      <c r="N160" s="3"/>
      <c r="O160" s="65"/>
      <c r="Q160" s="3"/>
      <c r="R160" s="3"/>
      <c r="S160" s="3"/>
      <c r="T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row>
    <row r="161" spans="7:49" x14ac:dyDescent="0.35">
      <c r="H161" s="335" t="s">
        <v>27</v>
      </c>
      <c r="I161" s="335"/>
      <c r="L161" s="3"/>
      <c r="M161" s="3"/>
      <c r="N161" s="3"/>
      <c r="O161" s="65"/>
      <c r="Q161" s="3"/>
      <c r="R161" s="3"/>
      <c r="S161" s="3"/>
      <c r="T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row>
    <row r="162" spans="7:49" x14ac:dyDescent="0.35">
      <c r="H162" s="22">
        <f>Ethanol_Per_kg_BM*Stover_Fermentation_Input*0.511*0.931</f>
        <v>1401.392962333515</v>
      </c>
      <c r="I162" t="s">
        <v>187</v>
      </c>
      <c r="L162" s="3"/>
      <c r="M162" s="3"/>
      <c r="N162" s="3"/>
      <c r="O162" s="65"/>
      <c r="Q162" s="3"/>
      <c r="R162" s="3"/>
      <c r="S162" s="3"/>
      <c r="T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row>
    <row r="163" spans="7:49" x14ac:dyDescent="0.35">
      <c r="H163" s="22">
        <f>Hydrolysate</f>
        <v>26295.559201290707</v>
      </c>
      <c r="I163" t="s">
        <v>189</v>
      </c>
      <c r="L163" s="3"/>
      <c r="M163" s="3"/>
      <c r="N163" s="3"/>
      <c r="O163" s="65"/>
      <c r="Q163" s="3"/>
      <c r="R163" s="3"/>
      <c r="S163" s="3"/>
      <c r="T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row>
    <row r="164" spans="7:49" x14ac:dyDescent="0.35">
      <c r="L164" s="3"/>
      <c r="M164" s="3"/>
      <c r="N164" s="3"/>
      <c r="O164" s="65"/>
      <c r="Q164" s="3"/>
      <c r="R164" s="3"/>
      <c r="S164" s="3"/>
      <c r="T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row>
    <row r="165" spans="7:49" x14ac:dyDescent="0.35">
      <c r="G165" s="38"/>
      <c r="H165" s="39"/>
      <c r="I165" s="39"/>
      <c r="J165" s="39"/>
      <c r="L165" s="3"/>
      <c r="M165" s="3"/>
      <c r="N165" s="3"/>
      <c r="O165" s="65"/>
      <c r="Q165" s="3"/>
      <c r="R165" s="3"/>
      <c r="S165" s="3"/>
      <c r="T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row>
    <row r="166" spans="7:49" s="131" customFormat="1" x14ac:dyDescent="0.35">
      <c r="O166" s="120"/>
    </row>
    <row r="167" spans="7:49" x14ac:dyDescent="0.35">
      <c r="L167" s="3"/>
      <c r="M167" s="3"/>
      <c r="N167" s="3"/>
      <c r="O167" s="65"/>
      <c r="Q167" s="3"/>
      <c r="R167" s="3"/>
      <c r="S167" s="3"/>
      <c r="T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row>
    <row r="168" spans="7:49" x14ac:dyDescent="0.35">
      <c r="L168" s="3"/>
      <c r="M168" s="3"/>
      <c r="N168" s="3"/>
      <c r="O168" s="65"/>
      <c r="Q168" s="3"/>
      <c r="R168" s="3"/>
      <c r="S168" s="3"/>
      <c r="T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row>
    <row r="169" spans="7:49" x14ac:dyDescent="0.35">
      <c r="L169" s="3"/>
      <c r="M169" s="3"/>
      <c r="N169" s="3"/>
      <c r="O169" s="65"/>
      <c r="Q169" s="3"/>
      <c r="R169" s="3"/>
      <c r="S169" s="3"/>
      <c r="T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row>
    <row r="170" spans="7:49" x14ac:dyDescent="0.35">
      <c r="L170" s="3"/>
      <c r="M170" s="3"/>
      <c r="N170" s="3"/>
      <c r="O170" s="65"/>
      <c r="Q170" s="3"/>
      <c r="R170" s="3"/>
      <c r="S170" s="3"/>
      <c r="T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row>
    <row r="171" spans="7:49" x14ac:dyDescent="0.35">
      <c r="L171" s="3"/>
      <c r="M171" s="3"/>
      <c r="N171" s="3"/>
      <c r="O171" s="65"/>
      <c r="Q171" s="3"/>
      <c r="R171" s="3"/>
      <c r="S171" s="3"/>
      <c r="T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row>
    <row r="172" spans="7:49" x14ac:dyDescent="0.35">
      <c r="L172" s="3"/>
      <c r="M172" s="3"/>
      <c r="N172" s="3"/>
      <c r="O172" s="65"/>
      <c r="Q172" s="3"/>
      <c r="R172" s="3"/>
      <c r="S172" s="3"/>
      <c r="T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row>
    <row r="173" spans="7:49" x14ac:dyDescent="0.35">
      <c r="H173" t="s">
        <v>1005</v>
      </c>
      <c r="L173" s="3"/>
      <c r="M173" s="3"/>
      <c r="N173" s="3"/>
      <c r="O173" s="65"/>
      <c r="Q173" s="3"/>
      <c r="R173" s="3"/>
      <c r="S173" s="3"/>
      <c r="T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row>
    <row r="174" spans="7:49" x14ac:dyDescent="0.35">
      <c r="G174" t="s">
        <v>1000</v>
      </c>
      <c r="H174">
        <v>71.7</v>
      </c>
      <c r="J174" s="25" t="s">
        <v>1006</v>
      </c>
      <c r="L174" s="3"/>
      <c r="M174" s="3"/>
      <c r="N174" s="3"/>
      <c r="O174" s="65"/>
      <c r="Q174" s="3"/>
      <c r="R174" s="3"/>
      <c r="S174" s="3"/>
      <c r="T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row>
    <row r="175" spans="7:49" x14ac:dyDescent="0.35">
      <c r="G175" t="s">
        <v>129</v>
      </c>
      <c r="H175">
        <v>6.2</v>
      </c>
      <c r="J175" s="25" t="s">
        <v>1007</v>
      </c>
      <c r="L175" s="3"/>
      <c r="M175" s="3"/>
      <c r="N175" s="3"/>
      <c r="O175" s="65"/>
      <c r="Q175" s="3"/>
      <c r="R175" s="3"/>
      <c r="S175" s="3"/>
      <c r="T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row>
    <row r="176" spans="7:49" x14ac:dyDescent="0.35">
      <c r="G176" t="s">
        <v>1001</v>
      </c>
      <c r="H176">
        <v>3.3</v>
      </c>
      <c r="L176" s="3"/>
      <c r="M176" s="3"/>
      <c r="N176" s="3"/>
      <c r="O176" s="65"/>
      <c r="Q176" s="3"/>
      <c r="R176" s="3"/>
      <c r="S176" s="3"/>
      <c r="T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row>
    <row r="177" spans="7:49" x14ac:dyDescent="0.35">
      <c r="G177" t="s">
        <v>1002</v>
      </c>
      <c r="H177">
        <v>9.5</v>
      </c>
      <c r="L177" s="3"/>
      <c r="M177" s="3"/>
      <c r="N177" s="3"/>
      <c r="O177" s="65"/>
      <c r="Q177" s="3"/>
      <c r="R177" s="3"/>
      <c r="S177" s="3"/>
      <c r="T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row>
    <row r="178" spans="7:49" x14ac:dyDescent="0.35">
      <c r="G178" t="s">
        <v>1003</v>
      </c>
      <c r="H178">
        <v>4.3</v>
      </c>
      <c r="L178" s="3"/>
      <c r="M178" s="3"/>
      <c r="N178" s="3"/>
      <c r="O178" s="65"/>
      <c r="Q178" s="3"/>
      <c r="R178" s="3"/>
      <c r="S178" s="3"/>
      <c r="T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row>
    <row r="179" spans="7:49" x14ac:dyDescent="0.35">
      <c r="G179" t="s">
        <v>1004</v>
      </c>
      <c r="H179">
        <v>1.4</v>
      </c>
      <c r="L179" s="3"/>
      <c r="M179" s="3"/>
      <c r="N179" s="3"/>
      <c r="O179" s="65"/>
      <c r="Q179" s="3"/>
      <c r="R179" s="3"/>
      <c r="S179" s="3"/>
      <c r="T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row>
    <row r="180" spans="7:49" x14ac:dyDescent="0.35">
      <c r="L180" s="3"/>
      <c r="M180" s="3"/>
      <c r="N180" s="3"/>
      <c r="O180" s="65"/>
      <c r="Q180" s="3"/>
      <c r="R180" s="3"/>
      <c r="S180" s="3"/>
      <c r="T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row>
    <row r="181" spans="7:49" x14ac:dyDescent="0.35">
      <c r="L181" s="3"/>
      <c r="M181" s="3"/>
      <c r="N181" s="3"/>
      <c r="O181" s="65"/>
      <c r="Q181" s="3"/>
      <c r="R181" s="3"/>
      <c r="S181" s="3"/>
      <c r="T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row>
    <row r="182" spans="7:49" x14ac:dyDescent="0.35">
      <c r="L182" s="3"/>
      <c r="M182" s="3"/>
      <c r="N182" s="3"/>
      <c r="O182" s="65"/>
      <c r="Q182" s="3"/>
      <c r="R182" s="3"/>
      <c r="S182" s="3"/>
      <c r="T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row>
    <row r="183" spans="7:49" x14ac:dyDescent="0.35">
      <c r="L183" s="3"/>
      <c r="M183" s="3"/>
      <c r="N183" s="3"/>
      <c r="O183" s="65"/>
      <c r="Q183" s="3"/>
      <c r="R183" s="3"/>
      <c r="S183" s="3"/>
      <c r="T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row>
    <row r="184" spans="7:49" x14ac:dyDescent="0.35">
      <c r="L184" s="3"/>
      <c r="M184" s="3"/>
      <c r="N184" s="3"/>
      <c r="O184" s="65"/>
      <c r="Q184" s="3"/>
      <c r="R184" s="3"/>
      <c r="S184" s="3"/>
      <c r="T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row>
    <row r="185" spans="7:49" x14ac:dyDescent="0.35">
      <c r="L185" s="3"/>
      <c r="M185" s="3"/>
      <c r="N185" s="3"/>
      <c r="O185" s="65"/>
      <c r="Q185" s="3"/>
      <c r="R185" s="3"/>
      <c r="S185" s="3"/>
      <c r="T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row>
    <row r="186" spans="7:49" x14ac:dyDescent="0.35">
      <c r="L186" s="3"/>
      <c r="M186" s="3"/>
      <c r="N186" s="3"/>
      <c r="O186" s="65"/>
      <c r="Q186" s="3"/>
      <c r="R186" s="3"/>
      <c r="S186" s="3"/>
      <c r="T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row>
    <row r="187" spans="7:49" x14ac:dyDescent="0.35">
      <c r="L187" s="3"/>
      <c r="M187" s="3"/>
      <c r="N187" s="3"/>
      <c r="O187" s="65"/>
      <c r="Q187" s="3"/>
      <c r="R187" s="3"/>
      <c r="S187" s="3"/>
      <c r="T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row>
    <row r="188" spans="7:49" x14ac:dyDescent="0.35">
      <c r="L188" s="3"/>
      <c r="M188" s="3"/>
      <c r="N188" s="3"/>
      <c r="O188" s="65"/>
      <c r="Q188" s="3"/>
      <c r="R188" s="3"/>
      <c r="S188" s="3"/>
      <c r="T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row>
    <row r="189" spans="7:49" x14ac:dyDescent="0.35">
      <c r="H189" s="4"/>
      <c r="L189" s="3"/>
      <c r="M189" s="3"/>
      <c r="N189" s="3"/>
      <c r="O189" s="65"/>
      <c r="Q189" s="3"/>
      <c r="R189" s="3"/>
      <c r="S189" s="3"/>
      <c r="T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row>
    <row r="190" spans="7:49" x14ac:dyDescent="0.35">
      <c r="H190" s="4"/>
      <c r="L190" s="3"/>
      <c r="M190" s="3"/>
      <c r="N190" s="3"/>
      <c r="O190" s="65"/>
      <c r="Q190" s="3"/>
      <c r="R190" s="3"/>
      <c r="S190" s="3"/>
      <c r="T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row>
    <row r="191" spans="7:49" x14ac:dyDescent="0.35">
      <c r="H191" s="4"/>
      <c r="L191" s="3"/>
      <c r="M191" s="3"/>
      <c r="N191" s="3"/>
      <c r="O191" s="65"/>
      <c r="Q191" s="3"/>
      <c r="R191" s="3"/>
      <c r="S191" s="3"/>
      <c r="T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row>
    <row r="192" spans="7:49" x14ac:dyDescent="0.35">
      <c r="H192" s="4"/>
      <c r="L192" s="3"/>
      <c r="M192" s="3"/>
      <c r="N192" s="3"/>
      <c r="O192" s="65"/>
      <c r="Q192" s="3"/>
      <c r="R192" s="3"/>
      <c r="S192" s="3"/>
      <c r="T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row>
    <row r="193" spans="8:49" x14ac:dyDescent="0.35">
      <c r="H193" s="4"/>
      <c r="L193" s="3"/>
      <c r="M193" s="3"/>
      <c r="N193" s="3"/>
      <c r="O193" s="65"/>
      <c r="Q193" s="3"/>
      <c r="R193" s="3"/>
      <c r="S193" s="3"/>
      <c r="T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row>
    <row r="194" spans="8:49" x14ac:dyDescent="0.35">
      <c r="H194" s="4"/>
      <c r="L194" s="3"/>
      <c r="M194" s="3"/>
      <c r="N194" s="3"/>
      <c r="O194" s="65"/>
      <c r="Q194" s="3"/>
      <c r="R194" s="3"/>
      <c r="S194" s="3"/>
      <c r="T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row>
    <row r="195" spans="8:49" x14ac:dyDescent="0.35">
      <c r="H195" s="4"/>
      <c r="L195" s="3"/>
      <c r="M195" s="3"/>
      <c r="N195" s="3"/>
      <c r="O195" s="65"/>
      <c r="Q195" s="3"/>
      <c r="R195" s="3"/>
      <c r="S195" s="3"/>
      <c r="T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row>
    <row r="196" spans="8:49" x14ac:dyDescent="0.35">
      <c r="H196" s="4"/>
      <c r="L196" s="3"/>
      <c r="M196" s="3"/>
      <c r="N196" s="3"/>
      <c r="O196" s="65"/>
      <c r="Q196" s="3"/>
      <c r="R196" s="3"/>
      <c r="S196" s="3"/>
      <c r="T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row>
    <row r="197" spans="8:49" x14ac:dyDescent="0.35">
      <c r="H197" s="4"/>
      <c r="L197" s="3"/>
      <c r="M197" s="3"/>
      <c r="N197" s="3"/>
      <c r="O197" s="65"/>
      <c r="Q197" s="3"/>
      <c r="R197" s="3"/>
      <c r="S197" s="3"/>
      <c r="T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row>
    <row r="198" spans="8:49" x14ac:dyDescent="0.35">
      <c r="H198" s="4"/>
      <c r="L198" s="3"/>
      <c r="M198" s="3"/>
      <c r="N198" s="3"/>
      <c r="O198" s="65"/>
      <c r="Q198" s="3"/>
      <c r="R198" s="3"/>
      <c r="S198" s="3"/>
      <c r="T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row>
    <row r="199" spans="8:49" x14ac:dyDescent="0.35">
      <c r="H199" s="4"/>
      <c r="L199" s="3"/>
      <c r="M199" s="3"/>
      <c r="N199" s="3"/>
      <c r="O199" s="65"/>
      <c r="Q199" s="3"/>
      <c r="R199" s="3"/>
      <c r="S199" s="3"/>
      <c r="T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row>
    <row r="200" spans="8:49" x14ac:dyDescent="0.35">
      <c r="L200" s="3"/>
      <c r="M200" s="3"/>
      <c r="N200" s="3"/>
      <c r="O200" s="65"/>
      <c r="Q200" s="3"/>
      <c r="R200" s="3"/>
      <c r="S200" s="3"/>
      <c r="T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row>
    <row r="201" spans="8:49" x14ac:dyDescent="0.35">
      <c r="L201" s="3"/>
      <c r="M201" s="3"/>
      <c r="N201" s="3"/>
      <c r="O201" s="65"/>
      <c r="Q201" s="3"/>
      <c r="R201" s="3"/>
      <c r="S201" s="3"/>
      <c r="T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row>
    <row r="202" spans="8:49" x14ac:dyDescent="0.35">
      <c r="L202" s="3"/>
      <c r="M202" s="3"/>
      <c r="N202" s="3"/>
      <c r="O202" s="65"/>
      <c r="Q202" s="3"/>
      <c r="R202" s="3"/>
      <c r="S202" s="3"/>
      <c r="T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row>
    <row r="203" spans="8:49" x14ac:dyDescent="0.35">
      <c r="L203" s="3"/>
      <c r="M203" s="3"/>
      <c r="N203" s="3"/>
      <c r="O203" s="65"/>
      <c r="Q203" s="3"/>
      <c r="R203" s="3"/>
      <c r="S203" s="3"/>
      <c r="T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row>
    <row r="204" spans="8:49" x14ac:dyDescent="0.35">
      <c r="L204" s="3"/>
      <c r="M204" s="3"/>
      <c r="N204" s="3"/>
      <c r="O204" s="65"/>
      <c r="Q204" s="3"/>
      <c r="R204" s="3"/>
      <c r="S204" s="3"/>
      <c r="T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row>
    <row r="205" spans="8:49" x14ac:dyDescent="0.35">
      <c r="L205" s="3"/>
      <c r="M205" s="3"/>
      <c r="N205" s="3"/>
      <c r="O205" s="65"/>
      <c r="Q205" s="3"/>
      <c r="R205" s="3"/>
      <c r="S205" s="3"/>
      <c r="T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row>
    <row r="206" spans="8:49" x14ac:dyDescent="0.35">
      <c r="L206" s="3"/>
      <c r="M206" s="3"/>
      <c r="N206" s="3"/>
      <c r="O206" s="65"/>
      <c r="Q206" s="3"/>
      <c r="R206" s="3"/>
      <c r="S206" s="3"/>
      <c r="T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row>
    <row r="207" spans="8:49" x14ac:dyDescent="0.35">
      <c r="L207" s="3"/>
      <c r="M207" s="3"/>
      <c r="N207" s="3"/>
      <c r="O207" s="65"/>
      <c r="Q207" s="3"/>
      <c r="R207" s="3"/>
      <c r="S207" s="3"/>
      <c r="T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row>
    <row r="208" spans="8:49" x14ac:dyDescent="0.35">
      <c r="L208" s="3"/>
      <c r="M208" s="3"/>
      <c r="N208" s="3"/>
      <c r="O208" s="65"/>
      <c r="Q208" s="3"/>
      <c r="R208" s="3"/>
      <c r="S208" s="3"/>
      <c r="T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row>
    <row r="209" spans="12:49" x14ac:dyDescent="0.35">
      <c r="L209" s="3"/>
      <c r="M209" s="3"/>
      <c r="N209" s="3"/>
      <c r="O209" s="65"/>
      <c r="Q209" s="3"/>
      <c r="R209" s="3"/>
      <c r="S209" s="3"/>
      <c r="T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row>
    <row r="210" spans="12:49" x14ac:dyDescent="0.35">
      <c r="L210" s="3"/>
      <c r="M210" s="3"/>
      <c r="N210" s="3"/>
      <c r="O210" s="65"/>
      <c r="Q210" s="3"/>
      <c r="R210" s="3"/>
      <c r="S210" s="3"/>
      <c r="T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row>
    <row r="211" spans="12:49" x14ac:dyDescent="0.35">
      <c r="L211" s="3"/>
      <c r="M211" s="3"/>
      <c r="N211" s="3"/>
      <c r="O211" s="65"/>
      <c r="Q211" s="3"/>
      <c r="R211" s="3"/>
      <c r="S211" s="3"/>
      <c r="T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row>
    <row r="212" spans="12:49" x14ac:dyDescent="0.35">
      <c r="L212" s="3"/>
      <c r="M212" s="3"/>
      <c r="N212" s="3"/>
      <c r="O212" s="65"/>
      <c r="Q212" s="3"/>
      <c r="R212" s="3"/>
      <c r="S212" s="3"/>
      <c r="T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row>
    <row r="213" spans="12:49" x14ac:dyDescent="0.35">
      <c r="L213" s="3"/>
      <c r="M213" s="3"/>
      <c r="N213" s="3"/>
      <c r="O213" s="65"/>
      <c r="Q213" s="3"/>
      <c r="R213" s="3"/>
      <c r="S213" s="3"/>
      <c r="T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row>
    <row r="214" spans="12:49" x14ac:dyDescent="0.35">
      <c r="L214" s="3"/>
      <c r="M214" s="3"/>
      <c r="N214" s="3"/>
      <c r="O214" s="65"/>
      <c r="Q214" s="3"/>
      <c r="R214" s="3"/>
      <c r="S214" s="3"/>
      <c r="T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row>
    <row r="215" spans="12:49" x14ac:dyDescent="0.35">
      <c r="L215" s="3"/>
      <c r="M215" s="3"/>
      <c r="N215" s="3"/>
      <c r="O215" s="65"/>
      <c r="Q215" s="3"/>
      <c r="R215" s="3"/>
      <c r="S215" s="3"/>
      <c r="T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row>
    <row r="216" spans="12:49" x14ac:dyDescent="0.35">
      <c r="L216" s="3"/>
      <c r="M216" s="3"/>
      <c r="N216" s="3"/>
      <c r="O216" s="65"/>
      <c r="Q216" s="3"/>
      <c r="R216" s="3"/>
      <c r="S216" s="3"/>
      <c r="T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row>
    <row r="217" spans="12:49" x14ac:dyDescent="0.35">
      <c r="L217" s="3"/>
      <c r="M217" s="3"/>
      <c r="N217" s="3"/>
      <c r="O217" s="65"/>
      <c r="Q217" s="3"/>
      <c r="R217" s="3"/>
      <c r="S217" s="3"/>
      <c r="T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row>
    <row r="218" spans="12:49" x14ac:dyDescent="0.35">
      <c r="L218" s="3"/>
      <c r="M218" s="3"/>
      <c r="N218" s="3"/>
      <c r="O218" s="65"/>
      <c r="Q218" s="3"/>
      <c r="R218" s="3"/>
      <c r="S218" s="3"/>
      <c r="T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row>
    <row r="219" spans="12:49" x14ac:dyDescent="0.35">
      <c r="L219" s="3"/>
      <c r="M219" s="3"/>
      <c r="N219" s="3"/>
      <c r="O219" s="65"/>
      <c r="Q219" s="3"/>
      <c r="R219" s="3"/>
      <c r="S219" s="3"/>
      <c r="T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row>
    <row r="220" spans="12:49" x14ac:dyDescent="0.35">
      <c r="L220" s="3"/>
      <c r="M220" s="3"/>
      <c r="N220" s="3"/>
      <c r="O220" s="65"/>
      <c r="Q220" s="3"/>
      <c r="R220" s="3"/>
      <c r="S220" s="3"/>
      <c r="T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row>
    <row r="221" spans="12:49" x14ac:dyDescent="0.35">
      <c r="L221" s="3"/>
      <c r="M221" s="3"/>
      <c r="N221" s="3"/>
      <c r="O221" s="65"/>
      <c r="Q221" s="3"/>
      <c r="R221" s="3"/>
      <c r="S221" s="3"/>
      <c r="T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row>
    <row r="222" spans="12:49" x14ac:dyDescent="0.35">
      <c r="L222" s="3"/>
      <c r="M222" s="3"/>
      <c r="N222" s="3"/>
      <c r="O222" s="65"/>
      <c r="Q222" s="3"/>
      <c r="R222" s="3"/>
      <c r="S222" s="3"/>
      <c r="T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row>
    <row r="223" spans="12:49" x14ac:dyDescent="0.35">
      <c r="L223" s="3"/>
      <c r="M223" s="3"/>
      <c r="N223" s="3"/>
      <c r="O223" s="65"/>
      <c r="Q223" s="3"/>
      <c r="R223" s="3"/>
      <c r="S223" s="3"/>
      <c r="T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row>
    <row r="224" spans="12:49" x14ac:dyDescent="0.35">
      <c r="L224" s="3"/>
      <c r="M224" s="3"/>
      <c r="N224" s="3"/>
      <c r="O224" s="65"/>
      <c r="Q224" s="3"/>
      <c r="R224" s="3"/>
      <c r="S224" s="3"/>
      <c r="T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row>
    <row r="225" spans="12:49" x14ac:dyDescent="0.35">
      <c r="L225" s="3"/>
      <c r="M225" s="3"/>
      <c r="N225" s="3"/>
      <c r="O225" s="65"/>
      <c r="Q225" s="3"/>
      <c r="R225" s="3"/>
      <c r="S225" s="3"/>
      <c r="T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row>
    <row r="226" spans="12:49" x14ac:dyDescent="0.35">
      <c r="L226" s="3"/>
      <c r="M226" s="3"/>
      <c r="N226" s="3"/>
      <c r="O226" s="65"/>
      <c r="Q226" s="3"/>
      <c r="R226" s="3"/>
      <c r="S226" s="3"/>
      <c r="T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row>
    <row r="227" spans="12:49" x14ac:dyDescent="0.35">
      <c r="L227" s="3"/>
      <c r="M227" s="3"/>
      <c r="N227" s="3"/>
      <c r="O227" s="65"/>
      <c r="Q227" s="3"/>
      <c r="R227" s="3"/>
      <c r="S227" s="3"/>
      <c r="T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row>
    <row r="228" spans="12:49" x14ac:dyDescent="0.35">
      <c r="L228" s="3"/>
      <c r="M228" s="3"/>
      <c r="N228" s="3"/>
      <c r="O228" s="65"/>
      <c r="Q228" s="3"/>
      <c r="R228" s="3"/>
      <c r="S228" s="3"/>
      <c r="T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row>
    <row r="229" spans="12:49" x14ac:dyDescent="0.35">
      <c r="L229" s="3"/>
      <c r="M229" s="3"/>
      <c r="N229" s="3"/>
      <c r="O229" s="65"/>
      <c r="Q229" s="3"/>
      <c r="R229" s="3"/>
      <c r="S229" s="3"/>
      <c r="T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row>
    <row r="230" spans="12:49" x14ac:dyDescent="0.35">
      <c r="L230" s="3"/>
      <c r="M230" s="3"/>
      <c r="N230" s="3"/>
      <c r="O230" s="65"/>
      <c r="Q230" s="3"/>
      <c r="R230" s="3"/>
      <c r="S230" s="3"/>
      <c r="T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row>
    <row r="231" spans="12:49" x14ac:dyDescent="0.35">
      <c r="L231" s="3"/>
      <c r="M231" s="3"/>
      <c r="N231" s="3"/>
      <c r="O231" s="65"/>
      <c r="Q231" s="3"/>
      <c r="R231" s="3"/>
      <c r="S231" s="3"/>
      <c r="T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row>
    <row r="232" spans="12:49" x14ac:dyDescent="0.35">
      <c r="L232" s="3"/>
      <c r="M232" s="3"/>
      <c r="N232" s="3"/>
      <c r="O232" s="65"/>
      <c r="Q232" s="3"/>
      <c r="R232" s="3"/>
      <c r="S232" s="3"/>
      <c r="T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row>
    <row r="233" spans="12:49" x14ac:dyDescent="0.35">
      <c r="L233" s="3"/>
      <c r="M233" s="3"/>
      <c r="N233" s="3"/>
      <c r="O233" s="65"/>
      <c r="Q233" s="3"/>
      <c r="R233" s="3"/>
      <c r="S233" s="3"/>
      <c r="T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row>
    <row r="234" spans="12:49" x14ac:dyDescent="0.35">
      <c r="L234" s="3"/>
      <c r="M234" s="3"/>
      <c r="N234" s="3"/>
      <c r="O234" s="65"/>
      <c r="Q234" s="3"/>
      <c r="R234" s="3"/>
      <c r="S234" s="3"/>
      <c r="T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row>
    <row r="235" spans="12:49" x14ac:dyDescent="0.35">
      <c r="L235" s="3"/>
      <c r="M235" s="3"/>
      <c r="N235" s="3"/>
      <c r="O235" s="65"/>
      <c r="Q235" s="3"/>
      <c r="R235" s="3"/>
      <c r="S235" s="3"/>
      <c r="T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row>
    <row r="236" spans="12:49" x14ac:dyDescent="0.35">
      <c r="L236" s="3"/>
      <c r="M236" s="3"/>
      <c r="N236" s="3"/>
      <c r="O236" s="65"/>
      <c r="Q236" s="3"/>
      <c r="R236" s="3"/>
      <c r="S236" s="3"/>
      <c r="T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row>
    <row r="237" spans="12:49" x14ac:dyDescent="0.35">
      <c r="L237" s="3"/>
      <c r="M237" s="3"/>
      <c r="N237" s="3"/>
      <c r="O237" s="65"/>
      <c r="Q237" s="3"/>
      <c r="R237" s="3"/>
      <c r="S237" s="3"/>
      <c r="T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row>
    <row r="238" spans="12:49" x14ac:dyDescent="0.35">
      <c r="L238" s="3"/>
      <c r="M238" s="3"/>
      <c r="N238" s="3"/>
      <c r="O238" s="65"/>
      <c r="Q238" s="3"/>
      <c r="R238" s="3"/>
      <c r="S238" s="3"/>
      <c r="T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row>
    <row r="239" spans="12:49" x14ac:dyDescent="0.35">
      <c r="L239" s="3"/>
      <c r="M239" s="3"/>
      <c r="N239" s="3"/>
      <c r="O239" s="65"/>
      <c r="Q239" s="3"/>
      <c r="R239" s="3"/>
      <c r="S239" s="3"/>
      <c r="T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row>
    <row r="240" spans="12:49" x14ac:dyDescent="0.35">
      <c r="L240" s="3"/>
      <c r="M240" s="3"/>
      <c r="N240" s="3"/>
      <c r="O240" s="65"/>
      <c r="Q240" s="3"/>
      <c r="R240" s="3"/>
      <c r="S240" s="3"/>
      <c r="T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row>
    <row r="241" spans="12:49" x14ac:dyDescent="0.35">
      <c r="L241" s="3"/>
      <c r="M241" s="3"/>
      <c r="N241" s="3"/>
      <c r="O241" s="65"/>
      <c r="Q241" s="3"/>
      <c r="R241" s="3"/>
      <c r="S241" s="3"/>
      <c r="T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row>
    <row r="242" spans="12:49" x14ac:dyDescent="0.35">
      <c r="L242" s="3"/>
      <c r="M242" s="3"/>
      <c r="N242" s="3"/>
      <c r="O242" s="65"/>
      <c r="Q242" s="3"/>
      <c r="R242" s="3"/>
      <c r="S242" s="3"/>
      <c r="T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row>
    <row r="243" spans="12:49" x14ac:dyDescent="0.35">
      <c r="L243" s="3"/>
      <c r="M243" s="3"/>
      <c r="N243" s="3"/>
      <c r="O243" s="65"/>
      <c r="Q243" s="3"/>
      <c r="R243" s="3"/>
      <c r="S243" s="3"/>
      <c r="T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row>
    <row r="244" spans="12:49" x14ac:dyDescent="0.35">
      <c r="L244" s="3"/>
      <c r="M244" s="3"/>
      <c r="N244" s="3"/>
      <c r="O244" s="65"/>
      <c r="Q244" s="3"/>
      <c r="R244" s="3"/>
      <c r="S244" s="3"/>
      <c r="T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row>
    <row r="245" spans="12:49" x14ac:dyDescent="0.35">
      <c r="L245" s="3"/>
      <c r="M245" s="3"/>
      <c r="N245" s="3"/>
      <c r="O245" s="65"/>
      <c r="Q245" s="3"/>
      <c r="R245" s="3"/>
      <c r="S245" s="3"/>
      <c r="T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row>
    <row r="246" spans="12:49" x14ac:dyDescent="0.35">
      <c r="L246" s="3"/>
      <c r="M246" s="3"/>
      <c r="N246" s="3"/>
      <c r="O246" s="65"/>
      <c r="Q246" s="3"/>
      <c r="R246" s="3"/>
      <c r="S246" s="3"/>
      <c r="T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row>
    <row r="247" spans="12:49" x14ac:dyDescent="0.35">
      <c r="L247" s="3"/>
      <c r="M247" s="3"/>
      <c r="N247" s="3"/>
      <c r="O247" s="65"/>
      <c r="Q247" s="3"/>
      <c r="R247" s="3"/>
      <c r="S247" s="3"/>
      <c r="T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row>
    <row r="248" spans="12:49" x14ac:dyDescent="0.35">
      <c r="L248" s="3"/>
      <c r="M248" s="3"/>
      <c r="N248" s="3"/>
      <c r="O248" s="65"/>
      <c r="Q248" s="3"/>
      <c r="R248" s="3"/>
      <c r="S248" s="3"/>
      <c r="T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row>
    <row r="249" spans="12:49" x14ac:dyDescent="0.35">
      <c r="L249" s="3"/>
      <c r="M249" s="3"/>
      <c r="N249" s="3"/>
      <c r="O249" s="65"/>
      <c r="Q249" s="3"/>
      <c r="R249" s="3"/>
      <c r="S249" s="3"/>
      <c r="T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row>
    <row r="250" spans="12:49" x14ac:dyDescent="0.35">
      <c r="L250" s="3"/>
      <c r="M250" s="3"/>
      <c r="N250" s="3"/>
      <c r="O250" s="65"/>
      <c r="Q250" s="3"/>
      <c r="R250" s="3"/>
      <c r="S250" s="3"/>
      <c r="T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row>
    <row r="251" spans="12:49" x14ac:dyDescent="0.35">
      <c r="L251" s="3"/>
      <c r="M251" s="3"/>
      <c r="N251" s="3"/>
      <c r="O251" s="65"/>
      <c r="Q251" s="3"/>
      <c r="R251" s="3"/>
      <c r="S251" s="3"/>
      <c r="T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row>
    <row r="252" spans="12:49" x14ac:dyDescent="0.35">
      <c r="L252" s="3"/>
      <c r="M252" s="3"/>
      <c r="N252" s="3"/>
      <c r="O252" s="65"/>
      <c r="Q252" s="3"/>
      <c r="R252" s="3"/>
      <c r="S252" s="3"/>
      <c r="T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row>
    <row r="253" spans="12:49" x14ac:dyDescent="0.35">
      <c r="L253" s="3"/>
      <c r="M253" s="3"/>
      <c r="N253" s="3"/>
      <c r="O253" s="65"/>
      <c r="Q253" s="3"/>
      <c r="R253" s="3"/>
      <c r="S253" s="3"/>
      <c r="T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row>
    <row r="254" spans="12:49" x14ac:dyDescent="0.35">
      <c r="L254" s="3"/>
      <c r="M254" s="3"/>
      <c r="N254" s="3"/>
      <c r="O254" s="65"/>
      <c r="Q254" s="3"/>
      <c r="R254" s="3"/>
      <c r="S254" s="3"/>
      <c r="T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row>
    <row r="255" spans="12:49" x14ac:dyDescent="0.35">
      <c r="L255" s="3"/>
      <c r="M255" s="3"/>
      <c r="N255" s="3"/>
      <c r="O255" s="65"/>
      <c r="Q255" s="3"/>
      <c r="R255" s="3"/>
      <c r="S255" s="3"/>
      <c r="T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row>
    <row r="256" spans="12:49" x14ac:dyDescent="0.35">
      <c r="L256" s="3"/>
      <c r="M256" s="3"/>
      <c r="N256" s="3"/>
      <c r="O256" s="65"/>
      <c r="Q256" s="3"/>
      <c r="R256" s="3"/>
      <c r="S256" s="3"/>
      <c r="T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row>
    <row r="257" spans="12:49" x14ac:dyDescent="0.35">
      <c r="L257" s="3"/>
      <c r="M257" s="3"/>
      <c r="N257" s="3"/>
      <c r="O257" s="65"/>
      <c r="Q257" s="3"/>
      <c r="R257" s="3"/>
      <c r="S257" s="3"/>
      <c r="T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row>
    <row r="258" spans="12:49" x14ac:dyDescent="0.35">
      <c r="L258" s="3"/>
      <c r="M258" s="3"/>
      <c r="N258" s="3"/>
      <c r="O258" s="65"/>
      <c r="Q258" s="3"/>
      <c r="R258" s="3"/>
      <c r="S258" s="3"/>
      <c r="T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row>
    <row r="259" spans="12:49" x14ac:dyDescent="0.35">
      <c r="L259" s="3"/>
      <c r="M259" s="3"/>
      <c r="N259" s="3"/>
      <c r="O259" s="65"/>
      <c r="Q259" s="3"/>
      <c r="R259" s="3"/>
      <c r="S259" s="3"/>
      <c r="T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row>
    <row r="260" spans="12:49" x14ac:dyDescent="0.35">
      <c r="L260" s="3"/>
      <c r="M260" s="3"/>
      <c r="N260" s="3"/>
      <c r="O260" s="65"/>
      <c r="Q260" s="3"/>
      <c r="R260" s="3"/>
      <c r="S260" s="3"/>
      <c r="T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row>
    <row r="261" spans="12:49" x14ac:dyDescent="0.35">
      <c r="L261" s="3"/>
      <c r="M261" s="3"/>
      <c r="N261" s="3"/>
      <c r="O261" s="65"/>
      <c r="Q261" s="3"/>
      <c r="R261" s="3"/>
      <c r="S261" s="3"/>
      <c r="T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row>
    <row r="262" spans="12:49" x14ac:dyDescent="0.35">
      <c r="L262" s="3"/>
      <c r="M262" s="3"/>
      <c r="N262" s="3"/>
      <c r="O262" s="65"/>
      <c r="Q262" s="3"/>
      <c r="R262" s="3"/>
      <c r="S262" s="3"/>
      <c r="T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row>
    <row r="263" spans="12:49" x14ac:dyDescent="0.35">
      <c r="L263" s="3"/>
      <c r="M263" s="3"/>
      <c r="N263" s="3"/>
      <c r="O263" s="65"/>
      <c r="Q263" s="3"/>
      <c r="R263" s="3"/>
      <c r="S263" s="3"/>
      <c r="T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row>
    <row r="264" spans="12:49" x14ac:dyDescent="0.35">
      <c r="L264" s="3"/>
      <c r="M264" s="3"/>
      <c r="N264" s="3"/>
      <c r="O264" s="65"/>
      <c r="Q264" s="3"/>
      <c r="R264" s="3"/>
      <c r="S264" s="3"/>
      <c r="T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row>
    <row r="265" spans="12:49" x14ac:dyDescent="0.35">
      <c r="L265" s="3"/>
      <c r="M265" s="3"/>
      <c r="N265" s="3"/>
      <c r="O265" s="65"/>
      <c r="Q265" s="3"/>
      <c r="R265" s="3"/>
      <c r="S265" s="3"/>
      <c r="T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row>
    <row r="266" spans="12:49" x14ac:dyDescent="0.35">
      <c r="L266" s="3"/>
      <c r="M266" s="3"/>
      <c r="N266" s="3"/>
      <c r="O266" s="65"/>
      <c r="Q266" s="3"/>
      <c r="R266" s="3"/>
      <c r="S266" s="3"/>
      <c r="T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row>
    <row r="267" spans="12:49" x14ac:dyDescent="0.35">
      <c r="L267" s="3"/>
      <c r="M267" s="3"/>
      <c r="N267" s="3"/>
      <c r="O267" s="65"/>
      <c r="Q267" s="3"/>
      <c r="R267" s="3"/>
      <c r="S267" s="3"/>
      <c r="T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row>
    <row r="268" spans="12:49" x14ac:dyDescent="0.35">
      <c r="L268" s="3"/>
      <c r="M268" s="3"/>
      <c r="N268" s="3"/>
      <c r="O268" s="65"/>
      <c r="Q268" s="3"/>
      <c r="R268" s="3"/>
      <c r="S268" s="3"/>
      <c r="T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row>
    <row r="269" spans="12:49" x14ac:dyDescent="0.35">
      <c r="L269" s="3"/>
      <c r="M269" s="3"/>
      <c r="N269" s="3"/>
      <c r="O269" s="65"/>
      <c r="Q269" s="3"/>
      <c r="R269" s="3"/>
      <c r="S269" s="3"/>
      <c r="T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row>
    <row r="270" spans="12:49" x14ac:dyDescent="0.35">
      <c r="L270" s="3"/>
      <c r="M270" s="3"/>
      <c r="N270" s="3"/>
      <c r="O270" s="65"/>
      <c r="Q270" s="3"/>
      <c r="R270" s="3"/>
      <c r="S270" s="3"/>
      <c r="T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row>
    <row r="271" spans="12:49" x14ac:dyDescent="0.35">
      <c r="L271" s="3"/>
      <c r="M271" s="3"/>
      <c r="N271" s="3"/>
      <c r="O271" s="65"/>
      <c r="Q271" s="3"/>
      <c r="R271" s="3"/>
      <c r="S271" s="3"/>
      <c r="T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row>
    <row r="272" spans="12:49" x14ac:dyDescent="0.35">
      <c r="L272" s="3"/>
      <c r="M272" s="3"/>
      <c r="N272" s="3"/>
      <c r="O272" s="65"/>
      <c r="Q272" s="3"/>
      <c r="R272" s="3"/>
      <c r="S272" s="3"/>
      <c r="T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row>
    <row r="273" spans="12:49" x14ac:dyDescent="0.35">
      <c r="L273" s="3"/>
      <c r="M273" s="3"/>
      <c r="N273" s="3"/>
      <c r="O273" s="65"/>
      <c r="Q273" s="3"/>
      <c r="R273" s="3"/>
      <c r="S273" s="3"/>
      <c r="T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row>
    <row r="274" spans="12:49" x14ac:dyDescent="0.35">
      <c r="L274" s="3"/>
      <c r="M274" s="3"/>
      <c r="N274" s="3"/>
      <c r="O274" s="65"/>
      <c r="Q274" s="3"/>
      <c r="R274" s="3"/>
      <c r="S274" s="3"/>
      <c r="T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row>
    <row r="275" spans="12:49" x14ac:dyDescent="0.35">
      <c r="L275" s="3"/>
      <c r="M275" s="3"/>
      <c r="N275" s="3"/>
      <c r="O275" s="65"/>
      <c r="Q275" s="3"/>
      <c r="R275" s="3"/>
      <c r="S275" s="3"/>
      <c r="T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row>
    <row r="276" spans="12:49" x14ac:dyDescent="0.35">
      <c r="L276" s="3"/>
      <c r="M276" s="3"/>
      <c r="N276" s="3"/>
      <c r="O276" s="65"/>
      <c r="Q276" s="3"/>
      <c r="R276" s="3"/>
      <c r="S276" s="3"/>
      <c r="T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row>
    <row r="277" spans="12:49" x14ac:dyDescent="0.35">
      <c r="L277" s="3"/>
      <c r="M277" s="3"/>
      <c r="N277" s="3"/>
      <c r="O277" s="65"/>
      <c r="Q277" s="3"/>
      <c r="R277" s="3"/>
      <c r="S277" s="3"/>
      <c r="T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row>
    <row r="278" spans="12:49" x14ac:dyDescent="0.35">
      <c r="L278" s="3"/>
      <c r="M278" s="3"/>
      <c r="N278" s="3"/>
      <c r="O278" s="65"/>
      <c r="Q278" s="3"/>
      <c r="R278" s="3"/>
      <c r="S278" s="3"/>
      <c r="T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row>
    <row r="279" spans="12:49" x14ac:dyDescent="0.35">
      <c r="L279" s="3"/>
      <c r="M279" s="3"/>
      <c r="N279" s="3"/>
      <c r="O279" s="65"/>
      <c r="Q279" s="3"/>
      <c r="R279" s="3"/>
      <c r="S279" s="3"/>
      <c r="T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row>
    <row r="280" spans="12:49" x14ac:dyDescent="0.35">
      <c r="L280" s="3"/>
      <c r="M280" s="3"/>
      <c r="N280" s="3"/>
      <c r="O280" s="65"/>
      <c r="Q280" s="3"/>
      <c r="R280" s="3"/>
      <c r="S280" s="3"/>
      <c r="T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row>
    <row r="281" spans="12:49" x14ac:dyDescent="0.35">
      <c r="L281" s="3"/>
      <c r="M281" s="3"/>
      <c r="N281" s="3"/>
      <c r="O281" s="65"/>
      <c r="Q281" s="3"/>
      <c r="R281" s="3"/>
      <c r="S281" s="3"/>
      <c r="T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row>
    <row r="282" spans="12:49" x14ac:dyDescent="0.35">
      <c r="L282" s="3"/>
      <c r="M282" s="3"/>
      <c r="N282" s="3"/>
      <c r="O282" s="65"/>
      <c r="Q282" s="3"/>
      <c r="R282" s="3"/>
      <c r="S282" s="3"/>
      <c r="T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row>
    <row r="283" spans="12:49" x14ac:dyDescent="0.35">
      <c r="L283" s="3"/>
      <c r="M283" s="3"/>
      <c r="N283" s="3"/>
      <c r="O283" s="65"/>
      <c r="Q283" s="3"/>
      <c r="R283" s="3"/>
      <c r="S283" s="3"/>
      <c r="T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row>
    <row r="284" spans="12:49" x14ac:dyDescent="0.35">
      <c r="L284" s="3"/>
      <c r="M284" s="3"/>
      <c r="N284" s="3"/>
      <c r="O284" s="65"/>
      <c r="Q284" s="3"/>
      <c r="R284" s="3"/>
      <c r="S284" s="3"/>
      <c r="T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row>
    <row r="285" spans="12:49" x14ac:dyDescent="0.35">
      <c r="L285" s="3"/>
      <c r="M285" s="3"/>
      <c r="N285" s="3"/>
      <c r="O285" s="65"/>
      <c r="Q285" s="3"/>
      <c r="R285" s="3"/>
      <c r="S285" s="3"/>
      <c r="T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row>
    <row r="286" spans="12:49" x14ac:dyDescent="0.35">
      <c r="L286" s="3"/>
      <c r="M286" s="3"/>
      <c r="N286" s="3"/>
      <c r="O286" s="65"/>
      <c r="Q286" s="3"/>
      <c r="R286" s="3"/>
      <c r="S286" s="3"/>
      <c r="T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row>
    <row r="287" spans="12:49" x14ac:dyDescent="0.35">
      <c r="L287" s="3"/>
      <c r="M287" s="3"/>
      <c r="N287" s="3"/>
      <c r="O287" s="65"/>
      <c r="Q287" s="3"/>
      <c r="R287" s="3"/>
      <c r="S287" s="3"/>
      <c r="T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row>
    <row r="288" spans="12:49" x14ac:dyDescent="0.35">
      <c r="L288" s="3"/>
      <c r="M288" s="3"/>
      <c r="N288" s="3"/>
      <c r="O288" s="65"/>
      <c r="Q288" s="3"/>
      <c r="R288" s="3"/>
      <c r="S288" s="3"/>
      <c r="T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row>
    <row r="289" spans="12:49" x14ac:dyDescent="0.35">
      <c r="L289" s="3"/>
      <c r="M289" s="3"/>
      <c r="N289" s="3"/>
      <c r="O289" s="65"/>
      <c r="Q289" s="3"/>
      <c r="R289" s="3"/>
      <c r="S289" s="3"/>
      <c r="T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row>
    <row r="290" spans="12:49" x14ac:dyDescent="0.35">
      <c r="L290" s="3"/>
      <c r="M290" s="3"/>
      <c r="N290" s="3"/>
      <c r="O290" s="65"/>
      <c r="Q290" s="3"/>
      <c r="R290" s="3"/>
      <c r="S290" s="3"/>
      <c r="T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row>
    <row r="291" spans="12:49" x14ac:dyDescent="0.35">
      <c r="L291" s="3"/>
      <c r="M291" s="3"/>
      <c r="N291" s="3"/>
      <c r="O291" s="65"/>
      <c r="Q291" s="3"/>
      <c r="R291" s="3"/>
      <c r="S291" s="3"/>
      <c r="T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row>
    <row r="292" spans="12:49" x14ac:dyDescent="0.35">
      <c r="L292" s="3"/>
      <c r="M292" s="3"/>
      <c r="N292" s="3"/>
      <c r="O292" s="65"/>
      <c r="Q292" s="3"/>
      <c r="R292" s="3"/>
      <c r="S292" s="3"/>
      <c r="T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row>
    <row r="293" spans="12:49" x14ac:dyDescent="0.35">
      <c r="L293" s="3"/>
      <c r="M293" s="3"/>
      <c r="N293" s="3"/>
      <c r="O293" s="65"/>
      <c r="Q293" s="3"/>
      <c r="R293" s="3"/>
      <c r="S293" s="3"/>
      <c r="T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row>
    <row r="294" spans="12:49" x14ac:dyDescent="0.35">
      <c r="L294" s="3"/>
      <c r="M294" s="3"/>
      <c r="N294" s="3"/>
      <c r="O294" s="65"/>
      <c r="Q294" s="3"/>
      <c r="R294" s="3"/>
      <c r="S294" s="3"/>
      <c r="T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row>
    <row r="295" spans="12:49" x14ac:dyDescent="0.35">
      <c r="L295" s="3"/>
      <c r="M295" s="3"/>
      <c r="N295" s="3"/>
      <c r="O295" s="65"/>
      <c r="Q295" s="3"/>
      <c r="R295" s="3"/>
      <c r="S295" s="3"/>
      <c r="T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row>
    <row r="296" spans="12:49" x14ac:dyDescent="0.35">
      <c r="L296" s="3"/>
      <c r="M296" s="3"/>
      <c r="N296" s="3"/>
      <c r="O296" s="65"/>
      <c r="Q296" s="3"/>
      <c r="R296" s="3"/>
      <c r="S296" s="3"/>
      <c r="T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row>
    <row r="297" spans="12:49" x14ac:dyDescent="0.35">
      <c r="L297" s="3"/>
      <c r="M297" s="3"/>
      <c r="N297" s="3"/>
      <c r="O297" s="65"/>
      <c r="Q297" s="3"/>
      <c r="R297" s="3"/>
      <c r="S297" s="3"/>
      <c r="T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row>
    <row r="298" spans="12:49" x14ac:dyDescent="0.35">
      <c r="L298" s="3"/>
      <c r="M298" s="3"/>
      <c r="N298" s="3"/>
      <c r="O298" s="65"/>
      <c r="Q298" s="3"/>
      <c r="R298" s="3"/>
      <c r="S298" s="3"/>
      <c r="T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row>
    <row r="299" spans="12:49" x14ac:dyDescent="0.35">
      <c r="L299" s="3"/>
      <c r="M299" s="3"/>
      <c r="N299" s="3"/>
      <c r="O299" s="65"/>
      <c r="Q299" s="3"/>
      <c r="R299" s="3"/>
      <c r="S299" s="3"/>
      <c r="T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row>
    <row r="300" spans="12:49" x14ac:dyDescent="0.35">
      <c r="L300" s="3"/>
      <c r="M300" s="3"/>
      <c r="N300" s="3"/>
      <c r="O300" s="65"/>
      <c r="Q300" s="3"/>
      <c r="R300" s="3"/>
      <c r="S300" s="3"/>
      <c r="T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row>
    <row r="301" spans="12:49" x14ac:dyDescent="0.35">
      <c r="L301" s="3"/>
      <c r="M301" s="3"/>
      <c r="N301" s="3"/>
      <c r="O301" s="65"/>
      <c r="Q301" s="3"/>
      <c r="R301" s="3"/>
      <c r="S301" s="3"/>
      <c r="T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row>
    <row r="302" spans="12:49" x14ac:dyDescent="0.35">
      <c r="L302" s="3"/>
      <c r="M302" s="3"/>
      <c r="N302" s="3"/>
      <c r="O302" s="65"/>
      <c r="Q302" s="3"/>
      <c r="R302" s="3"/>
      <c r="S302" s="3"/>
      <c r="T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row>
    <row r="303" spans="12:49" x14ac:dyDescent="0.35">
      <c r="L303" s="3"/>
      <c r="M303" s="3"/>
      <c r="N303" s="3"/>
      <c r="O303" s="65"/>
      <c r="Q303" s="3"/>
      <c r="R303" s="3"/>
      <c r="S303" s="3"/>
      <c r="T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row>
    <row r="304" spans="12:49" x14ac:dyDescent="0.35">
      <c r="L304" s="3"/>
      <c r="M304" s="3"/>
      <c r="N304" s="3"/>
      <c r="O304" s="65"/>
      <c r="Q304" s="3"/>
      <c r="R304" s="3"/>
      <c r="S304" s="3"/>
      <c r="T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row>
    <row r="305" spans="12:49" x14ac:dyDescent="0.35">
      <c r="L305" s="3"/>
      <c r="M305" s="3"/>
      <c r="N305" s="3"/>
      <c r="O305" s="65"/>
      <c r="Q305" s="3"/>
      <c r="R305" s="3"/>
      <c r="S305" s="3"/>
      <c r="T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row>
    <row r="306" spans="12:49" x14ac:dyDescent="0.35">
      <c r="L306" s="3"/>
      <c r="M306" s="3"/>
      <c r="N306" s="3"/>
      <c r="O306" s="65"/>
      <c r="Q306" s="3"/>
      <c r="R306" s="3"/>
      <c r="S306" s="3"/>
      <c r="T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row>
    <row r="307" spans="12:49" x14ac:dyDescent="0.35">
      <c r="L307" s="3"/>
      <c r="M307" s="3"/>
      <c r="N307" s="3"/>
      <c r="O307" s="65"/>
      <c r="Q307" s="3"/>
      <c r="R307" s="3"/>
      <c r="S307" s="3"/>
      <c r="T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row>
    <row r="308" spans="12:49" x14ac:dyDescent="0.35">
      <c r="L308" s="3"/>
      <c r="M308" s="3"/>
      <c r="N308" s="3"/>
      <c r="O308" s="65"/>
      <c r="Q308" s="3"/>
      <c r="R308" s="3"/>
      <c r="S308" s="3"/>
      <c r="T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row>
    <row r="309" spans="12:49" x14ac:dyDescent="0.35">
      <c r="L309" s="3"/>
      <c r="M309" s="3"/>
      <c r="N309" s="3"/>
      <c r="O309" s="65"/>
      <c r="Q309" s="3"/>
      <c r="R309" s="3"/>
      <c r="S309" s="3"/>
      <c r="T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row>
    <row r="310" spans="12:49" x14ac:dyDescent="0.35">
      <c r="L310" s="3"/>
      <c r="M310" s="3"/>
      <c r="N310" s="3"/>
      <c r="O310" s="65"/>
      <c r="Q310" s="3"/>
      <c r="R310" s="3"/>
      <c r="S310" s="3"/>
      <c r="T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row>
    <row r="311" spans="12:49" x14ac:dyDescent="0.35">
      <c r="L311" s="3"/>
      <c r="M311" s="3"/>
      <c r="N311" s="3"/>
      <c r="O311" s="65"/>
      <c r="Q311" s="3"/>
      <c r="R311" s="3"/>
      <c r="S311" s="3"/>
      <c r="T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row>
    <row r="312" spans="12:49" x14ac:dyDescent="0.35">
      <c r="L312" s="3"/>
      <c r="M312" s="3"/>
      <c r="N312" s="3"/>
      <c r="O312" s="65"/>
      <c r="Q312" s="3"/>
      <c r="R312" s="3"/>
      <c r="S312" s="3"/>
      <c r="T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row>
    <row r="313" spans="12:49" x14ac:dyDescent="0.35">
      <c r="L313" s="3"/>
      <c r="M313" s="3"/>
      <c r="N313" s="3"/>
      <c r="O313" s="65"/>
      <c r="Q313" s="3"/>
      <c r="R313" s="3"/>
      <c r="S313" s="3"/>
      <c r="T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row>
    <row r="314" spans="12:49" x14ac:dyDescent="0.35">
      <c r="L314" s="3"/>
      <c r="M314" s="3"/>
      <c r="N314" s="3"/>
      <c r="O314" s="65"/>
      <c r="Q314" s="3"/>
      <c r="R314" s="3"/>
      <c r="S314" s="3"/>
      <c r="T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row>
    <row r="315" spans="12:49" x14ac:dyDescent="0.35">
      <c r="L315" s="3"/>
      <c r="M315" s="3"/>
      <c r="N315" s="3"/>
      <c r="O315" s="65"/>
      <c r="Q315" s="3"/>
      <c r="R315" s="3"/>
      <c r="S315" s="3"/>
      <c r="T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row>
    <row r="316" spans="12:49" x14ac:dyDescent="0.35">
      <c r="L316" s="3"/>
      <c r="M316" s="3"/>
      <c r="N316" s="3"/>
      <c r="O316" s="65"/>
      <c r="Q316" s="3"/>
      <c r="R316" s="3"/>
      <c r="S316" s="3"/>
      <c r="T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row>
    <row r="317" spans="12:49" x14ac:dyDescent="0.35">
      <c r="L317" s="3"/>
      <c r="M317" s="3"/>
      <c r="N317" s="3"/>
      <c r="O317" s="65"/>
      <c r="Q317" s="3"/>
      <c r="R317" s="3"/>
      <c r="S317" s="3"/>
      <c r="T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row>
    <row r="318" spans="12:49" x14ac:dyDescent="0.35">
      <c r="L318" s="3"/>
      <c r="M318" s="3"/>
      <c r="N318" s="3"/>
      <c r="O318" s="65"/>
      <c r="Q318" s="3"/>
      <c r="R318" s="3"/>
      <c r="S318" s="3"/>
      <c r="T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row>
    <row r="319" spans="12:49" x14ac:dyDescent="0.35">
      <c r="L319" s="3"/>
      <c r="M319" s="3"/>
      <c r="N319" s="3"/>
      <c r="O319" s="65"/>
      <c r="Q319" s="3"/>
      <c r="R319" s="3"/>
      <c r="S319" s="3"/>
      <c r="T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row>
    <row r="320" spans="12:49" x14ac:dyDescent="0.35">
      <c r="L320" s="3"/>
      <c r="M320" s="3"/>
      <c r="N320" s="3"/>
      <c r="O320" s="65"/>
      <c r="Q320" s="3"/>
      <c r="R320" s="3"/>
      <c r="S320" s="3"/>
      <c r="T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row>
    <row r="321" spans="12:49" x14ac:dyDescent="0.35">
      <c r="L321" s="3"/>
      <c r="M321" s="3"/>
      <c r="N321" s="3"/>
      <c r="O321" s="65"/>
      <c r="Q321" s="3"/>
      <c r="R321" s="3"/>
      <c r="S321" s="3"/>
      <c r="T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row>
    <row r="322" spans="12:49" x14ac:dyDescent="0.35">
      <c r="L322" s="3"/>
      <c r="M322" s="3"/>
      <c r="N322" s="3"/>
      <c r="O322" s="65"/>
      <c r="Q322" s="3"/>
      <c r="R322" s="3"/>
      <c r="S322" s="3"/>
      <c r="T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row>
    <row r="323" spans="12:49" x14ac:dyDescent="0.35">
      <c r="L323" s="3"/>
      <c r="M323" s="3"/>
      <c r="N323" s="3"/>
      <c r="O323" s="65"/>
      <c r="Q323" s="3"/>
      <c r="R323" s="3"/>
      <c r="S323" s="3"/>
      <c r="T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row>
    <row r="324" spans="12:49" x14ac:dyDescent="0.35">
      <c r="L324" s="3"/>
      <c r="M324" s="3"/>
      <c r="N324" s="3"/>
      <c r="O324" s="65"/>
      <c r="Q324" s="3"/>
      <c r="R324" s="3"/>
      <c r="S324" s="3"/>
      <c r="T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row>
    <row r="325" spans="12:49" x14ac:dyDescent="0.35">
      <c r="L325" s="3"/>
      <c r="M325" s="3"/>
      <c r="N325" s="3"/>
      <c r="O325" s="65"/>
      <c r="Q325" s="3"/>
      <c r="R325" s="3"/>
      <c r="S325" s="3"/>
      <c r="T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row>
    <row r="326" spans="12:49" x14ac:dyDescent="0.35">
      <c r="L326" s="3"/>
      <c r="M326" s="3"/>
      <c r="N326" s="3"/>
      <c r="O326" s="65"/>
      <c r="Q326" s="3"/>
      <c r="R326" s="3"/>
      <c r="S326" s="3"/>
      <c r="T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row>
    <row r="327" spans="12:49" x14ac:dyDescent="0.35">
      <c r="L327" s="3"/>
      <c r="M327" s="3"/>
      <c r="N327" s="3"/>
      <c r="O327" s="65"/>
      <c r="Q327" s="3"/>
      <c r="R327" s="3"/>
      <c r="S327" s="3"/>
      <c r="T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row>
    <row r="328" spans="12:49" x14ac:dyDescent="0.35">
      <c r="L328" s="3"/>
      <c r="M328" s="3"/>
      <c r="N328" s="3"/>
      <c r="O328" s="65"/>
      <c r="Q328" s="3"/>
      <c r="R328" s="3"/>
      <c r="S328" s="3"/>
      <c r="T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row>
    <row r="329" spans="12:49" x14ac:dyDescent="0.35">
      <c r="L329" s="3"/>
      <c r="M329" s="3"/>
      <c r="N329" s="3"/>
      <c r="O329" s="65"/>
      <c r="Q329" s="3"/>
      <c r="R329" s="3"/>
      <c r="S329" s="3"/>
      <c r="T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row>
    <row r="330" spans="12:49" x14ac:dyDescent="0.35">
      <c r="L330" s="3"/>
      <c r="M330" s="3"/>
      <c r="N330" s="3"/>
      <c r="O330" s="65"/>
      <c r="Q330" s="3"/>
      <c r="R330" s="3"/>
      <c r="S330" s="3"/>
      <c r="T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row>
    <row r="331" spans="12:49" x14ac:dyDescent="0.35">
      <c r="L331" s="3"/>
      <c r="M331" s="3"/>
      <c r="N331" s="3"/>
      <c r="O331" s="65"/>
      <c r="Q331" s="3"/>
      <c r="R331" s="3"/>
      <c r="S331" s="3"/>
      <c r="T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row>
    <row r="332" spans="12:49" x14ac:dyDescent="0.35">
      <c r="L332" s="3"/>
      <c r="M332" s="3"/>
      <c r="N332" s="3"/>
      <c r="O332" s="65"/>
      <c r="Q332" s="3"/>
      <c r="R332" s="3"/>
      <c r="S332" s="3"/>
      <c r="T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row>
    <row r="333" spans="12:49" x14ac:dyDescent="0.35">
      <c r="L333" s="3"/>
      <c r="M333" s="3"/>
      <c r="N333" s="3"/>
      <c r="O333" s="65"/>
      <c r="Q333" s="3"/>
      <c r="R333" s="3"/>
      <c r="S333" s="3"/>
      <c r="T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row>
    <row r="334" spans="12:49" x14ac:dyDescent="0.35">
      <c r="L334" s="3"/>
      <c r="M334" s="3"/>
      <c r="N334" s="3"/>
      <c r="O334" s="65"/>
      <c r="Q334" s="3"/>
      <c r="R334" s="3"/>
      <c r="S334" s="3"/>
      <c r="T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row>
    <row r="335" spans="12:49" x14ac:dyDescent="0.35">
      <c r="L335" s="3"/>
      <c r="M335" s="3"/>
      <c r="N335" s="3"/>
      <c r="O335" s="65"/>
      <c r="Q335" s="3"/>
      <c r="R335" s="3"/>
      <c r="S335" s="3"/>
      <c r="T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row>
    <row r="336" spans="12:49" x14ac:dyDescent="0.35">
      <c r="L336" s="3"/>
      <c r="M336" s="3"/>
      <c r="N336" s="3"/>
      <c r="O336" s="65"/>
      <c r="Q336" s="3"/>
      <c r="R336" s="3"/>
      <c r="S336" s="3"/>
      <c r="T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row>
    <row r="337" spans="12:49" x14ac:dyDescent="0.35">
      <c r="L337" s="3"/>
      <c r="M337" s="3"/>
      <c r="N337" s="3"/>
      <c r="O337" s="65"/>
      <c r="Q337" s="3"/>
      <c r="R337" s="3"/>
      <c r="S337" s="3"/>
      <c r="T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row>
    <row r="338" spans="12:49" x14ac:dyDescent="0.35">
      <c r="L338" s="3"/>
      <c r="M338" s="3"/>
      <c r="N338" s="3"/>
      <c r="O338" s="65"/>
      <c r="Q338" s="3"/>
      <c r="R338" s="3"/>
      <c r="S338" s="3"/>
      <c r="T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row>
    <row r="339" spans="12:49" x14ac:dyDescent="0.35">
      <c r="L339" s="3"/>
      <c r="M339" s="3"/>
      <c r="N339" s="3"/>
      <c r="O339" s="65"/>
      <c r="Q339" s="3"/>
      <c r="R339" s="3"/>
      <c r="S339" s="3"/>
      <c r="T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row>
    <row r="340" spans="12:49" x14ac:dyDescent="0.35">
      <c r="L340" s="3"/>
      <c r="M340" s="3"/>
      <c r="N340" s="3"/>
      <c r="O340" s="65"/>
      <c r="Q340" s="3"/>
      <c r="R340" s="3"/>
      <c r="S340" s="3"/>
      <c r="T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row>
    <row r="341" spans="12:49" x14ac:dyDescent="0.35">
      <c r="L341" s="3"/>
      <c r="M341" s="3"/>
      <c r="N341" s="3"/>
      <c r="O341" s="65"/>
      <c r="Q341" s="3"/>
      <c r="R341" s="3"/>
      <c r="S341" s="3"/>
      <c r="T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row>
    <row r="342" spans="12:49" x14ac:dyDescent="0.35">
      <c r="L342" s="3"/>
      <c r="M342" s="3"/>
      <c r="N342" s="3"/>
      <c r="O342" s="65"/>
      <c r="Q342" s="3"/>
      <c r="R342" s="3"/>
      <c r="S342" s="3"/>
      <c r="T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row>
    <row r="343" spans="12:49" x14ac:dyDescent="0.35">
      <c r="L343" s="3"/>
      <c r="M343" s="3"/>
      <c r="N343" s="3"/>
      <c r="O343" s="65"/>
      <c r="Q343" s="3"/>
      <c r="R343" s="3"/>
      <c r="S343" s="3"/>
      <c r="T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row>
    <row r="344" spans="12:49" x14ac:dyDescent="0.35">
      <c r="L344" s="3"/>
      <c r="M344" s="3"/>
      <c r="N344" s="3"/>
      <c r="O344" s="65"/>
      <c r="Q344" s="3"/>
      <c r="R344" s="3"/>
      <c r="S344" s="3"/>
      <c r="T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row>
    <row r="345" spans="12:49" x14ac:dyDescent="0.35">
      <c r="L345" s="3"/>
      <c r="M345" s="3"/>
      <c r="N345" s="3"/>
      <c r="O345" s="65"/>
      <c r="Q345" s="3"/>
      <c r="R345" s="3"/>
      <c r="S345" s="3"/>
      <c r="T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row>
    <row r="346" spans="12:49" x14ac:dyDescent="0.35">
      <c r="L346" s="3"/>
      <c r="M346" s="3"/>
      <c r="N346" s="3"/>
      <c r="O346" s="65"/>
      <c r="Q346" s="3"/>
      <c r="R346" s="3"/>
      <c r="S346" s="3"/>
      <c r="T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row>
    <row r="347" spans="12:49" x14ac:dyDescent="0.35">
      <c r="L347" s="3"/>
      <c r="M347" s="3"/>
      <c r="N347" s="3"/>
      <c r="O347" s="65"/>
      <c r="Q347" s="3"/>
      <c r="R347" s="3"/>
      <c r="S347" s="3"/>
      <c r="T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row>
    <row r="348" spans="12:49" x14ac:dyDescent="0.35">
      <c r="L348" s="3"/>
      <c r="M348" s="3"/>
      <c r="N348" s="3"/>
      <c r="O348" s="65"/>
      <c r="Q348" s="3"/>
      <c r="R348" s="3"/>
      <c r="S348" s="3"/>
      <c r="T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row>
    <row r="349" spans="12:49" x14ac:dyDescent="0.35">
      <c r="L349" s="3"/>
      <c r="M349" s="3"/>
      <c r="N349" s="3"/>
      <c r="O349" s="65"/>
      <c r="Q349" s="3"/>
      <c r="R349" s="3"/>
      <c r="S349" s="3"/>
      <c r="T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row>
    <row r="350" spans="12:49" x14ac:dyDescent="0.35">
      <c r="L350" s="3"/>
      <c r="M350" s="3"/>
      <c r="N350" s="3"/>
      <c r="O350" s="65"/>
      <c r="Q350" s="3"/>
      <c r="R350" s="3"/>
      <c r="S350" s="3"/>
      <c r="T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row>
    <row r="351" spans="12:49" x14ac:dyDescent="0.35">
      <c r="L351" s="3"/>
      <c r="M351" s="3"/>
      <c r="N351" s="3"/>
      <c r="O351" s="65"/>
      <c r="Q351" s="3"/>
      <c r="R351" s="3"/>
      <c r="S351" s="3"/>
      <c r="T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row>
    <row r="352" spans="12:49" x14ac:dyDescent="0.35">
      <c r="L352" s="3"/>
      <c r="M352" s="3"/>
      <c r="N352" s="3"/>
      <c r="O352" s="65"/>
      <c r="Q352" s="3"/>
      <c r="R352" s="3"/>
      <c r="S352" s="3"/>
      <c r="T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row>
    <row r="353" spans="12:49" x14ac:dyDescent="0.35">
      <c r="L353" s="3"/>
      <c r="M353" s="3"/>
      <c r="N353" s="3"/>
      <c r="O353" s="65"/>
      <c r="Q353" s="3"/>
      <c r="R353" s="3"/>
      <c r="S353" s="3"/>
      <c r="T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row>
    <row r="354" spans="12:49" x14ac:dyDescent="0.35">
      <c r="L354" s="3"/>
      <c r="M354" s="3"/>
      <c r="N354" s="3"/>
      <c r="O354" s="65"/>
      <c r="Q354" s="3"/>
      <c r="R354" s="3"/>
      <c r="S354" s="3"/>
      <c r="T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row>
    <row r="355" spans="12:49" x14ac:dyDescent="0.35">
      <c r="L355" s="3"/>
      <c r="M355" s="3"/>
      <c r="N355" s="3"/>
      <c r="O355" s="65"/>
      <c r="Q355" s="3"/>
      <c r="R355" s="3"/>
      <c r="S355" s="3"/>
      <c r="T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row>
    <row r="356" spans="12:49" x14ac:dyDescent="0.35">
      <c r="L356" s="3"/>
      <c r="M356" s="3"/>
      <c r="N356" s="3"/>
      <c r="O356" s="65"/>
      <c r="Q356" s="3"/>
      <c r="R356" s="3"/>
      <c r="S356" s="3"/>
      <c r="T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row>
    <row r="357" spans="12:49" x14ac:dyDescent="0.35">
      <c r="L357" s="3"/>
      <c r="M357" s="3"/>
      <c r="N357" s="3"/>
      <c r="O357" s="65"/>
      <c r="Q357" s="3"/>
      <c r="R357" s="3"/>
      <c r="S357" s="3"/>
      <c r="T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row>
    <row r="358" spans="12:49" x14ac:dyDescent="0.35">
      <c r="L358" s="3"/>
      <c r="M358" s="3"/>
      <c r="N358" s="3"/>
      <c r="O358" s="65"/>
      <c r="Q358" s="3"/>
      <c r="R358" s="3"/>
      <c r="S358" s="3"/>
      <c r="T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row>
    <row r="359" spans="12:49" x14ac:dyDescent="0.35">
      <c r="L359" s="3"/>
      <c r="M359" s="3"/>
      <c r="N359" s="3"/>
      <c r="O359" s="65"/>
      <c r="Q359" s="3"/>
      <c r="R359" s="3"/>
      <c r="S359" s="3"/>
      <c r="T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row>
    <row r="360" spans="12:49" x14ac:dyDescent="0.35">
      <c r="L360" s="3"/>
      <c r="M360" s="3"/>
      <c r="N360" s="3"/>
      <c r="O360" s="65"/>
      <c r="Q360" s="3"/>
      <c r="R360" s="3"/>
      <c r="S360" s="3"/>
      <c r="T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row>
    <row r="361" spans="12:49" x14ac:dyDescent="0.35">
      <c r="L361" s="3"/>
      <c r="M361" s="3"/>
      <c r="N361" s="3"/>
      <c r="O361" s="65"/>
      <c r="Q361" s="3"/>
      <c r="R361" s="3"/>
      <c r="S361" s="3"/>
      <c r="T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row>
    <row r="362" spans="12:49" x14ac:dyDescent="0.35">
      <c r="L362" s="3"/>
      <c r="M362" s="3"/>
      <c r="N362" s="3"/>
      <c r="O362" s="65"/>
      <c r="Q362" s="3"/>
      <c r="R362" s="3"/>
      <c r="S362" s="3"/>
      <c r="T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row>
    <row r="363" spans="12:49" x14ac:dyDescent="0.35">
      <c r="L363" s="3"/>
      <c r="M363" s="3"/>
      <c r="N363" s="3"/>
      <c r="O363" s="65"/>
      <c r="Q363" s="3"/>
      <c r="R363" s="3"/>
      <c r="S363" s="3"/>
      <c r="T363" s="3"/>
      <c r="V363" s="3"/>
      <c r="W363" s="3"/>
      <c r="X363" s="3"/>
      <c r="Y363" s="3"/>
      <c r="Z363" s="3"/>
      <c r="AA363" s="3"/>
      <c r="AB363" s="3"/>
      <c r="AC363" s="3"/>
      <c r="AD363" s="3"/>
      <c r="AE363" s="3"/>
      <c r="AF363" s="3"/>
      <c r="AG363" s="3"/>
      <c r="AH363" s="3"/>
      <c r="AI363" s="3"/>
      <c r="AJ363" s="3"/>
      <c r="AK363" s="3"/>
      <c r="AL363" s="3"/>
      <c r="AM363" s="3"/>
      <c r="AN363" s="3"/>
      <c r="AO363" s="3"/>
      <c r="AP363" s="3"/>
      <c r="AQ363" s="3"/>
      <c r="AR363" s="3"/>
      <c r="AS363" s="3"/>
      <c r="AT363" s="3"/>
      <c r="AU363" s="3"/>
      <c r="AV363" s="3"/>
      <c r="AW363" s="3"/>
    </row>
    <row r="364" spans="12:49" x14ac:dyDescent="0.35">
      <c r="L364" s="3"/>
      <c r="M364" s="3"/>
      <c r="N364" s="3"/>
      <c r="O364" s="65"/>
      <c r="Q364" s="3"/>
      <c r="R364" s="3"/>
      <c r="S364" s="3"/>
      <c r="T364" s="3"/>
      <c r="V364" s="3"/>
      <c r="W364" s="3"/>
      <c r="X364" s="3"/>
      <c r="Y364" s="3"/>
      <c r="Z364" s="3"/>
      <c r="AA364" s="3"/>
      <c r="AB364" s="3"/>
      <c r="AC364" s="3"/>
      <c r="AD364" s="3"/>
      <c r="AE364" s="3"/>
      <c r="AF364" s="3"/>
      <c r="AG364" s="3"/>
      <c r="AH364" s="3"/>
      <c r="AI364" s="3"/>
      <c r="AJ364" s="3"/>
      <c r="AK364" s="3"/>
      <c r="AL364" s="3"/>
      <c r="AM364" s="3"/>
      <c r="AN364" s="3"/>
      <c r="AO364" s="3"/>
      <c r="AP364" s="3"/>
      <c r="AQ364" s="3"/>
      <c r="AR364" s="3"/>
      <c r="AS364" s="3"/>
      <c r="AT364" s="3"/>
      <c r="AU364" s="3"/>
      <c r="AV364" s="3"/>
      <c r="AW364" s="3"/>
    </row>
    <row r="365" spans="12:49" x14ac:dyDescent="0.35">
      <c r="L365" s="3"/>
      <c r="M365" s="3"/>
      <c r="N365" s="3"/>
      <c r="O365" s="65"/>
      <c r="Q365" s="3"/>
      <c r="R365" s="3"/>
      <c r="S365" s="3"/>
      <c r="T365" s="3"/>
      <c r="V365" s="3"/>
      <c r="W365" s="3"/>
      <c r="X365" s="3"/>
      <c r="Y365" s="3"/>
      <c r="Z365" s="3"/>
      <c r="AA365" s="3"/>
      <c r="AB365" s="3"/>
      <c r="AC365" s="3"/>
      <c r="AD365" s="3"/>
      <c r="AE365" s="3"/>
      <c r="AF365" s="3"/>
      <c r="AG365" s="3"/>
      <c r="AH365" s="3"/>
      <c r="AI365" s="3"/>
      <c r="AJ365" s="3"/>
      <c r="AK365" s="3"/>
      <c r="AL365" s="3"/>
      <c r="AM365" s="3"/>
      <c r="AN365" s="3"/>
      <c r="AO365" s="3"/>
      <c r="AP365" s="3"/>
      <c r="AQ365" s="3"/>
      <c r="AR365" s="3"/>
      <c r="AS365" s="3"/>
      <c r="AT365" s="3"/>
      <c r="AU365" s="3"/>
      <c r="AV365" s="3"/>
      <c r="AW365" s="3"/>
    </row>
    <row r="366" spans="12:49" x14ac:dyDescent="0.35">
      <c r="L366" s="3"/>
      <c r="M366" s="3"/>
      <c r="N366" s="3"/>
      <c r="O366" s="65"/>
      <c r="Q366" s="3"/>
      <c r="R366" s="3"/>
      <c r="S366" s="3"/>
      <c r="T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row>
    <row r="367" spans="12:49" x14ac:dyDescent="0.35">
      <c r="L367" s="3"/>
      <c r="M367" s="3"/>
      <c r="N367" s="3"/>
      <c r="O367" s="65"/>
      <c r="Q367" s="3"/>
      <c r="R367" s="3"/>
      <c r="S367" s="3"/>
      <c r="T367" s="3"/>
      <c r="V367" s="3"/>
      <c r="W367" s="3"/>
      <c r="X367" s="3"/>
      <c r="Y367" s="3"/>
      <c r="Z367" s="3"/>
      <c r="AA367" s="3"/>
      <c r="AB367" s="3"/>
      <c r="AC367" s="3"/>
      <c r="AD367" s="3"/>
      <c r="AE367" s="3"/>
      <c r="AF367" s="3"/>
      <c r="AG367" s="3"/>
      <c r="AH367" s="3"/>
      <c r="AI367" s="3"/>
      <c r="AJ367" s="3"/>
      <c r="AK367" s="3"/>
      <c r="AL367" s="3"/>
      <c r="AM367" s="3"/>
      <c r="AN367" s="3"/>
      <c r="AO367" s="3"/>
      <c r="AP367" s="3"/>
      <c r="AQ367" s="3"/>
      <c r="AR367" s="3"/>
      <c r="AS367" s="3"/>
      <c r="AT367" s="3"/>
      <c r="AU367" s="3"/>
      <c r="AV367" s="3"/>
      <c r="AW367" s="3"/>
    </row>
    <row r="368" spans="12:49" x14ac:dyDescent="0.35">
      <c r="L368" s="3"/>
      <c r="M368" s="3"/>
      <c r="N368" s="3"/>
      <c r="O368" s="65"/>
      <c r="Q368" s="3"/>
      <c r="R368" s="3"/>
      <c r="S368" s="3"/>
      <c r="T368" s="3"/>
      <c r="V368" s="3"/>
      <c r="W368" s="3"/>
      <c r="X368" s="3"/>
      <c r="Y368" s="3"/>
      <c r="Z368" s="3"/>
      <c r="AA368" s="3"/>
      <c r="AB368" s="3"/>
      <c r="AC368" s="3"/>
      <c r="AD368" s="3"/>
      <c r="AE368" s="3"/>
      <c r="AF368" s="3"/>
      <c r="AG368" s="3"/>
      <c r="AH368" s="3"/>
      <c r="AI368" s="3"/>
      <c r="AJ368" s="3"/>
      <c r="AK368" s="3"/>
      <c r="AL368" s="3"/>
      <c r="AM368" s="3"/>
      <c r="AN368" s="3"/>
      <c r="AO368" s="3"/>
      <c r="AP368" s="3"/>
      <c r="AQ368" s="3"/>
      <c r="AR368" s="3"/>
      <c r="AS368" s="3"/>
      <c r="AT368" s="3"/>
      <c r="AU368" s="3"/>
      <c r="AV368" s="3"/>
      <c r="AW368" s="3"/>
    </row>
    <row r="369" spans="12:49" x14ac:dyDescent="0.35">
      <c r="L369" s="3"/>
      <c r="M369" s="3"/>
      <c r="N369" s="3"/>
      <c r="O369" s="65"/>
      <c r="Q369" s="3"/>
      <c r="R369" s="3"/>
      <c r="S369" s="3"/>
      <c r="T369" s="3"/>
      <c r="V369" s="3"/>
      <c r="W369" s="3"/>
      <c r="X369" s="3"/>
      <c r="Y369" s="3"/>
      <c r="Z369" s="3"/>
      <c r="AA369" s="3"/>
      <c r="AB369" s="3"/>
      <c r="AC369" s="3"/>
      <c r="AD369" s="3"/>
      <c r="AE369" s="3"/>
      <c r="AF369" s="3"/>
      <c r="AG369" s="3"/>
      <c r="AH369" s="3"/>
      <c r="AI369" s="3"/>
      <c r="AJ369" s="3"/>
      <c r="AK369" s="3"/>
      <c r="AL369" s="3"/>
      <c r="AM369" s="3"/>
      <c r="AN369" s="3"/>
      <c r="AO369" s="3"/>
      <c r="AP369" s="3"/>
      <c r="AQ369" s="3"/>
      <c r="AR369" s="3"/>
      <c r="AS369" s="3"/>
      <c r="AT369" s="3"/>
      <c r="AU369" s="3"/>
      <c r="AV369" s="3"/>
      <c r="AW369" s="3"/>
    </row>
    <row r="370" spans="12:49" x14ac:dyDescent="0.35">
      <c r="L370" s="3"/>
      <c r="M370" s="3"/>
      <c r="N370" s="3"/>
      <c r="O370" s="65"/>
      <c r="Q370" s="3"/>
      <c r="R370" s="3"/>
      <c r="S370" s="3"/>
      <c r="T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row>
    <row r="371" spans="12:49" x14ac:dyDescent="0.35">
      <c r="L371" s="3"/>
      <c r="M371" s="3"/>
      <c r="N371" s="3"/>
      <c r="O371" s="65"/>
      <c r="Q371" s="3"/>
      <c r="R371" s="3"/>
      <c r="S371" s="3"/>
      <c r="T371" s="3"/>
      <c r="V371" s="3"/>
      <c r="W371" s="3"/>
      <c r="X371" s="3"/>
      <c r="Y371" s="3"/>
      <c r="Z371" s="3"/>
      <c r="AA371" s="3"/>
      <c r="AB371" s="3"/>
      <c r="AC371" s="3"/>
      <c r="AD371" s="3"/>
      <c r="AE371" s="3"/>
      <c r="AF371" s="3"/>
      <c r="AG371" s="3"/>
      <c r="AH371" s="3"/>
      <c r="AI371" s="3"/>
      <c r="AJ371" s="3"/>
      <c r="AK371" s="3"/>
      <c r="AL371" s="3"/>
      <c r="AM371" s="3"/>
      <c r="AN371" s="3"/>
      <c r="AO371" s="3"/>
      <c r="AP371" s="3"/>
      <c r="AQ371" s="3"/>
      <c r="AR371" s="3"/>
      <c r="AS371" s="3"/>
      <c r="AT371" s="3"/>
      <c r="AU371" s="3"/>
      <c r="AV371" s="3"/>
      <c r="AW371" s="3"/>
    </row>
    <row r="372" spans="12:49" x14ac:dyDescent="0.35">
      <c r="L372" s="3"/>
      <c r="M372" s="3"/>
      <c r="N372" s="3"/>
      <c r="O372" s="65"/>
      <c r="Q372" s="3"/>
      <c r="R372" s="3"/>
      <c r="S372" s="3"/>
      <c r="T372" s="3"/>
      <c r="V372" s="3"/>
      <c r="W372" s="3"/>
      <c r="X372" s="3"/>
      <c r="Y372" s="3"/>
      <c r="Z372" s="3"/>
      <c r="AA372" s="3"/>
      <c r="AB372" s="3"/>
      <c r="AC372" s="3"/>
      <c r="AD372" s="3"/>
      <c r="AE372" s="3"/>
      <c r="AF372" s="3"/>
      <c r="AG372" s="3"/>
      <c r="AH372" s="3"/>
      <c r="AI372" s="3"/>
      <c r="AJ372" s="3"/>
      <c r="AK372" s="3"/>
      <c r="AL372" s="3"/>
      <c r="AM372" s="3"/>
      <c r="AN372" s="3"/>
      <c r="AO372" s="3"/>
      <c r="AP372" s="3"/>
      <c r="AQ372" s="3"/>
      <c r="AR372" s="3"/>
      <c r="AS372" s="3"/>
      <c r="AT372" s="3"/>
      <c r="AU372" s="3"/>
      <c r="AV372" s="3"/>
      <c r="AW372" s="3"/>
    </row>
    <row r="373" spans="12:49" x14ac:dyDescent="0.35">
      <c r="L373" s="3"/>
      <c r="M373" s="3"/>
      <c r="N373" s="3"/>
      <c r="O373" s="65"/>
      <c r="Q373" s="3"/>
      <c r="R373" s="3"/>
      <c r="S373" s="3"/>
      <c r="T373" s="3"/>
      <c r="V373" s="3"/>
      <c r="W373" s="3"/>
      <c r="X373" s="3"/>
      <c r="Y373" s="3"/>
      <c r="Z373" s="3"/>
      <c r="AA373" s="3"/>
      <c r="AB373" s="3"/>
      <c r="AC373" s="3"/>
      <c r="AD373" s="3"/>
      <c r="AE373" s="3"/>
      <c r="AF373" s="3"/>
      <c r="AG373" s="3"/>
      <c r="AH373" s="3"/>
      <c r="AI373" s="3"/>
      <c r="AJ373" s="3"/>
      <c r="AK373" s="3"/>
      <c r="AL373" s="3"/>
      <c r="AM373" s="3"/>
      <c r="AN373" s="3"/>
      <c r="AO373" s="3"/>
      <c r="AP373" s="3"/>
      <c r="AQ373" s="3"/>
      <c r="AR373" s="3"/>
      <c r="AS373" s="3"/>
      <c r="AT373" s="3"/>
      <c r="AU373" s="3"/>
      <c r="AV373" s="3"/>
      <c r="AW373" s="3"/>
    </row>
    <row r="374" spans="12:49" x14ac:dyDescent="0.35">
      <c r="L374" s="3"/>
      <c r="M374" s="3"/>
      <c r="N374" s="3"/>
      <c r="O374" s="65"/>
      <c r="Q374" s="3"/>
      <c r="R374" s="3"/>
      <c r="S374" s="3"/>
      <c r="T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row>
    <row r="375" spans="12:49" x14ac:dyDescent="0.35">
      <c r="L375" s="3"/>
      <c r="M375" s="3"/>
      <c r="N375" s="3"/>
      <c r="O375" s="65"/>
      <c r="Q375" s="3"/>
      <c r="R375" s="3"/>
      <c r="S375" s="3"/>
      <c r="T375" s="3"/>
      <c r="V375" s="3"/>
      <c r="W375" s="3"/>
      <c r="X375" s="3"/>
      <c r="Y375" s="3"/>
      <c r="Z375" s="3"/>
      <c r="AA375" s="3"/>
      <c r="AB375" s="3"/>
      <c r="AC375" s="3"/>
      <c r="AD375" s="3"/>
      <c r="AE375" s="3"/>
      <c r="AF375" s="3"/>
      <c r="AG375" s="3"/>
      <c r="AH375" s="3"/>
      <c r="AI375" s="3"/>
      <c r="AJ375" s="3"/>
      <c r="AK375" s="3"/>
      <c r="AL375" s="3"/>
      <c r="AM375" s="3"/>
      <c r="AN375" s="3"/>
      <c r="AO375" s="3"/>
      <c r="AP375" s="3"/>
      <c r="AQ375" s="3"/>
      <c r="AR375" s="3"/>
      <c r="AS375" s="3"/>
      <c r="AT375" s="3"/>
      <c r="AU375" s="3"/>
      <c r="AV375" s="3"/>
      <c r="AW375" s="3"/>
    </row>
    <row r="376" spans="12:49" x14ac:dyDescent="0.35">
      <c r="L376" s="3"/>
      <c r="M376" s="3"/>
      <c r="N376" s="3"/>
      <c r="O376" s="65"/>
      <c r="Q376" s="3"/>
      <c r="R376" s="3"/>
      <c r="S376" s="3"/>
      <c r="T376" s="3"/>
      <c r="V376" s="3"/>
      <c r="W376" s="3"/>
      <c r="X376" s="3"/>
      <c r="Y376" s="3"/>
      <c r="Z376" s="3"/>
      <c r="AA376" s="3"/>
      <c r="AB376" s="3"/>
      <c r="AC376" s="3"/>
      <c r="AD376" s="3"/>
      <c r="AE376" s="3"/>
      <c r="AF376" s="3"/>
      <c r="AG376" s="3"/>
      <c r="AH376" s="3"/>
      <c r="AI376" s="3"/>
      <c r="AJ376" s="3"/>
      <c r="AK376" s="3"/>
      <c r="AL376" s="3"/>
      <c r="AM376" s="3"/>
      <c r="AN376" s="3"/>
      <c r="AO376" s="3"/>
      <c r="AP376" s="3"/>
      <c r="AQ376" s="3"/>
      <c r="AR376" s="3"/>
      <c r="AS376" s="3"/>
      <c r="AT376" s="3"/>
      <c r="AU376" s="3"/>
      <c r="AV376" s="3"/>
      <c r="AW376" s="3"/>
    </row>
    <row r="377" spans="12:49" x14ac:dyDescent="0.35">
      <c r="L377" s="3"/>
      <c r="M377" s="3"/>
      <c r="N377" s="3"/>
      <c r="O377" s="65"/>
      <c r="Q377" s="3"/>
      <c r="R377" s="3"/>
      <c r="S377" s="3"/>
      <c r="T377" s="3"/>
      <c r="V377" s="3"/>
      <c r="W377" s="3"/>
      <c r="X377" s="3"/>
      <c r="Y377" s="3"/>
      <c r="Z377" s="3"/>
      <c r="AA377" s="3"/>
      <c r="AB377" s="3"/>
      <c r="AC377" s="3"/>
      <c r="AD377" s="3"/>
      <c r="AE377" s="3"/>
      <c r="AF377" s="3"/>
      <c r="AG377" s="3"/>
      <c r="AH377" s="3"/>
      <c r="AI377" s="3"/>
      <c r="AJ377" s="3"/>
      <c r="AK377" s="3"/>
      <c r="AL377" s="3"/>
      <c r="AM377" s="3"/>
      <c r="AN377" s="3"/>
      <c r="AO377" s="3"/>
      <c r="AP377" s="3"/>
      <c r="AQ377" s="3"/>
      <c r="AR377" s="3"/>
      <c r="AS377" s="3"/>
      <c r="AT377" s="3"/>
      <c r="AU377" s="3"/>
      <c r="AV377" s="3"/>
      <c r="AW377" s="3"/>
    </row>
    <row r="378" spans="12:49" x14ac:dyDescent="0.35">
      <c r="L378" s="3"/>
      <c r="M378" s="3"/>
      <c r="N378" s="3"/>
      <c r="O378" s="65"/>
      <c r="Q378" s="3"/>
      <c r="R378" s="3"/>
      <c r="S378" s="3"/>
      <c r="T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row>
    <row r="379" spans="12:49" x14ac:dyDescent="0.35">
      <c r="L379" s="3"/>
      <c r="M379" s="3"/>
      <c r="N379" s="3"/>
      <c r="O379" s="65"/>
      <c r="Q379" s="3"/>
      <c r="R379" s="3"/>
      <c r="S379" s="3"/>
      <c r="T379" s="3"/>
      <c r="V379" s="3"/>
      <c r="W379" s="3"/>
      <c r="X379" s="3"/>
      <c r="Y379" s="3"/>
      <c r="Z379" s="3"/>
      <c r="AA379" s="3"/>
      <c r="AB379" s="3"/>
      <c r="AC379" s="3"/>
      <c r="AD379" s="3"/>
      <c r="AE379" s="3"/>
      <c r="AF379" s="3"/>
      <c r="AG379" s="3"/>
      <c r="AH379" s="3"/>
      <c r="AI379" s="3"/>
      <c r="AJ379" s="3"/>
      <c r="AK379" s="3"/>
      <c r="AL379" s="3"/>
      <c r="AM379" s="3"/>
      <c r="AN379" s="3"/>
      <c r="AO379" s="3"/>
      <c r="AP379" s="3"/>
      <c r="AQ379" s="3"/>
      <c r="AR379" s="3"/>
      <c r="AS379" s="3"/>
      <c r="AT379" s="3"/>
      <c r="AU379" s="3"/>
      <c r="AV379" s="3"/>
      <c r="AW379" s="3"/>
    </row>
    <row r="380" spans="12:49" x14ac:dyDescent="0.35">
      <c r="L380" s="3"/>
      <c r="M380" s="3"/>
      <c r="N380" s="3"/>
      <c r="O380" s="65"/>
      <c r="Q380" s="3"/>
      <c r="R380" s="3"/>
      <c r="S380" s="3"/>
      <c r="T380" s="3"/>
      <c r="V380" s="3"/>
      <c r="W380" s="3"/>
      <c r="X380" s="3"/>
      <c r="Y380" s="3"/>
      <c r="Z380" s="3"/>
      <c r="AA380" s="3"/>
      <c r="AB380" s="3"/>
      <c r="AC380" s="3"/>
      <c r="AD380" s="3"/>
      <c r="AE380" s="3"/>
      <c r="AF380" s="3"/>
      <c r="AG380" s="3"/>
      <c r="AH380" s="3"/>
      <c r="AI380" s="3"/>
      <c r="AJ380" s="3"/>
      <c r="AK380" s="3"/>
      <c r="AL380" s="3"/>
      <c r="AM380" s="3"/>
      <c r="AN380" s="3"/>
      <c r="AO380" s="3"/>
      <c r="AP380" s="3"/>
      <c r="AQ380" s="3"/>
      <c r="AR380" s="3"/>
      <c r="AS380" s="3"/>
      <c r="AT380" s="3"/>
      <c r="AU380" s="3"/>
      <c r="AV380" s="3"/>
      <c r="AW380" s="3"/>
    </row>
    <row r="381" spans="12:49" x14ac:dyDescent="0.35">
      <c r="L381" s="3"/>
      <c r="M381" s="3"/>
      <c r="N381" s="3"/>
      <c r="O381" s="65"/>
      <c r="Q381" s="3"/>
      <c r="R381" s="3"/>
      <c r="S381" s="3"/>
      <c r="T381" s="3"/>
      <c r="V381" s="3"/>
      <c r="W381" s="3"/>
      <c r="X381" s="3"/>
      <c r="Y381" s="3"/>
      <c r="Z381" s="3"/>
      <c r="AA381" s="3"/>
      <c r="AB381" s="3"/>
      <c r="AC381" s="3"/>
      <c r="AD381" s="3"/>
      <c r="AE381" s="3"/>
      <c r="AF381" s="3"/>
      <c r="AG381" s="3"/>
      <c r="AH381" s="3"/>
      <c r="AI381" s="3"/>
      <c r="AJ381" s="3"/>
      <c r="AK381" s="3"/>
      <c r="AL381" s="3"/>
      <c r="AM381" s="3"/>
      <c r="AN381" s="3"/>
      <c r="AO381" s="3"/>
      <c r="AP381" s="3"/>
      <c r="AQ381" s="3"/>
      <c r="AR381" s="3"/>
      <c r="AS381" s="3"/>
      <c r="AT381" s="3"/>
      <c r="AU381" s="3"/>
      <c r="AV381" s="3"/>
      <c r="AW381" s="3"/>
    </row>
    <row r="382" spans="12:49" x14ac:dyDescent="0.35">
      <c r="L382" s="3"/>
      <c r="M382" s="3"/>
      <c r="N382" s="3"/>
      <c r="O382" s="65"/>
      <c r="Q382" s="3"/>
      <c r="R382" s="3"/>
      <c r="S382" s="3"/>
      <c r="T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row>
    <row r="383" spans="12:49" x14ac:dyDescent="0.35">
      <c r="L383" s="3"/>
      <c r="M383" s="3"/>
      <c r="N383" s="3"/>
      <c r="O383" s="65"/>
      <c r="Q383" s="3"/>
      <c r="R383" s="3"/>
      <c r="S383" s="3"/>
      <c r="T383" s="3"/>
      <c r="V383" s="3"/>
      <c r="W383" s="3"/>
      <c r="X383" s="3"/>
      <c r="Y383" s="3"/>
      <c r="Z383" s="3"/>
      <c r="AA383" s="3"/>
      <c r="AB383" s="3"/>
      <c r="AC383" s="3"/>
      <c r="AD383" s="3"/>
      <c r="AE383" s="3"/>
      <c r="AF383" s="3"/>
      <c r="AG383" s="3"/>
      <c r="AH383" s="3"/>
      <c r="AI383" s="3"/>
      <c r="AJ383" s="3"/>
      <c r="AK383" s="3"/>
      <c r="AL383" s="3"/>
      <c r="AM383" s="3"/>
      <c r="AN383" s="3"/>
      <c r="AO383" s="3"/>
      <c r="AP383" s="3"/>
      <c r="AQ383" s="3"/>
      <c r="AR383" s="3"/>
      <c r="AS383" s="3"/>
      <c r="AT383" s="3"/>
      <c r="AU383" s="3"/>
      <c r="AV383" s="3"/>
      <c r="AW383" s="3"/>
    </row>
    <row r="384" spans="12:49" x14ac:dyDescent="0.35">
      <c r="L384" s="3"/>
      <c r="M384" s="3"/>
      <c r="N384" s="3"/>
      <c r="O384" s="65"/>
      <c r="Q384" s="3"/>
      <c r="R384" s="3"/>
      <c r="S384" s="3"/>
      <c r="T384" s="3"/>
      <c r="V384" s="3"/>
      <c r="W384" s="3"/>
      <c r="X384" s="3"/>
      <c r="Y384" s="3"/>
      <c r="Z384" s="3"/>
      <c r="AA384" s="3"/>
      <c r="AB384" s="3"/>
      <c r="AC384" s="3"/>
      <c r="AD384" s="3"/>
      <c r="AE384" s="3"/>
      <c r="AF384" s="3"/>
      <c r="AG384" s="3"/>
      <c r="AH384" s="3"/>
      <c r="AI384" s="3"/>
      <c r="AJ384" s="3"/>
      <c r="AK384" s="3"/>
      <c r="AL384" s="3"/>
      <c r="AM384" s="3"/>
      <c r="AN384" s="3"/>
      <c r="AO384" s="3"/>
      <c r="AP384" s="3"/>
      <c r="AQ384" s="3"/>
      <c r="AR384" s="3"/>
      <c r="AS384" s="3"/>
      <c r="AT384" s="3"/>
      <c r="AU384" s="3"/>
      <c r="AV384" s="3"/>
      <c r="AW384" s="3"/>
    </row>
    <row r="385" spans="12:49" x14ac:dyDescent="0.35">
      <c r="L385" s="3"/>
      <c r="M385" s="3"/>
      <c r="N385" s="3"/>
      <c r="O385" s="65"/>
      <c r="Q385" s="3"/>
      <c r="R385" s="3"/>
      <c r="S385" s="3"/>
      <c r="T385" s="3"/>
      <c r="V385" s="3"/>
      <c r="W385" s="3"/>
      <c r="X385" s="3"/>
      <c r="Y385" s="3"/>
      <c r="Z385" s="3"/>
      <c r="AA385" s="3"/>
      <c r="AB385" s="3"/>
      <c r="AC385" s="3"/>
      <c r="AD385" s="3"/>
      <c r="AE385" s="3"/>
      <c r="AF385" s="3"/>
      <c r="AG385" s="3"/>
      <c r="AH385" s="3"/>
      <c r="AI385" s="3"/>
      <c r="AJ385" s="3"/>
      <c r="AK385" s="3"/>
      <c r="AL385" s="3"/>
      <c r="AM385" s="3"/>
      <c r="AN385" s="3"/>
      <c r="AO385" s="3"/>
      <c r="AP385" s="3"/>
      <c r="AQ385" s="3"/>
      <c r="AR385" s="3"/>
      <c r="AS385" s="3"/>
      <c r="AT385" s="3"/>
      <c r="AU385" s="3"/>
      <c r="AV385" s="3"/>
      <c r="AW385" s="3"/>
    </row>
    <row r="386" spans="12:49" x14ac:dyDescent="0.35">
      <c r="L386" s="3"/>
      <c r="M386" s="3"/>
      <c r="N386" s="3"/>
      <c r="O386" s="65"/>
      <c r="Q386" s="3"/>
      <c r="R386" s="3"/>
      <c r="S386" s="3"/>
      <c r="T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row>
    <row r="387" spans="12:49" x14ac:dyDescent="0.35">
      <c r="L387" s="3"/>
      <c r="M387" s="3"/>
      <c r="N387" s="3"/>
      <c r="O387" s="65"/>
      <c r="Q387" s="3"/>
      <c r="R387" s="3"/>
      <c r="S387" s="3"/>
      <c r="T387" s="3"/>
      <c r="V387" s="3"/>
      <c r="W387" s="3"/>
      <c r="X387" s="3"/>
      <c r="Y387" s="3"/>
      <c r="Z387" s="3"/>
      <c r="AA387" s="3"/>
      <c r="AB387" s="3"/>
      <c r="AC387" s="3"/>
      <c r="AD387" s="3"/>
      <c r="AE387" s="3"/>
      <c r="AF387" s="3"/>
      <c r="AG387" s="3"/>
      <c r="AH387" s="3"/>
      <c r="AI387" s="3"/>
      <c r="AJ387" s="3"/>
      <c r="AK387" s="3"/>
      <c r="AL387" s="3"/>
      <c r="AM387" s="3"/>
      <c r="AN387" s="3"/>
      <c r="AO387" s="3"/>
      <c r="AP387" s="3"/>
      <c r="AQ387" s="3"/>
      <c r="AR387" s="3"/>
      <c r="AS387" s="3"/>
      <c r="AT387" s="3"/>
      <c r="AU387" s="3"/>
      <c r="AV387" s="3"/>
      <c r="AW387" s="3"/>
    </row>
    <row r="388" spans="12:49" x14ac:dyDescent="0.35">
      <c r="L388" s="3"/>
      <c r="M388" s="3"/>
      <c r="N388" s="3"/>
      <c r="O388" s="65"/>
      <c r="Q388" s="3"/>
      <c r="R388" s="3"/>
      <c r="S388" s="3"/>
      <c r="T388" s="3"/>
      <c r="V388" s="3"/>
      <c r="W388" s="3"/>
      <c r="X388" s="3"/>
      <c r="Y388" s="3"/>
      <c r="Z388" s="3"/>
      <c r="AA388" s="3"/>
      <c r="AB388" s="3"/>
      <c r="AC388" s="3"/>
      <c r="AD388" s="3"/>
      <c r="AE388" s="3"/>
      <c r="AF388" s="3"/>
      <c r="AG388" s="3"/>
      <c r="AH388" s="3"/>
      <c r="AI388" s="3"/>
      <c r="AJ388" s="3"/>
      <c r="AK388" s="3"/>
      <c r="AL388" s="3"/>
      <c r="AM388" s="3"/>
      <c r="AN388" s="3"/>
      <c r="AO388" s="3"/>
      <c r="AP388" s="3"/>
      <c r="AQ388" s="3"/>
      <c r="AR388" s="3"/>
      <c r="AS388" s="3"/>
      <c r="AT388" s="3"/>
      <c r="AU388" s="3"/>
      <c r="AV388" s="3"/>
      <c r="AW388" s="3"/>
    </row>
    <row r="389" spans="12:49" x14ac:dyDescent="0.35">
      <c r="L389" s="3"/>
      <c r="M389" s="3"/>
      <c r="N389" s="3"/>
      <c r="O389" s="65"/>
      <c r="Q389" s="3"/>
      <c r="R389" s="3"/>
      <c r="S389" s="3"/>
      <c r="T389" s="3"/>
      <c r="V389" s="3"/>
      <c r="W389" s="3"/>
      <c r="X389" s="3"/>
      <c r="Y389" s="3"/>
      <c r="Z389" s="3"/>
      <c r="AA389" s="3"/>
      <c r="AB389" s="3"/>
      <c r="AC389" s="3"/>
      <c r="AD389" s="3"/>
      <c r="AE389" s="3"/>
      <c r="AF389" s="3"/>
      <c r="AG389" s="3"/>
      <c r="AH389" s="3"/>
      <c r="AI389" s="3"/>
      <c r="AJ389" s="3"/>
      <c r="AK389" s="3"/>
      <c r="AL389" s="3"/>
      <c r="AM389" s="3"/>
      <c r="AN389" s="3"/>
      <c r="AO389" s="3"/>
      <c r="AP389" s="3"/>
      <c r="AQ389" s="3"/>
      <c r="AR389" s="3"/>
      <c r="AS389" s="3"/>
      <c r="AT389" s="3"/>
      <c r="AU389" s="3"/>
      <c r="AV389" s="3"/>
      <c r="AW389" s="3"/>
    </row>
    <row r="390" spans="12:49" x14ac:dyDescent="0.35">
      <c r="L390" s="3"/>
      <c r="M390" s="3"/>
      <c r="N390" s="3"/>
      <c r="O390" s="65"/>
      <c r="Q390" s="3"/>
      <c r="R390" s="3"/>
      <c r="S390" s="3"/>
      <c r="T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row>
    <row r="391" spans="12:49" x14ac:dyDescent="0.35">
      <c r="L391" s="3"/>
      <c r="M391" s="3"/>
      <c r="N391" s="3"/>
      <c r="O391" s="65"/>
      <c r="Q391" s="3"/>
      <c r="R391" s="3"/>
      <c r="S391" s="3"/>
      <c r="T391" s="3"/>
      <c r="V391" s="3"/>
      <c r="W391" s="3"/>
      <c r="X391" s="3"/>
      <c r="Y391" s="3"/>
      <c r="Z391" s="3"/>
      <c r="AA391" s="3"/>
      <c r="AB391" s="3"/>
      <c r="AC391" s="3"/>
      <c r="AD391" s="3"/>
      <c r="AE391" s="3"/>
      <c r="AF391" s="3"/>
      <c r="AG391" s="3"/>
      <c r="AH391" s="3"/>
      <c r="AI391" s="3"/>
      <c r="AJ391" s="3"/>
      <c r="AK391" s="3"/>
      <c r="AL391" s="3"/>
      <c r="AM391" s="3"/>
      <c r="AN391" s="3"/>
      <c r="AO391" s="3"/>
      <c r="AP391" s="3"/>
      <c r="AQ391" s="3"/>
      <c r="AR391" s="3"/>
      <c r="AS391" s="3"/>
      <c r="AT391" s="3"/>
      <c r="AU391" s="3"/>
      <c r="AV391" s="3"/>
      <c r="AW391" s="3"/>
    </row>
    <row r="392" spans="12:49" x14ac:dyDescent="0.35">
      <c r="L392" s="3"/>
      <c r="M392" s="3"/>
      <c r="N392" s="3"/>
      <c r="O392" s="65"/>
      <c r="Q392" s="3"/>
      <c r="R392" s="3"/>
      <c r="S392" s="3"/>
      <c r="T392" s="3"/>
      <c r="V392" s="3"/>
      <c r="W392" s="3"/>
      <c r="X392" s="3"/>
      <c r="Y392" s="3"/>
      <c r="Z392" s="3"/>
      <c r="AA392" s="3"/>
      <c r="AB392" s="3"/>
      <c r="AC392" s="3"/>
      <c r="AD392" s="3"/>
      <c r="AE392" s="3"/>
      <c r="AF392" s="3"/>
      <c r="AG392" s="3"/>
      <c r="AH392" s="3"/>
      <c r="AI392" s="3"/>
      <c r="AJ392" s="3"/>
      <c r="AK392" s="3"/>
      <c r="AL392" s="3"/>
      <c r="AM392" s="3"/>
      <c r="AN392" s="3"/>
      <c r="AO392" s="3"/>
      <c r="AP392" s="3"/>
      <c r="AQ392" s="3"/>
      <c r="AR392" s="3"/>
      <c r="AS392" s="3"/>
      <c r="AT392" s="3"/>
      <c r="AU392" s="3"/>
      <c r="AV392" s="3"/>
      <c r="AW392" s="3"/>
    </row>
    <row r="393" spans="12:49" x14ac:dyDescent="0.35">
      <c r="L393" s="3"/>
      <c r="M393" s="3"/>
      <c r="N393" s="3"/>
      <c r="O393" s="65"/>
      <c r="Q393" s="3"/>
      <c r="R393" s="3"/>
      <c r="S393" s="3"/>
      <c r="T393" s="3"/>
      <c r="V393" s="3"/>
      <c r="W393" s="3"/>
      <c r="X393" s="3"/>
      <c r="Y393" s="3"/>
      <c r="Z393" s="3"/>
      <c r="AA393" s="3"/>
      <c r="AB393" s="3"/>
      <c r="AC393" s="3"/>
      <c r="AD393" s="3"/>
      <c r="AE393" s="3"/>
      <c r="AF393" s="3"/>
      <c r="AG393" s="3"/>
      <c r="AH393" s="3"/>
      <c r="AI393" s="3"/>
      <c r="AJ393" s="3"/>
      <c r="AK393" s="3"/>
      <c r="AL393" s="3"/>
      <c r="AM393" s="3"/>
      <c r="AN393" s="3"/>
      <c r="AO393" s="3"/>
      <c r="AP393" s="3"/>
      <c r="AQ393" s="3"/>
      <c r="AR393" s="3"/>
      <c r="AS393" s="3"/>
      <c r="AT393" s="3"/>
      <c r="AU393" s="3"/>
      <c r="AV393" s="3"/>
      <c r="AW393" s="3"/>
    </row>
    <row r="394" spans="12:49" x14ac:dyDescent="0.35">
      <c r="L394" s="3"/>
      <c r="M394" s="3"/>
      <c r="N394" s="3"/>
      <c r="O394" s="65"/>
      <c r="Q394" s="3"/>
      <c r="R394" s="3"/>
      <c r="S394" s="3"/>
      <c r="T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row>
    <row r="395" spans="12:49" x14ac:dyDescent="0.35">
      <c r="L395" s="3"/>
      <c r="M395" s="3"/>
      <c r="N395" s="3"/>
      <c r="O395" s="65"/>
      <c r="Q395" s="3"/>
      <c r="R395" s="3"/>
      <c r="S395" s="3"/>
      <c r="T395" s="3"/>
      <c r="V395" s="3"/>
      <c r="W395" s="3"/>
      <c r="X395" s="3"/>
      <c r="Y395" s="3"/>
      <c r="Z395" s="3"/>
      <c r="AA395" s="3"/>
      <c r="AB395" s="3"/>
      <c r="AC395" s="3"/>
      <c r="AD395" s="3"/>
      <c r="AE395" s="3"/>
      <c r="AF395" s="3"/>
      <c r="AG395" s="3"/>
      <c r="AH395" s="3"/>
      <c r="AI395" s="3"/>
      <c r="AJ395" s="3"/>
      <c r="AK395" s="3"/>
      <c r="AL395" s="3"/>
      <c r="AM395" s="3"/>
      <c r="AN395" s="3"/>
      <c r="AO395" s="3"/>
      <c r="AP395" s="3"/>
      <c r="AQ395" s="3"/>
      <c r="AR395" s="3"/>
      <c r="AS395" s="3"/>
      <c r="AT395" s="3"/>
      <c r="AU395" s="3"/>
      <c r="AV395" s="3"/>
      <c r="AW395" s="3"/>
    </row>
    <row r="396" spans="12:49" x14ac:dyDescent="0.35">
      <c r="L396" s="3"/>
      <c r="M396" s="3"/>
      <c r="N396" s="3"/>
      <c r="O396" s="65"/>
      <c r="Q396" s="3"/>
      <c r="R396" s="3"/>
      <c r="S396" s="3"/>
      <c r="T396" s="3"/>
      <c r="V396" s="3"/>
      <c r="W396" s="3"/>
      <c r="X396" s="3"/>
      <c r="Y396" s="3"/>
      <c r="Z396" s="3"/>
      <c r="AA396" s="3"/>
      <c r="AB396" s="3"/>
      <c r="AC396" s="3"/>
      <c r="AD396" s="3"/>
      <c r="AE396" s="3"/>
      <c r="AF396" s="3"/>
      <c r="AG396" s="3"/>
      <c r="AH396" s="3"/>
      <c r="AI396" s="3"/>
      <c r="AJ396" s="3"/>
      <c r="AK396" s="3"/>
      <c r="AL396" s="3"/>
      <c r="AM396" s="3"/>
      <c r="AN396" s="3"/>
      <c r="AO396" s="3"/>
      <c r="AP396" s="3"/>
      <c r="AQ396" s="3"/>
      <c r="AR396" s="3"/>
      <c r="AS396" s="3"/>
      <c r="AT396" s="3"/>
      <c r="AU396" s="3"/>
      <c r="AV396" s="3"/>
      <c r="AW396" s="3"/>
    </row>
    <row r="397" spans="12:49" x14ac:dyDescent="0.35">
      <c r="L397" s="3"/>
      <c r="M397" s="3"/>
      <c r="N397" s="3"/>
      <c r="O397" s="65"/>
      <c r="Q397" s="3"/>
      <c r="R397" s="3"/>
      <c r="S397" s="3"/>
      <c r="T397" s="3"/>
      <c r="V397" s="3"/>
      <c r="W397" s="3"/>
      <c r="X397" s="3"/>
      <c r="Y397" s="3"/>
      <c r="Z397" s="3"/>
      <c r="AA397" s="3"/>
      <c r="AB397" s="3"/>
      <c r="AC397" s="3"/>
      <c r="AD397" s="3"/>
      <c r="AE397" s="3"/>
      <c r="AF397" s="3"/>
      <c r="AG397" s="3"/>
      <c r="AH397" s="3"/>
      <c r="AI397" s="3"/>
      <c r="AJ397" s="3"/>
      <c r="AK397" s="3"/>
      <c r="AL397" s="3"/>
      <c r="AM397" s="3"/>
      <c r="AN397" s="3"/>
      <c r="AO397" s="3"/>
      <c r="AP397" s="3"/>
      <c r="AQ397" s="3"/>
      <c r="AR397" s="3"/>
      <c r="AS397" s="3"/>
      <c r="AT397" s="3"/>
      <c r="AU397" s="3"/>
      <c r="AV397" s="3"/>
      <c r="AW397" s="3"/>
    </row>
    <row r="398" spans="12:49" x14ac:dyDescent="0.35">
      <c r="L398" s="3"/>
      <c r="M398" s="3"/>
      <c r="N398" s="3"/>
      <c r="O398" s="65"/>
      <c r="Q398" s="3"/>
      <c r="R398" s="3"/>
      <c r="S398" s="3"/>
      <c r="T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row>
    <row r="399" spans="12:49" x14ac:dyDescent="0.35">
      <c r="L399" s="3"/>
      <c r="M399" s="3"/>
      <c r="N399" s="3"/>
      <c r="O399" s="65"/>
      <c r="Q399" s="3"/>
      <c r="R399" s="3"/>
      <c r="S399" s="3"/>
      <c r="T399" s="3"/>
      <c r="V399" s="3"/>
      <c r="W399" s="3"/>
      <c r="X399" s="3"/>
      <c r="Y399" s="3"/>
      <c r="Z399" s="3"/>
      <c r="AA399" s="3"/>
      <c r="AB399" s="3"/>
      <c r="AC399" s="3"/>
      <c r="AD399" s="3"/>
      <c r="AE399" s="3"/>
      <c r="AF399" s="3"/>
      <c r="AG399" s="3"/>
      <c r="AH399" s="3"/>
      <c r="AI399" s="3"/>
      <c r="AJ399" s="3"/>
      <c r="AK399" s="3"/>
      <c r="AL399" s="3"/>
      <c r="AM399" s="3"/>
      <c r="AN399" s="3"/>
      <c r="AO399" s="3"/>
      <c r="AP399" s="3"/>
      <c r="AQ399" s="3"/>
      <c r="AR399" s="3"/>
      <c r="AS399" s="3"/>
      <c r="AT399" s="3"/>
      <c r="AU399" s="3"/>
      <c r="AV399" s="3"/>
      <c r="AW399" s="3"/>
    </row>
    <row r="400" spans="12:49" x14ac:dyDescent="0.35">
      <c r="L400" s="3"/>
      <c r="M400" s="3"/>
      <c r="N400" s="3"/>
      <c r="O400" s="65"/>
      <c r="Q400" s="3"/>
      <c r="R400" s="3"/>
      <c r="S400" s="3"/>
      <c r="T400" s="3"/>
      <c r="V400" s="3"/>
      <c r="W400" s="3"/>
      <c r="X400" s="3"/>
      <c r="Y400" s="3"/>
      <c r="Z400" s="3"/>
      <c r="AA400" s="3"/>
      <c r="AB400" s="3"/>
      <c r="AC400" s="3"/>
      <c r="AD400" s="3"/>
      <c r="AE400" s="3"/>
      <c r="AF400" s="3"/>
      <c r="AG400" s="3"/>
      <c r="AH400" s="3"/>
      <c r="AI400" s="3"/>
      <c r="AJ400" s="3"/>
      <c r="AK400" s="3"/>
      <c r="AL400" s="3"/>
      <c r="AM400" s="3"/>
      <c r="AN400" s="3"/>
      <c r="AO400" s="3"/>
      <c r="AP400" s="3"/>
      <c r="AQ400" s="3"/>
      <c r="AR400" s="3"/>
      <c r="AS400" s="3"/>
      <c r="AT400" s="3"/>
      <c r="AU400" s="3"/>
      <c r="AV400" s="3"/>
      <c r="AW400" s="3"/>
    </row>
    <row r="401" spans="12:49" x14ac:dyDescent="0.35">
      <c r="L401" s="3"/>
      <c r="M401" s="3"/>
      <c r="N401" s="3"/>
      <c r="O401" s="65"/>
      <c r="Q401" s="3"/>
      <c r="R401" s="3"/>
      <c r="S401" s="3"/>
      <c r="T401" s="3"/>
      <c r="V401" s="3"/>
      <c r="W401" s="3"/>
      <c r="X401" s="3"/>
      <c r="Y401" s="3"/>
      <c r="Z401" s="3"/>
      <c r="AA401" s="3"/>
      <c r="AB401" s="3"/>
      <c r="AC401" s="3"/>
      <c r="AD401" s="3"/>
      <c r="AE401" s="3"/>
      <c r="AF401" s="3"/>
      <c r="AG401" s="3"/>
      <c r="AH401" s="3"/>
      <c r="AI401" s="3"/>
      <c r="AJ401" s="3"/>
      <c r="AK401" s="3"/>
      <c r="AL401" s="3"/>
      <c r="AM401" s="3"/>
      <c r="AN401" s="3"/>
      <c r="AO401" s="3"/>
      <c r="AP401" s="3"/>
      <c r="AQ401" s="3"/>
      <c r="AR401" s="3"/>
      <c r="AS401" s="3"/>
      <c r="AT401" s="3"/>
      <c r="AU401" s="3"/>
      <c r="AV401" s="3"/>
      <c r="AW401" s="3"/>
    </row>
    <row r="402" spans="12:49" x14ac:dyDescent="0.35">
      <c r="L402" s="3"/>
      <c r="M402" s="3"/>
      <c r="N402" s="3"/>
      <c r="O402" s="65"/>
      <c r="Q402" s="3"/>
      <c r="R402" s="3"/>
      <c r="S402" s="3"/>
      <c r="T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row>
    <row r="403" spans="12:49" x14ac:dyDescent="0.35">
      <c r="L403" s="3"/>
      <c r="M403" s="3"/>
      <c r="N403" s="3"/>
      <c r="O403" s="65"/>
      <c r="Q403" s="3"/>
      <c r="R403" s="3"/>
      <c r="S403" s="3"/>
      <c r="T403" s="3"/>
      <c r="V403" s="3"/>
      <c r="W403" s="3"/>
      <c r="X403" s="3"/>
      <c r="Y403" s="3"/>
      <c r="Z403" s="3"/>
      <c r="AA403" s="3"/>
      <c r="AB403" s="3"/>
      <c r="AC403" s="3"/>
      <c r="AD403" s="3"/>
      <c r="AE403" s="3"/>
      <c r="AF403" s="3"/>
      <c r="AG403" s="3"/>
      <c r="AH403" s="3"/>
      <c r="AI403" s="3"/>
      <c r="AJ403" s="3"/>
      <c r="AK403" s="3"/>
      <c r="AL403" s="3"/>
      <c r="AM403" s="3"/>
      <c r="AN403" s="3"/>
      <c r="AO403" s="3"/>
      <c r="AP403" s="3"/>
      <c r="AQ403" s="3"/>
      <c r="AR403" s="3"/>
      <c r="AS403" s="3"/>
      <c r="AT403" s="3"/>
      <c r="AU403" s="3"/>
      <c r="AV403" s="3"/>
      <c r="AW403" s="3"/>
    </row>
    <row r="404" spans="12:49" x14ac:dyDescent="0.35">
      <c r="L404" s="3"/>
      <c r="M404" s="3"/>
      <c r="N404" s="3"/>
      <c r="O404" s="65"/>
      <c r="Q404" s="3"/>
      <c r="R404" s="3"/>
      <c r="S404" s="3"/>
      <c r="T404" s="3"/>
      <c r="V404" s="3"/>
      <c r="W404" s="3"/>
      <c r="X404" s="3"/>
      <c r="Y404" s="3"/>
      <c r="Z404" s="3"/>
      <c r="AA404" s="3"/>
      <c r="AB404" s="3"/>
      <c r="AC404" s="3"/>
      <c r="AD404" s="3"/>
      <c r="AE404" s="3"/>
      <c r="AF404" s="3"/>
      <c r="AG404" s="3"/>
      <c r="AH404" s="3"/>
      <c r="AI404" s="3"/>
      <c r="AJ404" s="3"/>
      <c r="AK404" s="3"/>
      <c r="AL404" s="3"/>
      <c r="AM404" s="3"/>
      <c r="AN404" s="3"/>
      <c r="AO404" s="3"/>
      <c r="AP404" s="3"/>
      <c r="AQ404" s="3"/>
      <c r="AR404" s="3"/>
      <c r="AS404" s="3"/>
      <c r="AT404" s="3"/>
      <c r="AU404" s="3"/>
      <c r="AV404" s="3"/>
      <c r="AW404" s="3"/>
    </row>
    <row r="405" spans="12:49" x14ac:dyDescent="0.35">
      <c r="L405" s="3"/>
      <c r="M405" s="3"/>
      <c r="N405" s="3"/>
      <c r="O405" s="65"/>
      <c r="Q405" s="3"/>
      <c r="R405" s="3"/>
      <c r="S405" s="3"/>
      <c r="T405" s="3"/>
      <c r="V405" s="3"/>
      <c r="W405" s="3"/>
      <c r="X405" s="3"/>
      <c r="Y405" s="3"/>
      <c r="Z405" s="3"/>
      <c r="AA405" s="3"/>
      <c r="AB405" s="3"/>
      <c r="AC405" s="3"/>
      <c r="AD405" s="3"/>
      <c r="AE405" s="3"/>
      <c r="AF405" s="3"/>
      <c r="AG405" s="3"/>
      <c r="AH405" s="3"/>
      <c r="AI405" s="3"/>
      <c r="AJ405" s="3"/>
      <c r="AK405" s="3"/>
      <c r="AL405" s="3"/>
      <c r="AM405" s="3"/>
      <c r="AN405" s="3"/>
      <c r="AO405" s="3"/>
      <c r="AP405" s="3"/>
      <c r="AQ405" s="3"/>
      <c r="AR405" s="3"/>
      <c r="AS405" s="3"/>
      <c r="AT405" s="3"/>
      <c r="AU405" s="3"/>
      <c r="AV405" s="3"/>
      <c r="AW405" s="3"/>
    </row>
    <row r="406" spans="12:49" x14ac:dyDescent="0.35">
      <c r="L406" s="3"/>
      <c r="M406" s="3"/>
      <c r="N406" s="3"/>
      <c r="O406" s="65"/>
      <c r="Q406" s="3"/>
      <c r="R406" s="3"/>
      <c r="S406" s="3"/>
      <c r="T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row>
    <row r="407" spans="12:49" x14ac:dyDescent="0.35">
      <c r="L407" s="3"/>
      <c r="M407" s="3"/>
      <c r="N407" s="3"/>
      <c r="O407" s="65"/>
      <c r="Q407" s="3"/>
      <c r="R407" s="3"/>
      <c r="S407" s="3"/>
      <c r="T407" s="3"/>
      <c r="V407" s="3"/>
      <c r="W407" s="3"/>
      <c r="X407" s="3"/>
      <c r="Y407" s="3"/>
      <c r="Z407" s="3"/>
      <c r="AA407" s="3"/>
      <c r="AB407" s="3"/>
      <c r="AC407" s="3"/>
      <c r="AD407" s="3"/>
      <c r="AE407" s="3"/>
      <c r="AF407" s="3"/>
      <c r="AG407" s="3"/>
      <c r="AH407" s="3"/>
      <c r="AI407" s="3"/>
      <c r="AJ407" s="3"/>
      <c r="AK407" s="3"/>
      <c r="AL407" s="3"/>
      <c r="AM407" s="3"/>
      <c r="AN407" s="3"/>
      <c r="AO407" s="3"/>
      <c r="AP407" s="3"/>
      <c r="AQ407" s="3"/>
      <c r="AR407" s="3"/>
      <c r="AS407" s="3"/>
      <c r="AT407" s="3"/>
      <c r="AU407" s="3"/>
      <c r="AV407" s="3"/>
      <c r="AW407" s="3"/>
    </row>
    <row r="408" spans="12:49" x14ac:dyDescent="0.35">
      <c r="L408" s="3"/>
      <c r="M408" s="3"/>
      <c r="N408" s="3"/>
      <c r="O408" s="65"/>
      <c r="Q408" s="3"/>
      <c r="R408" s="3"/>
      <c r="S408" s="3"/>
      <c r="T408" s="3"/>
      <c r="V408" s="3"/>
      <c r="W408" s="3"/>
      <c r="X408" s="3"/>
      <c r="Y408" s="3"/>
      <c r="Z408" s="3"/>
      <c r="AA408" s="3"/>
      <c r="AB408" s="3"/>
      <c r="AC408" s="3"/>
      <c r="AD408" s="3"/>
      <c r="AE408" s="3"/>
      <c r="AF408" s="3"/>
      <c r="AG408" s="3"/>
      <c r="AH408" s="3"/>
      <c r="AI408" s="3"/>
      <c r="AJ408" s="3"/>
      <c r="AK408" s="3"/>
      <c r="AL408" s="3"/>
      <c r="AM408" s="3"/>
      <c r="AN408" s="3"/>
      <c r="AO408" s="3"/>
      <c r="AP408" s="3"/>
      <c r="AQ408" s="3"/>
      <c r="AR408" s="3"/>
      <c r="AS408" s="3"/>
      <c r="AT408" s="3"/>
      <c r="AU408" s="3"/>
      <c r="AV408" s="3"/>
      <c r="AW408" s="3"/>
    </row>
    <row r="409" spans="12:49" x14ac:dyDescent="0.35">
      <c r="L409" s="3"/>
      <c r="M409" s="3"/>
      <c r="N409" s="3"/>
      <c r="O409" s="65"/>
      <c r="Q409" s="3"/>
      <c r="R409" s="3"/>
      <c r="S409" s="3"/>
      <c r="T409" s="3"/>
      <c r="V409" s="3"/>
      <c r="W409" s="3"/>
      <c r="X409" s="3"/>
      <c r="Y409" s="3"/>
      <c r="Z409" s="3"/>
      <c r="AA409" s="3"/>
      <c r="AB409" s="3"/>
      <c r="AC409" s="3"/>
      <c r="AD409" s="3"/>
      <c r="AE409" s="3"/>
      <c r="AF409" s="3"/>
      <c r="AG409" s="3"/>
      <c r="AH409" s="3"/>
      <c r="AI409" s="3"/>
      <c r="AJ409" s="3"/>
      <c r="AK409" s="3"/>
      <c r="AL409" s="3"/>
      <c r="AM409" s="3"/>
      <c r="AN409" s="3"/>
      <c r="AO409" s="3"/>
      <c r="AP409" s="3"/>
      <c r="AQ409" s="3"/>
      <c r="AR409" s="3"/>
      <c r="AS409" s="3"/>
      <c r="AT409" s="3"/>
      <c r="AU409" s="3"/>
      <c r="AV409" s="3"/>
      <c r="AW409" s="3"/>
    </row>
    <row r="410" spans="12:49" x14ac:dyDescent="0.35">
      <c r="L410" s="3"/>
      <c r="M410" s="3"/>
      <c r="N410" s="3"/>
      <c r="O410" s="65"/>
      <c r="Q410" s="3"/>
      <c r="R410" s="3"/>
      <c r="S410" s="3"/>
      <c r="T410" s="3"/>
      <c r="V410" s="3"/>
      <c r="W410" s="3"/>
      <c r="X410" s="3"/>
      <c r="Y410" s="3"/>
      <c r="Z410" s="3"/>
      <c r="AA410" s="3"/>
      <c r="AB410" s="3"/>
      <c r="AC410" s="3"/>
      <c r="AD410" s="3"/>
      <c r="AE410" s="3"/>
      <c r="AF410" s="3"/>
      <c r="AG410" s="3"/>
      <c r="AH410" s="3"/>
      <c r="AI410" s="3"/>
      <c r="AJ410" s="3"/>
      <c r="AK410" s="3"/>
      <c r="AL410" s="3"/>
      <c r="AM410" s="3"/>
      <c r="AN410" s="3"/>
      <c r="AO410" s="3"/>
      <c r="AP410" s="3"/>
      <c r="AQ410" s="3"/>
      <c r="AR410" s="3"/>
      <c r="AS410" s="3"/>
      <c r="AT410" s="3"/>
      <c r="AU410" s="3"/>
      <c r="AV410" s="3"/>
      <c r="AW410" s="3"/>
    </row>
    <row r="411" spans="12:49" x14ac:dyDescent="0.35">
      <c r="L411" s="3"/>
      <c r="M411" s="3"/>
      <c r="N411" s="3"/>
      <c r="O411" s="65"/>
      <c r="Q411" s="3"/>
      <c r="R411" s="3"/>
      <c r="S411" s="3"/>
      <c r="T411" s="3"/>
      <c r="V411" s="3"/>
      <c r="W411" s="3"/>
      <c r="X411" s="3"/>
      <c r="Y411" s="3"/>
      <c r="Z411" s="3"/>
      <c r="AA411" s="3"/>
      <c r="AB411" s="3"/>
      <c r="AC411" s="3"/>
      <c r="AD411" s="3"/>
      <c r="AE411" s="3"/>
      <c r="AF411" s="3"/>
      <c r="AG411" s="3"/>
      <c r="AH411" s="3"/>
      <c r="AI411" s="3"/>
      <c r="AJ411" s="3"/>
      <c r="AK411" s="3"/>
      <c r="AL411" s="3"/>
      <c r="AM411" s="3"/>
      <c r="AN411" s="3"/>
      <c r="AO411" s="3"/>
      <c r="AP411" s="3"/>
      <c r="AQ411" s="3"/>
      <c r="AR411" s="3"/>
      <c r="AS411" s="3"/>
      <c r="AT411" s="3"/>
      <c r="AU411" s="3"/>
      <c r="AV411" s="3"/>
      <c r="AW411" s="3"/>
    </row>
    <row r="412" spans="12:49" x14ac:dyDescent="0.35">
      <c r="L412" s="3"/>
      <c r="M412" s="3"/>
      <c r="N412" s="3"/>
      <c r="O412" s="65"/>
      <c r="Q412" s="3"/>
      <c r="R412" s="3"/>
      <c r="S412" s="3"/>
      <c r="T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row>
    <row r="413" spans="12:49" x14ac:dyDescent="0.35">
      <c r="L413" s="3"/>
      <c r="M413" s="3"/>
      <c r="N413" s="3"/>
      <c r="O413" s="65"/>
      <c r="Q413" s="3"/>
      <c r="R413" s="3"/>
      <c r="S413" s="3"/>
      <c r="T413" s="3"/>
      <c r="V413" s="3"/>
      <c r="W413" s="3"/>
      <c r="X413" s="3"/>
      <c r="Y413" s="3"/>
      <c r="Z413" s="3"/>
      <c r="AA413" s="3"/>
      <c r="AB413" s="3"/>
      <c r="AC413" s="3"/>
      <c r="AD413" s="3"/>
      <c r="AE413" s="3"/>
      <c r="AF413" s="3"/>
      <c r="AG413" s="3"/>
      <c r="AH413" s="3"/>
      <c r="AI413" s="3"/>
      <c r="AJ413" s="3"/>
      <c r="AK413" s="3"/>
      <c r="AL413" s="3"/>
      <c r="AM413" s="3"/>
      <c r="AN413" s="3"/>
      <c r="AO413" s="3"/>
      <c r="AP413" s="3"/>
      <c r="AQ413" s="3"/>
      <c r="AR413" s="3"/>
      <c r="AS413" s="3"/>
      <c r="AT413" s="3"/>
      <c r="AU413" s="3"/>
      <c r="AV413" s="3"/>
      <c r="AW413" s="3"/>
    </row>
    <row r="414" spans="12:49" x14ac:dyDescent="0.35">
      <c r="L414" s="3"/>
      <c r="M414" s="3"/>
      <c r="N414" s="3"/>
      <c r="O414" s="65"/>
      <c r="Q414" s="3"/>
      <c r="R414" s="3"/>
      <c r="S414" s="3"/>
      <c r="T414" s="3"/>
      <c r="V414" s="3"/>
      <c r="W414" s="3"/>
      <c r="X414" s="3"/>
      <c r="Y414" s="3"/>
      <c r="Z414" s="3"/>
      <c r="AA414" s="3"/>
      <c r="AB414" s="3"/>
      <c r="AC414" s="3"/>
      <c r="AD414" s="3"/>
      <c r="AE414" s="3"/>
      <c r="AF414" s="3"/>
      <c r="AG414" s="3"/>
      <c r="AH414" s="3"/>
      <c r="AI414" s="3"/>
      <c r="AJ414" s="3"/>
      <c r="AK414" s="3"/>
      <c r="AL414" s="3"/>
      <c r="AM414" s="3"/>
      <c r="AN414" s="3"/>
      <c r="AO414" s="3"/>
      <c r="AP414" s="3"/>
      <c r="AQ414" s="3"/>
      <c r="AR414" s="3"/>
      <c r="AS414" s="3"/>
      <c r="AT414" s="3"/>
      <c r="AU414" s="3"/>
      <c r="AV414" s="3"/>
      <c r="AW414" s="3"/>
    </row>
    <row r="415" spans="12:49" x14ac:dyDescent="0.35">
      <c r="L415" s="3"/>
      <c r="M415" s="3"/>
      <c r="N415" s="3"/>
      <c r="O415" s="65"/>
      <c r="Q415" s="3"/>
      <c r="R415" s="3"/>
      <c r="S415" s="3"/>
      <c r="T415" s="3"/>
      <c r="V415" s="3"/>
      <c r="W415" s="3"/>
      <c r="X415" s="3"/>
      <c r="Y415" s="3"/>
      <c r="Z415" s="3"/>
      <c r="AA415" s="3"/>
      <c r="AB415" s="3"/>
      <c r="AC415" s="3"/>
      <c r="AD415" s="3"/>
      <c r="AE415" s="3"/>
      <c r="AF415" s="3"/>
      <c r="AG415" s="3"/>
      <c r="AH415" s="3"/>
      <c r="AI415" s="3"/>
      <c r="AJ415" s="3"/>
      <c r="AK415" s="3"/>
      <c r="AL415" s="3"/>
      <c r="AM415" s="3"/>
      <c r="AN415" s="3"/>
      <c r="AO415" s="3"/>
      <c r="AP415" s="3"/>
      <c r="AQ415" s="3"/>
      <c r="AR415" s="3"/>
      <c r="AS415" s="3"/>
      <c r="AT415" s="3"/>
      <c r="AU415" s="3"/>
      <c r="AV415" s="3"/>
      <c r="AW415" s="3"/>
    </row>
    <row r="416" spans="12:49" x14ac:dyDescent="0.35">
      <c r="L416" s="3"/>
      <c r="M416" s="3"/>
      <c r="N416" s="3"/>
      <c r="O416" s="65"/>
      <c r="Q416" s="3"/>
      <c r="R416" s="3"/>
      <c r="S416" s="3"/>
      <c r="T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row>
    <row r="417" spans="12:49" x14ac:dyDescent="0.35">
      <c r="L417" s="3"/>
      <c r="M417" s="3"/>
      <c r="N417" s="3"/>
      <c r="O417" s="65"/>
      <c r="Q417" s="3"/>
      <c r="R417" s="3"/>
      <c r="S417" s="3"/>
      <c r="T417" s="3"/>
      <c r="V417" s="3"/>
      <c r="W417" s="3"/>
      <c r="X417" s="3"/>
      <c r="Y417" s="3"/>
      <c r="Z417" s="3"/>
      <c r="AA417" s="3"/>
      <c r="AB417" s="3"/>
      <c r="AC417" s="3"/>
      <c r="AD417" s="3"/>
      <c r="AE417" s="3"/>
      <c r="AF417" s="3"/>
      <c r="AG417" s="3"/>
      <c r="AH417" s="3"/>
      <c r="AI417" s="3"/>
      <c r="AJ417" s="3"/>
      <c r="AK417" s="3"/>
      <c r="AL417" s="3"/>
      <c r="AM417" s="3"/>
      <c r="AN417" s="3"/>
      <c r="AO417" s="3"/>
      <c r="AP417" s="3"/>
      <c r="AQ417" s="3"/>
      <c r="AR417" s="3"/>
      <c r="AS417" s="3"/>
      <c r="AT417" s="3"/>
      <c r="AU417" s="3"/>
      <c r="AV417" s="3"/>
      <c r="AW417" s="3"/>
    </row>
    <row r="418" spans="12:49" x14ac:dyDescent="0.35">
      <c r="L418" s="3"/>
      <c r="M418" s="3"/>
      <c r="N418" s="3"/>
      <c r="O418" s="65"/>
      <c r="Q418" s="3"/>
      <c r="R418" s="3"/>
      <c r="S418" s="3"/>
      <c r="T418" s="3"/>
      <c r="V418" s="3"/>
      <c r="W418" s="3"/>
      <c r="X418" s="3"/>
      <c r="Y418" s="3"/>
      <c r="Z418" s="3"/>
      <c r="AA418" s="3"/>
      <c r="AB418" s="3"/>
      <c r="AC418" s="3"/>
      <c r="AD418" s="3"/>
      <c r="AE418" s="3"/>
      <c r="AF418" s="3"/>
      <c r="AG418" s="3"/>
      <c r="AH418" s="3"/>
      <c r="AI418" s="3"/>
      <c r="AJ418" s="3"/>
      <c r="AK418" s="3"/>
      <c r="AL418" s="3"/>
      <c r="AM418" s="3"/>
      <c r="AN418" s="3"/>
      <c r="AO418" s="3"/>
      <c r="AP418" s="3"/>
      <c r="AQ418" s="3"/>
      <c r="AR418" s="3"/>
      <c r="AS418" s="3"/>
      <c r="AT418" s="3"/>
      <c r="AU418" s="3"/>
      <c r="AV418" s="3"/>
      <c r="AW418" s="3"/>
    </row>
    <row r="419" spans="12:49" x14ac:dyDescent="0.35">
      <c r="L419" s="3"/>
      <c r="M419" s="3"/>
      <c r="N419" s="3"/>
      <c r="O419" s="65"/>
      <c r="Q419" s="3"/>
      <c r="R419" s="3"/>
      <c r="S419" s="3"/>
      <c r="T419" s="3"/>
      <c r="V419" s="3"/>
      <c r="W419" s="3"/>
      <c r="X419" s="3"/>
      <c r="Y419" s="3"/>
      <c r="Z419" s="3"/>
      <c r="AA419" s="3"/>
      <c r="AB419" s="3"/>
      <c r="AC419" s="3"/>
      <c r="AD419" s="3"/>
      <c r="AE419" s="3"/>
      <c r="AF419" s="3"/>
      <c r="AG419" s="3"/>
      <c r="AH419" s="3"/>
      <c r="AI419" s="3"/>
      <c r="AJ419" s="3"/>
      <c r="AK419" s="3"/>
      <c r="AL419" s="3"/>
      <c r="AM419" s="3"/>
      <c r="AN419" s="3"/>
      <c r="AO419" s="3"/>
      <c r="AP419" s="3"/>
      <c r="AQ419" s="3"/>
      <c r="AR419" s="3"/>
      <c r="AS419" s="3"/>
      <c r="AT419" s="3"/>
      <c r="AU419" s="3"/>
      <c r="AV419" s="3"/>
      <c r="AW419" s="3"/>
    </row>
    <row r="420" spans="12:49" x14ac:dyDescent="0.35">
      <c r="L420" s="3"/>
      <c r="M420" s="3"/>
      <c r="N420" s="3"/>
      <c r="O420" s="65"/>
      <c r="Q420" s="3"/>
      <c r="R420" s="3"/>
      <c r="S420" s="3"/>
      <c r="T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row>
    <row r="421" spans="12:49" x14ac:dyDescent="0.35">
      <c r="L421" s="3"/>
      <c r="M421" s="3"/>
      <c r="N421" s="3"/>
      <c r="O421" s="65"/>
      <c r="Q421" s="3"/>
      <c r="R421" s="3"/>
      <c r="S421" s="3"/>
      <c r="T421" s="3"/>
      <c r="V421" s="3"/>
      <c r="W421" s="3"/>
      <c r="X421" s="3"/>
      <c r="Y421" s="3"/>
      <c r="Z421" s="3"/>
      <c r="AA421" s="3"/>
      <c r="AB421" s="3"/>
      <c r="AC421" s="3"/>
      <c r="AD421" s="3"/>
      <c r="AE421" s="3"/>
      <c r="AF421" s="3"/>
      <c r="AG421" s="3"/>
      <c r="AH421" s="3"/>
      <c r="AI421" s="3"/>
      <c r="AJ421" s="3"/>
      <c r="AK421" s="3"/>
      <c r="AL421" s="3"/>
      <c r="AM421" s="3"/>
      <c r="AN421" s="3"/>
      <c r="AO421" s="3"/>
      <c r="AP421" s="3"/>
      <c r="AQ421" s="3"/>
      <c r="AR421" s="3"/>
      <c r="AS421" s="3"/>
      <c r="AT421" s="3"/>
      <c r="AU421" s="3"/>
      <c r="AV421" s="3"/>
      <c r="AW421" s="3"/>
    </row>
    <row r="422" spans="12:49" x14ac:dyDescent="0.35">
      <c r="L422" s="3"/>
      <c r="M422" s="3"/>
      <c r="N422" s="3"/>
      <c r="O422" s="65"/>
      <c r="Q422" s="3"/>
      <c r="R422" s="3"/>
      <c r="S422" s="3"/>
      <c r="T422" s="3"/>
      <c r="V422" s="3"/>
      <c r="W422" s="3"/>
      <c r="X422" s="3"/>
      <c r="Y422" s="3"/>
      <c r="Z422" s="3"/>
      <c r="AA422" s="3"/>
      <c r="AB422" s="3"/>
      <c r="AC422" s="3"/>
      <c r="AD422" s="3"/>
      <c r="AE422" s="3"/>
      <c r="AF422" s="3"/>
      <c r="AG422" s="3"/>
      <c r="AH422" s="3"/>
      <c r="AI422" s="3"/>
      <c r="AJ422" s="3"/>
      <c r="AK422" s="3"/>
      <c r="AL422" s="3"/>
      <c r="AM422" s="3"/>
      <c r="AN422" s="3"/>
      <c r="AO422" s="3"/>
      <c r="AP422" s="3"/>
      <c r="AQ422" s="3"/>
      <c r="AR422" s="3"/>
      <c r="AS422" s="3"/>
      <c r="AT422" s="3"/>
      <c r="AU422" s="3"/>
      <c r="AV422" s="3"/>
      <c r="AW422" s="3"/>
    </row>
    <row r="423" spans="12:49" x14ac:dyDescent="0.35">
      <c r="L423" s="3"/>
      <c r="M423" s="3"/>
      <c r="N423" s="3"/>
      <c r="O423" s="65"/>
      <c r="Q423" s="3"/>
      <c r="R423" s="3"/>
      <c r="S423" s="3"/>
      <c r="T423" s="3"/>
      <c r="V423" s="3"/>
      <c r="W423" s="3"/>
      <c r="X423" s="3"/>
      <c r="Y423" s="3"/>
      <c r="Z423" s="3"/>
      <c r="AA423" s="3"/>
      <c r="AB423" s="3"/>
      <c r="AC423" s="3"/>
      <c r="AD423" s="3"/>
      <c r="AE423" s="3"/>
      <c r="AF423" s="3"/>
      <c r="AG423" s="3"/>
      <c r="AH423" s="3"/>
      <c r="AI423" s="3"/>
      <c r="AJ423" s="3"/>
      <c r="AK423" s="3"/>
      <c r="AL423" s="3"/>
      <c r="AM423" s="3"/>
      <c r="AN423" s="3"/>
      <c r="AO423" s="3"/>
      <c r="AP423" s="3"/>
      <c r="AQ423" s="3"/>
      <c r="AR423" s="3"/>
      <c r="AS423" s="3"/>
      <c r="AT423" s="3"/>
      <c r="AU423" s="3"/>
      <c r="AV423" s="3"/>
      <c r="AW423" s="3"/>
    </row>
    <row r="424" spans="12:49" x14ac:dyDescent="0.35">
      <c r="L424" s="3"/>
      <c r="M424" s="3"/>
      <c r="N424" s="3"/>
      <c r="O424" s="65"/>
      <c r="Q424" s="3"/>
      <c r="R424" s="3"/>
      <c r="S424" s="3"/>
      <c r="T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row>
    <row r="425" spans="12:49" x14ac:dyDescent="0.35">
      <c r="L425" s="3"/>
      <c r="M425" s="3"/>
      <c r="N425" s="3"/>
      <c r="O425" s="65"/>
      <c r="Q425" s="3"/>
      <c r="R425" s="3"/>
      <c r="S425" s="3"/>
      <c r="T425" s="3"/>
      <c r="V425" s="3"/>
      <c r="W425" s="3"/>
      <c r="X425" s="3"/>
      <c r="Y425" s="3"/>
      <c r="Z425" s="3"/>
      <c r="AA425" s="3"/>
      <c r="AB425" s="3"/>
      <c r="AC425" s="3"/>
      <c r="AD425" s="3"/>
      <c r="AE425" s="3"/>
      <c r="AF425" s="3"/>
      <c r="AG425" s="3"/>
      <c r="AH425" s="3"/>
      <c r="AI425" s="3"/>
      <c r="AJ425" s="3"/>
      <c r="AK425" s="3"/>
      <c r="AL425" s="3"/>
      <c r="AM425" s="3"/>
      <c r="AN425" s="3"/>
      <c r="AO425" s="3"/>
      <c r="AP425" s="3"/>
      <c r="AQ425" s="3"/>
      <c r="AR425" s="3"/>
      <c r="AS425" s="3"/>
      <c r="AT425" s="3"/>
      <c r="AU425" s="3"/>
      <c r="AV425" s="3"/>
      <c r="AW425" s="3"/>
    </row>
    <row r="426" spans="12:49" x14ac:dyDescent="0.35">
      <c r="L426" s="3"/>
      <c r="M426" s="3"/>
      <c r="N426" s="3"/>
      <c r="O426" s="65"/>
      <c r="Q426" s="3"/>
      <c r="R426" s="3"/>
      <c r="S426" s="3"/>
      <c r="T426" s="3"/>
      <c r="V426" s="3"/>
      <c r="W426" s="3"/>
      <c r="X426" s="3"/>
      <c r="Y426" s="3"/>
      <c r="Z426" s="3"/>
      <c r="AA426" s="3"/>
      <c r="AB426" s="3"/>
      <c r="AC426" s="3"/>
      <c r="AD426" s="3"/>
      <c r="AE426" s="3"/>
      <c r="AF426" s="3"/>
      <c r="AG426" s="3"/>
      <c r="AH426" s="3"/>
      <c r="AI426" s="3"/>
      <c r="AJ426" s="3"/>
      <c r="AK426" s="3"/>
      <c r="AL426" s="3"/>
      <c r="AM426" s="3"/>
      <c r="AN426" s="3"/>
      <c r="AO426" s="3"/>
      <c r="AP426" s="3"/>
      <c r="AQ426" s="3"/>
      <c r="AR426" s="3"/>
      <c r="AS426" s="3"/>
      <c r="AT426" s="3"/>
      <c r="AU426" s="3"/>
      <c r="AV426" s="3"/>
      <c r="AW426" s="3"/>
    </row>
    <row r="427" spans="12:49" x14ac:dyDescent="0.35">
      <c r="L427" s="3"/>
      <c r="M427" s="3"/>
      <c r="N427" s="3"/>
      <c r="O427" s="65"/>
      <c r="Q427" s="3"/>
      <c r="R427" s="3"/>
      <c r="S427" s="3"/>
      <c r="T427" s="3"/>
      <c r="V427" s="3"/>
      <c r="W427" s="3"/>
      <c r="X427" s="3"/>
      <c r="Y427" s="3"/>
      <c r="Z427" s="3"/>
      <c r="AA427" s="3"/>
      <c r="AB427" s="3"/>
      <c r="AC427" s="3"/>
      <c r="AD427" s="3"/>
      <c r="AE427" s="3"/>
      <c r="AF427" s="3"/>
      <c r="AG427" s="3"/>
      <c r="AH427" s="3"/>
      <c r="AI427" s="3"/>
      <c r="AJ427" s="3"/>
      <c r="AK427" s="3"/>
      <c r="AL427" s="3"/>
      <c r="AM427" s="3"/>
      <c r="AN427" s="3"/>
      <c r="AO427" s="3"/>
      <c r="AP427" s="3"/>
      <c r="AQ427" s="3"/>
      <c r="AR427" s="3"/>
      <c r="AS427" s="3"/>
      <c r="AT427" s="3"/>
      <c r="AU427" s="3"/>
      <c r="AV427" s="3"/>
      <c r="AW427" s="3"/>
    </row>
    <row r="428" spans="12:49" x14ac:dyDescent="0.35">
      <c r="L428" s="3"/>
      <c r="M428" s="3"/>
      <c r="N428" s="3"/>
      <c r="O428" s="65"/>
      <c r="Q428" s="3"/>
      <c r="R428" s="3"/>
      <c r="S428" s="3"/>
      <c r="T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row>
    <row r="429" spans="12:49" x14ac:dyDescent="0.35">
      <c r="L429" s="3"/>
      <c r="M429" s="3"/>
      <c r="N429" s="3"/>
      <c r="O429" s="65"/>
      <c r="Q429" s="3"/>
      <c r="R429" s="3"/>
      <c r="S429" s="3"/>
      <c r="T429" s="3"/>
      <c r="V429" s="3"/>
      <c r="W429" s="3"/>
      <c r="X429" s="3"/>
      <c r="Y429" s="3"/>
      <c r="Z429" s="3"/>
      <c r="AA429" s="3"/>
      <c r="AB429" s="3"/>
      <c r="AC429" s="3"/>
      <c r="AD429" s="3"/>
      <c r="AE429" s="3"/>
      <c r="AF429" s="3"/>
      <c r="AG429" s="3"/>
      <c r="AH429" s="3"/>
      <c r="AI429" s="3"/>
      <c r="AJ429" s="3"/>
      <c r="AK429" s="3"/>
      <c r="AL429" s="3"/>
      <c r="AM429" s="3"/>
      <c r="AN429" s="3"/>
      <c r="AO429" s="3"/>
      <c r="AP429" s="3"/>
      <c r="AQ429" s="3"/>
      <c r="AR429" s="3"/>
      <c r="AS429" s="3"/>
      <c r="AT429" s="3"/>
      <c r="AU429" s="3"/>
      <c r="AV429" s="3"/>
      <c r="AW429" s="3"/>
    </row>
    <row r="430" spans="12:49" x14ac:dyDescent="0.35">
      <c r="L430" s="3"/>
      <c r="M430" s="3"/>
      <c r="N430" s="3"/>
      <c r="O430" s="65"/>
      <c r="Q430" s="3"/>
      <c r="R430" s="3"/>
      <c r="S430" s="3"/>
      <c r="T430" s="3"/>
      <c r="V430" s="3"/>
      <c r="W430" s="3"/>
      <c r="X430" s="3"/>
      <c r="Y430" s="3"/>
      <c r="Z430" s="3"/>
      <c r="AA430" s="3"/>
      <c r="AB430" s="3"/>
      <c r="AC430" s="3"/>
      <c r="AD430" s="3"/>
      <c r="AE430" s="3"/>
      <c r="AF430" s="3"/>
      <c r="AG430" s="3"/>
      <c r="AH430" s="3"/>
      <c r="AI430" s="3"/>
      <c r="AJ430" s="3"/>
      <c r="AK430" s="3"/>
      <c r="AL430" s="3"/>
      <c r="AM430" s="3"/>
      <c r="AN430" s="3"/>
      <c r="AO430" s="3"/>
      <c r="AP430" s="3"/>
      <c r="AQ430" s="3"/>
      <c r="AR430" s="3"/>
      <c r="AS430" s="3"/>
      <c r="AT430" s="3"/>
      <c r="AU430" s="3"/>
      <c r="AV430" s="3"/>
      <c r="AW430" s="3"/>
    </row>
    <row r="431" spans="12:49" x14ac:dyDescent="0.35">
      <c r="L431" s="3"/>
      <c r="M431" s="3"/>
      <c r="N431" s="3"/>
      <c r="O431" s="65"/>
      <c r="Q431" s="3"/>
      <c r="R431" s="3"/>
      <c r="S431" s="3"/>
      <c r="T431" s="3"/>
      <c r="V431" s="3"/>
      <c r="W431" s="3"/>
      <c r="X431" s="3"/>
      <c r="Y431" s="3"/>
      <c r="Z431" s="3"/>
      <c r="AA431" s="3"/>
      <c r="AB431" s="3"/>
      <c r="AC431" s="3"/>
      <c r="AD431" s="3"/>
      <c r="AE431" s="3"/>
      <c r="AF431" s="3"/>
      <c r="AG431" s="3"/>
      <c r="AH431" s="3"/>
      <c r="AI431" s="3"/>
      <c r="AJ431" s="3"/>
      <c r="AK431" s="3"/>
      <c r="AL431" s="3"/>
      <c r="AM431" s="3"/>
      <c r="AN431" s="3"/>
      <c r="AO431" s="3"/>
      <c r="AP431" s="3"/>
      <c r="AQ431" s="3"/>
      <c r="AR431" s="3"/>
      <c r="AS431" s="3"/>
      <c r="AT431" s="3"/>
      <c r="AU431" s="3"/>
      <c r="AV431" s="3"/>
      <c r="AW431" s="3"/>
    </row>
    <row r="432" spans="12:49" x14ac:dyDescent="0.35">
      <c r="L432" s="3"/>
      <c r="M432" s="3"/>
      <c r="N432" s="3"/>
      <c r="O432" s="65"/>
      <c r="Q432" s="3"/>
      <c r="R432" s="3"/>
      <c r="S432" s="3"/>
      <c r="T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row>
    <row r="433" spans="12:49" x14ac:dyDescent="0.35">
      <c r="L433" s="3"/>
      <c r="M433" s="3"/>
      <c r="N433" s="3"/>
      <c r="O433" s="65"/>
      <c r="Q433" s="3"/>
      <c r="R433" s="3"/>
      <c r="S433" s="3"/>
      <c r="T433" s="3"/>
      <c r="V433" s="3"/>
      <c r="W433" s="3"/>
      <c r="X433" s="3"/>
      <c r="Y433" s="3"/>
      <c r="Z433" s="3"/>
      <c r="AA433" s="3"/>
      <c r="AB433" s="3"/>
      <c r="AC433" s="3"/>
      <c r="AD433" s="3"/>
      <c r="AE433" s="3"/>
      <c r="AF433" s="3"/>
      <c r="AG433" s="3"/>
      <c r="AH433" s="3"/>
      <c r="AI433" s="3"/>
      <c r="AJ433" s="3"/>
      <c r="AK433" s="3"/>
      <c r="AL433" s="3"/>
      <c r="AM433" s="3"/>
      <c r="AN433" s="3"/>
      <c r="AO433" s="3"/>
      <c r="AP433" s="3"/>
      <c r="AQ433" s="3"/>
      <c r="AR433" s="3"/>
      <c r="AS433" s="3"/>
      <c r="AT433" s="3"/>
      <c r="AU433" s="3"/>
      <c r="AV433" s="3"/>
      <c r="AW433" s="3"/>
    </row>
    <row r="434" spans="12:49" x14ac:dyDescent="0.35">
      <c r="L434" s="3"/>
      <c r="M434" s="3"/>
      <c r="N434" s="3"/>
      <c r="O434" s="65"/>
      <c r="Q434" s="3"/>
      <c r="R434" s="3"/>
      <c r="S434" s="3"/>
      <c r="T434" s="3"/>
      <c r="V434" s="3"/>
      <c r="W434" s="3"/>
      <c r="X434" s="3"/>
      <c r="Y434" s="3"/>
      <c r="Z434" s="3"/>
      <c r="AA434" s="3"/>
      <c r="AB434" s="3"/>
      <c r="AC434" s="3"/>
      <c r="AD434" s="3"/>
      <c r="AE434" s="3"/>
      <c r="AF434" s="3"/>
      <c r="AG434" s="3"/>
      <c r="AH434" s="3"/>
      <c r="AI434" s="3"/>
      <c r="AJ434" s="3"/>
      <c r="AK434" s="3"/>
      <c r="AL434" s="3"/>
      <c r="AM434" s="3"/>
      <c r="AN434" s="3"/>
      <c r="AO434" s="3"/>
      <c r="AP434" s="3"/>
      <c r="AQ434" s="3"/>
      <c r="AR434" s="3"/>
      <c r="AS434" s="3"/>
      <c r="AT434" s="3"/>
      <c r="AU434" s="3"/>
      <c r="AV434" s="3"/>
      <c r="AW434" s="3"/>
    </row>
    <row r="435" spans="12:49" x14ac:dyDescent="0.35">
      <c r="L435" s="3"/>
      <c r="M435" s="3"/>
      <c r="N435" s="3"/>
      <c r="O435" s="65"/>
      <c r="Q435" s="3"/>
      <c r="R435" s="3"/>
      <c r="S435" s="3"/>
      <c r="T435" s="3"/>
      <c r="V435" s="3"/>
      <c r="W435" s="3"/>
      <c r="X435" s="3"/>
      <c r="Y435" s="3"/>
      <c r="Z435" s="3"/>
      <c r="AA435" s="3"/>
      <c r="AB435" s="3"/>
      <c r="AC435" s="3"/>
      <c r="AD435" s="3"/>
      <c r="AE435" s="3"/>
      <c r="AF435" s="3"/>
      <c r="AG435" s="3"/>
      <c r="AH435" s="3"/>
      <c r="AI435" s="3"/>
      <c r="AJ435" s="3"/>
      <c r="AK435" s="3"/>
      <c r="AL435" s="3"/>
      <c r="AM435" s="3"/>
      <c r="AN435" s="3"/>
      <c r="AO435" s="3"/>
      <c r="AP435" s="3"/>
      <c r="AQ435" s="3"/>
      <c r="AR435" s="3"/>
      <c r="AS435" s="3"/>
      <c r="AT435" s="3"/>
      <c r="AU435" s="3"/>
      <c r="AV435" s="3"/>
      <c r="AW435" s="3"/>
    </row>
    <row r="436" spans="12:49" x14ac:dyDescent="0.35">
      <c r="L436" s="3"/>
      <c r="M436" s="3"/>
      <c r="N436" s="3"/>
      <c r="O436" s="65"/>
      <c r="Q436" s="3"/>
      <c r="R436" s="3"/>
      <c r="S436" s="3"/>
      <c r="T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row>
    <row r="437" spans="12:49" x14ac:dyDescent="0.35">
      <c r="L437" s="3"/>
      <c r="M437" s="3"/>
      <c r="N437" s="3"/>
      <c r="O437" s="65"/>
      <c r="Q437" s="3"/>
      <c r="R437" s="3"/>
      <c r="S437" s="3"/>
      <c r="T437" s="3"/>
      <c r="V437" s="3"/>
      <c r="W437" s="3"/>
      <c r="X437" s="3"/>
      <c r="Y437" s="3"/>
      <c r="Z437" s="3"/>
      <c r="AA437" s="3"/>
      <c r="AB437" s="3"/>
      <c r="AC437" s="3"/>
      <c r="AD437" s="3"/>
      <c r="AE437" s="3"/>
      <c r="AF437" s="3"/>
      <c r="AG437" s="3"/>
      <c r="AH437" s="3"/>
      <c r="AI437" s="3"/>
      <c r="AJ437" s="3"/>
      <c r="AK437" s="3"/>
      <c r="AL437" s="3"/>
      <c r="AM437" s="3"/>
      <c r="AN437" s="3"/>
      <c r="AO437" s="3"/>
      <c r="AP437" s="3"/>
      <c r="AQ437" s="3"/>
      <c r="AR437" s="3"/>
      <c r="AS437" s="3"/>
      <c r="AT437" s="3"/>
      <c r="AU437" s="3"/>
      <c r="AV437" s="3"/>
      <c r="AW437" s="3"/>
    </row>
    <row r="438" spans="12:49" x14ac:dyDescent="0.35">
      <c r="L438" s="3"/>
      <c r="M438" s="3"/>
      <c r="N438" s="3"/>
      <c r="O438" s="65"/>
      <c r="Q438" s="3"/>
      <c r="R438" s="3"/>
      <c r="S438" s="3"/>
      <c r="T438" s="3"/>
      <c r="V438" s="3"/>
      <c r="W438" s="3"/>
      <c r="X438" s="3"/>
      <c r="Y438" s="3"/>
      <c r="Z438" s="3"/>
      <c r="AA438" s="3"/>
      <c r="AB438" s="3"/>
      <c r="AC438" s="3"/>
      <c r="AD438" s="3"/>
      <c r="AE438" s="3"/>
      <c r="AF438" s="3"/>
      <c r="AG438" s="3"/>
      <c r="AH438" s="3"/>
      <c r="AI438" s="3"/>
      <c r="AJ438" s="3"/>
      <c r="AK438" s="3"/>
      <c r="AL438" s="3"/>
      <c r="AM438" s="3"/>
      <c r="AN438" s="3"/>
      <c r="AO438" s="3"/>
      <c r="AP438" s="3"/>
      <c r="AQ438" s="3"/>
      <c r="AR438" s="3"/>
      <c r="AS438" s="3"/>
      <c r="AT438" s="3"/>
      <c r="AU438" s="3"/>
      <c r="AV438" s="3"/>
      <c r="AW438" s="3"/>
    </row>
    <row r="439" spans="12:49" x14ac:dyDescent="0.35">
      <c r="L439" s="3"/>
      <c r="M439" s="3"/>
      <c r="N439" s="3"/>
      <c r="O439" s="65"/>
      <c r="Q439" s="3"/>
      <c r="R439" s="3"/>
      <c r="S439" s="3"/>
      <c r="T439" s="3"/>
      <c r="V439" s="3"/>
      <c r="W439" s="3"/>
      <c r="X439" s="3"/>
      <c r="Y439" s="3"/>
      <c r="Z439" s="3"/>
      <c r="AA439" s="3"/>
      <c r="AB439" s="3"/>
      <c r="AC439" s="3"/>
      <c r="AD439" s="3"/>
      <c r="AE439" s="3"/>
      <c r="AF439" s="3"/>
      <c r="AG439" s="3"/>
      <c r="AH439" s="3"/>
      <c r="AI439" s="3"/>
      <c r="AJ439" s="3"/>
      <c r="AK439" s="3"/>
      <c r="AL439" s="3"/>
      <c r="AM439" s="3"/>
      <c r="AN439" s="3"/>
      <c r="AO439" s="3"/>
      <c r="AP439" s="3"/>
      <c r="AQ439" s="3"/>
      <c r="AR439" s="3"/>
      <c r="AS439" s="3"/>
      <c r="AT439" s="3"/>
      <c r="AU439" s="3"/>
      <c r="AV439" s="3"/>
      <c r="AW439" s="3"/>
    </row>
    <row r="440" spans="12:49" x14ac:dyDescent="0.35">
      <c r="L440" s="3"/>
      <c r="M440" s="3"/>
      <c r="N440" s="3"/>
      <c r="O440" s="65"/>
      <c r="Q440" s="3"/>
      <c r="R440" s="3"/>
      <c r="S440" s="3"/>
      <c r="T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row>
    <row r="441" spans="12:49" x14ac:dyDescent="0.35">
      <c r="L441" s="3"/>
      <c r="M441" s="3"/>
      <c r="N441" s="3"/>
      <c r="O441" s="65"/>
      <c r="Q441" s="3"/>
      <c r="R441" s="3"/>
      <c r="S441" s="3"/>
      <c r="T441" s="3"/>
      <c r="V441" s="3"/>
      <c r="W441" s="3"/>
      <c r="X441" s="3"/>
      <c r="Y441" s="3"/>
      <c r="Z441" s="3"/>
      <c r="AA441" s="3"/>
      <c r="AB441" s="3"/>
      <c r="AC441" s="3"/>
      <c r="AD441" s="3"/>
      <c r="AE441" s="3"/>
      <c r="AF441" s="3"/>
      <c r="AG441" s="3"/>
      <c r="AH441" s="3"/>
      <c r="AI441" s="3"/>
      <c r="AJ441" s="3"/>
      <c r="AK441" s="3"/>
      <c r="AL441" s="3"/>
      <c r="AM441" s="3"/>
      <c r="AN441" s="3"/>
      <c r="AO441" s="3"/>
      <c r="AP441" s="3"/>
      <c r="AQ441" s="3"/>
      <c r="AR441" s="3"/>
      <c r="AS441" s="3"/>
      <c r="AT441" s="3"/>
      <c r="AU441" s="3"/>
      <c r="AV441" s="3"/>
      <c r="AW441" s="3"/>
    </row>
    <row r="442" spans="12:49" x14ac:dyDescent="0.35">
      <c r="L442" s="3"/>
      <c r="M442" s="3"/>
      <c r="N442" s="3"/>
      <c r="O442" s="65"/>
      <c r="Q442" s="3"/>
      <c r="R442" s="3"/>
      <c r="S442" s="3"/>
      <c r="T442" s="3"/>
      <c r="V442" s="3"/>
      <c r="W442" s="3"/>
      <c r="X442" s="3"/>
      <c r="Y442" s="3"/>
      <c r="Z442" s="3"/>
      <c r="AA442" s="3"/>
      <c r="AB442" s="3"/>
      <c r="AC442" s="3"/>
      <c r="AD442" s="3"/>
      <c r="AE442" s="3"/>
      <c r="AF442" s="3"/>
      <c r="AG442" s="3"/>
      <c r="AH442" s="3"/>
      <c r="AI442" s="3"/>
      <c r="AJ442" s="3"/>
      <c r="AK442" s="3"/>
      <c r="AL442" s="3"/>
      <c r="AM442" s="3"/>
      <c r="AN442" s="3"/>
      <c r="AO442" s="3"/>
      <c r="AP442" s="3"/>
      <c r="AQ442" s="3"/>
      <c r="AR442" s="3"/>
      <c r="AS442" s="3"/>
      <c r="AT442" s="3"/>
      <c r="AU442" s="3"/>
      <c r="AV442" s="3"/>
      <c r="AW442" s="3"/>
    </row>
    <row r="443" spans="12:49" x14ac:dyDescent="0.35">
      <c r="L443" s="3"/>
      <c r="M443" s="3"/>
      <c r="N443" s="3"/>
      <c r="O443" s="65"/>
      <c r="Q443" s="3"/>
      <c r="R443" s="3"/>
      <c r="S443" s="3"/>
      <c r="T443" s="3"/>
      <c r="V443" s="3"/>
      <c r="W443" s="3"/>
      <c r="X443" s="3"/>
      <c r="Y443" s="3"/>
      <c r="Z443" s="3"/>
      <c r="AA443" s="3"/>
      <c r="AB443" s="3"/>
      <c r="AC443" s="3"/>
      <c r="AD443" s="3"/>
      <c r="AE443" s="3"/>
      <c r="AF443" s="3"/>
      <c r="AG443" s="3"/>
      <c r="AH443" s="3"/>
      <c r="AI443" s="3"/>
      <c r="AJ443" s="3"/>
      <c r="AK443" s="3"/>
      <c r="AL443" s="3"/>
      <c r="AM443" s="3"/>
      <c r="AN443" s="3"/>
      <c r="AO443" s="3"/>
      <c r="AP443" s="3"/>
      <c r="AQ443" s="3"/>
      <c r="AR443" s="3"/>
      <c r="AS443" s="3"/>
      <c r="AT443" s="3"/>
      <c r="AU443" s="3"/>
      <c r="AV443" s="3"/>
      <c r="AW443" s="3"/>
    </row>
    <row r="444" spans="12:49" x14ac:dyDescent="0.35">
      <c r="L444" s="3"/>
      <c r="M444" s="3"/>
      <c r="N444" s="3"/>
      <c r="O444" s="65"/>
      <c r="Q444" s="3"/>
      <c r="R444" s="3"/>
      <c r="S444" s="3"/>
      <c r="T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row>
    <row r="445" spans="12:49" x14ac:dyDescent="0.35">
      <c r="L445" s="3"/>
      <c r="M445" s="3"/>
      <c r="N445" s="3"/>
      <c r="O445" s="65"/>
      <c r="Q445" s="3"/>
      <c r="R445" s="3"/>
      <c r="S445" s="3"/>
      <c r="T445" s="3"/>
      <c r="V445" s="3"/>
      <c r="W445" s="3"/>
      <c r="X445" s="3"/>
      <c r="Y445" s="3"/>
      <c r="Z445" s="3"/>
      <c r="AA445" s="3"/>
      <c r="AB445" s="3"/>
      <c r="AC445" s="3"/>
      <c r="AD445" s="3"/>
      <c r="AE445" s="3"/>
      <c r="AF445" s="3"/>
      <c r="AG445" s="3"/>
      <c r="AH445" s="3"/>
      <c r="AI445" s="3"/>
      <c r="AJ445" s="3"/>
      <c r="AK445" s="3"/>
      <c r="AL445" s="3"/>
      <c r="AM445" s="3"/>
      <c r="AN445" s="3"/>
      <c r="AO445" s="3"/>
      <c r="AP445" s="3"/>
      <c r="AQ445" s="3"/>
      <c r="AR445" s="3"/>
      <c r="AS445" s="3"/>
      <c r="AT445" s="3"/>
      <c r="AU445" s="3"/>
      <c r="AV445" s="3"/>
      <c r="AW445" s="3"/>
    </row>
    <row r="446" spans="12:49" x14ac:dyDescent="0.35">
      <c r="L446" s="3"/>
      <c r="M446" s="3"/>
      <c r="N446" s="3"/>
      <c r="O446" s="65"/>
      <c r="Q446" s="3"/>
      <c r="R446" s="3"/>
      <c r="S446" s="3"/>
      <c r="T446" s="3"/>
      <c r="V446" s="3"/>
      <c r="W446" s="3"/>
      <c r="X446" s="3"/>
      <c r="Y446" s="3"/>
      <c r="Z446" s="3"/>
      <c r="AA446" s="3"/>
      <c r="AB446" s="3"/>
      <c r="AC446" s="3"/>
      <c r="AD446" s="3"/>
      <c r="AE446" s="3"/>
      <c r="AF446" s="3"/>
      <c r="AG446" s="3"/>
      <c r="AH446" s="3"/>
      <c r="AI446" s="3"/>
      <c r="AJ446" s="3"/>
      <c r="AK446" s="3"/>
      <c r="AL446" s="3"/>
      <c r="AM446" s="3"/>
      <c r="AN446" s="3"/>
      <c r="AO446" s="3"/>
      <c r="AP446" s="3"/>
      <c r="AQ446" s="3"/>
      <c r="AR446" s="3"/>
      <c r="AS446" s="3"/>
      <c r="AT446" s="3"/>
      <c r="AU446" s="3"/>
      <c r="AV446" s="3"/>
      <c r="AW446" s="3"/>
    </row>
    <row r="447" spans="12:49" x14ac:dyDescent="0.35">
      <c r="L447" s="3"/>
      <c r="M447" s="3"/>
      <c r="N447" s="3"/>
      <c r="O447" s="65"/>
      <c r="Q447" s="3"/>
      <c r="R447" s="3"/>
      <c r="S447" s="3"/>
      <c r="T447" s="3"/>
      <c r="V447" s="3"/>
      <c r="W447" s="3"/>
      <c r="X447" s="3"/>
      <c r="Y447" s="3"/>
      <c r="Z447" s="3"/>
      <c r="AA447" s="3"/>
      <c r="AB447" s="3"/>
      <c r="AC447" s="3"/>
      <c r="AD447" s="3"/>
      <c r="AE447" s="3"/>
      <c r="AF447" s="3"/>
      <c r="AG447" s="3"/>
      <c r="AH447" s="3"/>
      <c r="AI447" s="3"/>
      <c r="AJ447" s="3"/>
      <c r="AK447" s="3"/>
      <c r="AL447" s="3"/>
      <c r="AM447" s="3"/>
      <c r="AN447" s="3"/>
      <c r="AO447" s="3"/>
      <c r="AP447" s="3"/>
      <c r="AQ447" s="3"/>
      <c r="AR447" s="3"/>
      <c r="AS447" s="3"/>
      <c r="AT447" s="3"/>
      <c r="AU447" s="3"/>
      <c r="AV447" s="3"/>
      <c r="AW447" s="3"/>
    </row>
    <row r="448" spans="12:49" x14ac:dyDescent="0.35">
      <c r="L448" s="3"/>
      <c r="M448" s="3"/>
      <c r="N448" s="3"/>
      <c r="O448" s="65"/>
      <c r="Q448" s="3"/>
      <c r="R448" s="3"/>
      <c r="S448" s="3"/>
      <c r="T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row>
    <row r="449" spans="12:49" x14ac:dyDescent="0.35">
      <c r="L449" s="3"/>
      <c r="M449" s="3"/>
      <c r="N449" s="3"/>
      <c r="O449" s="65"/>
      <c r="Q449" s="3"/>
      <c r="R449" s="3"/>
      <c r="S449" s="3"/>
      <c r="T449" s="3"/>
      <c r="V449" s="3"/>
      <c r="W449" s="3"/>
      <c r="X449" s="3"/>
      <c r="Y449" s="3"/>
      <c r="Z449" s="3"/>
      <c r="AA449" s="3"/>
      <c r="AB449" s="3"/>
      <c r="AC449" s="3"/>
      <c r="AD449" s="3"/>
      <c r="AE449" s="3"/>
      <c r="AF449" s="3"/>
      <c r="AG449" s="3"/>
      <c r="AH449" s="3"/>
      <c r="AI449" s="3"/>
      <c r="AJ449" s="3"/>
      <c r="AK449" s="3"/>
      <c r="AL449" s="3"/>
      <c r="AM449" s="3"/>
      <c r="AN449" s="3"/>
      <c r="AO449" s="3"/>
      <c r="AP449" s="3"/>
      <c r="AQ449" s="3"/>
      <c r="AR449" s="3"/>
      <c r="AS449" s="3"/>
      <c r="AT449" s="3"/>
      <c r="AU449" s="3"/>
      <c r="AV449" s="3"/>
      <c r="AW449" s="3"/>
    </row>
    <row r="450" spans="12:49" x14ac:dyDescent="0.35">
      <c r="L450" s="3"/>
      <c r="M450" s="3"/>
      <c r="N450" s="3"/>
      <c r="O450" s="65"/>
      <c r="Q450" s="3"/>
      <c r="R450" s="3"/>
      <c r="S450" s="3"/>
      <c r="T450" s="3"/>
      <c r="V450" s="3"/>
      <c r="W450" s="3"/>
      <c r="X450" s="3"/>
      <c r="Y450" s="3"/>
      <c r="Z450" s="3"/>
      <c r="AA450" s="3"/>
      <c r="AB450" s="3"/>
      <c r="AC450" s="3"/>
      <c r="AD450" s="3"/>
      <c r="AE450" s="3"/>
      <c r="AF450" s="3"/>
      <c r="AG450" s="3"/>
      <c r="AH450" s="3"/>
      <c r="AI450" s="3"/>
      <c r="AJ450" s="3"/>
      <c r="AK450" s="3"/>
      <c r="AL450" s="3"/>
      <c r="AM450" s="3"/>
      <c r="AN450" s="3"/>
      <c r="AO450" s="3"/>
      <c r="AP450" s="3"/>
      <c r="AQ450" s="3"/>
      <c r="AR450" s="3"/>
      <c r="AS450" s="3"/>
      <c r="AT450" s="3"/>
      <c r="AU450" s="3"/>
      <c r="AV450" s="3"/>
      <c r="AW450" s="3"/>
    </row>
    <row r="451" spans="12:49" x14ac:dyDescent="0.35">
      <c r="L451" s="3"/>
      <c r="M451" s="3"/>
      <c r="N451" s="3"/>
      <c r="O451" s="65"/>
      <c r="Q451" s="3"/>
      <c r="R451" s="3"/>
      <c r="S451" s="3"/>
      <c r="T451" s="3"/>
      <c r="V451" s="3"/>
      <c r="W451" s="3"/>
      <c r="X451" s="3"/>
      <c r="Y451" s="3"/>
      <c r="Z451" s="3"/>
      <c r="AA451" s="3"/>
      <c r="AB451" s="3"/>
      <c r="AC451" s="3"/>
      <c r="AD451" s="3"/>
      <c r="AE451" s="3"/>
      <c r="AF451" s="3"/>
      <c r="AG451" s="3"/>
      <c r="AH451" s="3"/>
      <c r="AI451" s="3"/>
      <c r="AJ451" s="3"/>
      <c r="AK451" s="3"/>
      <c r="AL451" s="3"/>
      <c r="AM451" s="3"/>
      <c r="AN451" s="3"/>
      <c r="AO451" s="3"/>
      <c r="AP451" s="3"/>
      <c r="AQ451" s="3"/>
      <c r="AR451" s="3"/>
      <c r="AS451" s="3"/>
      <c r="AT451" s="3"/>
      <c r="AU451" s="3"/>
      <c r="AV451" s="3"/>
      <c r="AW451" s="3"/>
    </row>
    <row r="452" spans="12:49" x14ac:dyDescent="0.35">
      <c r="L452" s="3"/>
      <c r="M452" s="3"/>
      <c r="N452" s="3"/>
      <c r="O452" s="65"/>
      <c r="Q452" s="3"/>
      <c r="R452" s="3"/>
      <c r="S452" s="3"/>
      <c r="T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row>
    <row r="453" spans="12:49" x14ac:dyDescent="0.35">
      <c r="L453" s="3"/>
      <c r="M453" s="3"/>
      <c r="N453" s="3"/>
      <c r="O453" s="65"/>
      <c r="Q453" s="3"/>
      <c r="R453" s="3"/>
      <c r="S453" s="3"/>
      <c r="T453" s="3"/>
      <c r="V453" s="3"/>
      <c r="W453" s="3"/>
      <c r="X453" s="3"/>
      <c r="Y453" s="3"/>
      <c r="Z453" s="3"/>
      <c r="AA453" s="3"/>
      <c r="AB453" s="3"/>
      <c r="AC453" s="3"/>
      <c r="AD453" s="3"/>
      <c r="AE453" s="3"/>
      <c r="AF453" s="3"/>
      <c r="AG453" s="3"/>
      <c r="AH453" s="3"/>
      <c r="AI453" s="3"/>
      <c r="AJ453" s="3"/>
      <c r="AK453" s="3"/>
      <c r="AL453" s="3"/>
      <c r="AM453" s="3"/>
      <c r="AN453" s="3"/>
      <c r="AO453" s="3"/>
      <c r="AP453" s="3"/>
      <c r="AQ453" s="3"/>
      <c r="AR453" s="3"/>
      <c r="AS453" s="3"/>
      <c r="AT453" s="3"/>
      <c r="AU453" s="3"/>
      <c r="AV453" s="3"/>
      <c r="AW453" s="3"/>
    </row>
    <row r="454" spans="12:49" x14ac:dyDescent="0.35">
      <c r="L454" s="3"/>
      <c r="M454" s="3"/>
      <c r="N454" s="3"/>
      <c r="O454" s="65"/>
      <c r="Q454" s="3"/>
      <c r="R454" s="3"/>
      <c r="S454" s="3"/>
      <c r="T454" s="3"/>
      <c r="V454" s="3"/>
      <c r="W454" s="3"/>
      <c r="X454" s="3"/>
      <c r="Y454" s="3"/>
      <c r="Z454" s="3"/>
      <c r="AA454" s="3"/>
      <c r="AB454" s="3"/>
      <c r="AC454" s="3"/>
      <c r="AD454" s="3"/>
      <c r="AE454" s="3"/>
      <c r="AF454" s="3"/>
      <c r="AG454" s="3"/>
      <c r="AH454" s="3"/>
      <c r="AI454" s="3"/>
      <c r="AJ454" s="3"/>
      <c r="AK454" s="3"/>
      <c r="AL454" s="3"/>
      <c r="AM454" s="3"/>
      <c r="AN454" s="3"/>
      <c r="AO454" s="3"/>
      <c r="AP454" s="3"/>
      <c r="AQ454" s="3"/>
      <c r="AR454" s="3"/>
      <c r="AS454" s="3"/>
      <c r="AT454" s="3"/>
      <c r="AU454" s="3"/>
      <c r="AV454" s="3"/>
      <c r="AW454" s="3"/>
    </row>
    <row r="455" spans="12:49" x14ac:dyDescent="0.35">
      <c r="L455" s="3"/>
      <c r="M455" s="3"/>
      <c r="N455" s="3"/>
      <c r="O455" s="65"/>
      <c r="Q455" s="3"/>
      <c r="R455" s="3"/>
      <c r="S455" s="3"/>
      <c r="T455" s="3"/>
      <c r="V455" s="3"/>
      <c r="W455" s="3"/>
      <c r="X455" s="3"/>
      <c r="Y455" s="3"/>
      <c r="Z455" s="3"/>
      <c r="AA455" s="3"/>
      <c r="AB455" s="3"/>
      <c r="AC455" s="3"/>
      <c r="AD455" s="3"/>
      <c r="AE455" s="3"/>
      <c r="AF455" s="3"/>
      <c r="AG455" s="3"/>
      <c r="AH455" s="3"/>
      <c r="AI455" s="3"/>
      <c r="AJ455" s="3"/>
      <c r="AK455" s="3"/>
      <c r="AL455" s="3"/>
      <c r="AM455" s="3"/>
      <c r="AN455" s="3"/>
      <c r="AO455" s="3"/>
      <c r="AP455" s="3"/>
      <c r="AQ455" s="3"/>
      <c r="AR455" s="3"/>
      <c r="AS455" s="3"/>
      <c r="AT455" s="3"/>
      <c r="AU455" s="3"/>
      <c r="AV455" s="3"/>
      <c r="AW455" s="3"/>
    </row>
    <row r="456" spans="12:49" x14ac:dyDescent="0.35">
      <c r="L456" s="3"/>
      <c r="M456" s="3"/>
      <c r="N456" s="3"/>
      <c r="O456" s="65"/>
      <c r="Q456" s="3"/>
      <c r="R456" s="3"/>
      <c r="S456" s="3"/>
      <c r="T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row>
    <row r="457" spans="12:49" x14ac:dyDescent="0.35">
      <c r="L457" s="3"/>
      <c r="M457" s="3"/>
      <c r="N457" s="3"/>
      <c r="O457" s="65"/>
      <c r="Q457" s="3"/>
      <c r="R457" s="3"/>
      <c r="S457" s="3"/>
      <c r="T457" s="3"/>
      <c r="V457" s="3"/>
      <c r="W457" s="3"/>
      <c r="X457" s="3"/>
      <c r="Y457" s="3"/>
      <c r="Z457" s="3"/>
      <c r="AA457" s="3"/>
      <c r="AB457" s="3"/>
      <c r="AC457" s="3"/>
      <c r="AD457" s="3"/>
      <c r="AE457" s="3"/>
      <c r="AF457" s="3"/>
      <c r="AG457" s="3"/>
      <c r="AH457" s="3"/>
      <c r="AI457" s="3"/>
      <c r="AJ457" s="3"/>
      <c r="AK457" s="3"/>
      <c r="AL457" s="3"/>
      <c r="AM457" s="3"/>
      <c r="AN457" s="3"/>
      <c r="AO457" s="3"/>
      <c r="AP457" s="3"/>
      <c r="AQ457" s="3"/>
      <c r="AR457" s="3"/>
      <c r="AS457" s="3"/>
      <c r="AT457" s="3"/>
      <c r="AU457" s="3"/>
      <c r="AV457" s="3"/>
      <c r="AW457" s="3"/>
    </row>
    <row r="458" spans="12:49" x14ac:dyDescent="0.35">
      <c r="L458" s="3"/>
      <c r="M458" s="3"/>
      <c r="N458" s="3"/>
      <c r="O458" s="65"/>
      <c r="Q458" s="3"/>
      <c r="R458" s="3"/>
      <c r="S458" s="3"/>
      <c r="T458" s="3"/>
      <c r="V458" s="3"/>
      <c r="W458" s="3"/>
      <c r="X458" s="3"/>
      <c r="Y458" s="3"/>
      <c r="Z458" s="3"/>
      <c r="AA458" s="3"/>
      <c r="AB458" s="3"/>
      <c r="AC458" s="3"/>
      <c r="AD458" s="3"/>
      <c r="AE458" s="3"/>
      <c r="AF458" s="3"/>
      <c r="AG458" s="3"/>
      <c r="AH458" s="3"/>
      <c r="AI458" s="3"/>
      <c r="AJ458" s="3"/>
      <c r="AK458" s="3"/>
      <c r="AL458" s="3"/>
      <c r="AM458" s="3"/>
      <c r="AN458" s="3"/>
      <c r="AO458" s="3"/>
      <c r="AP458" s="3"/>
      <c r="AQ458" s="3"/>
      <c r="AR458" s="3"/>
      <c r="AS458" s="3"/>
      <c r="AT458" s="3"/>
      <c r="AU458" s="3"/>
      <c r="AV458" s="3"/>
      <c r="AW458" s="3"/>
    </row>
    <row r="459" spans="12:49" x14ac:dyDescent="0.35">
      <c r="L459" s="3"/>
      <c r="M459" s="3"/>
      <c r="N459" s="3"/>
      <c r="O459" s="65"/>
      <c r="Q459" s="3"/>
      <c r="R459" s="3"/>
      <c r="S459" s="3"/>
      <c r="T459" s="3"/>
      <c r="V459" s="3"/>
      <c r="W459" s="3"/>
      <c r="X459" s="3"/>
      <c r="Y459" s="3"/>
      <c r="Z459" s="3"/>
      <c r="AA459" s="3"/>
      <c r="AB459" s="3"/>
      <c r="AC459" s="3"/>
      <c r="AD459" s="3"/>
      <c r="AE459" s="3"/>
      <c r="AF459" s="3"/>
      <c r="AG459" s="3"/>
      <c r="AH459" s="3"/>
      <c r="AI459" s="3"/>
      <c r="AJ459" s="3"/>
      <c r="AK459" s="3"/>
      <c r="AL459" s="3"/>
      <c r="AM459" s="3"/>
      <c r="AN459" s="3"/>
      <c r="AO459" s="3"/>
      <c r="AP459" s="3"/>
      <c r="AQ459" s="3"/>
      <c r="AR459" s="3"/>
      <c r="AS459" s="3"/>
      <c r="AT459" s="3"/>
      <c r="AU459" s="3"/>
      <c r="AV459" s="3"/>
      <c r="AW459" s="3"/>
    </row>
    <row r="460" spans="12:49" x14ac:dyDescent="0.35">
      <c r="L460" s="3"/>
      <c r="M460" s="3"/>
      <c r="N460" s="3"/>
      <c r="O460" s="65"/>
      <c r="Q460" s="3"/>
      <c r="R460" s="3"/>
      <c r="S460" s="3"/>
      <c r="T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row>
    <row r="461" spans="12:49" x14ac:dyDescent="0.35">
      <c r="L461" s="3"/>
      <c r="M461" s="3"/>
      <c r="N461" s="3"/>
      <c r="O461" s="65"/>
      <c r="Q461" s="3"/>
      <c r="R461" s="3"/>
      <c r="S461" s="3"/>
      <c r="T461" s="3"/>
      <c r="V461" s="3"/>
      <c r="W461" s="3"/>
      <c r="X461" s="3"/>
      <c r="Y461" s="3"/>
      <c r="Z461" s="3"/>
      <c r="AA461" s="3"/>
      <c r="AB461" s="3"/>
      <c r="AC461" s="3"/>
      <c r="AD461" s="3"/>
      <c r="AE461" s="3"/>
      <c r="AF461" s="3"/>
      <c r="AG461" s="3"/>
      <c r="AH461" s="3"/>
      <c r="AI461" s="3"/>
      <c r="AJ461" s="3"/>
      <c r="AK461" s="3"/>
      <c r="AL461" s="3"/>
      <c r="AM461" s="3"/>
      <c r="AN461" s="3"/>
      <c r="AO461" s="3"/>
      <c r="AP461" s="3"/>
      <c r="AQ461" s="3"/>
      <c r="AR461" s="3"/>
      <c r="AS461" s="3"/>
      <c r="AT461" s="3"/>
      <c r="AU461" s="3"/>
      <c r="AV461" s="3"/>
      <c r="AW461" s="3"/>
    </row>
    <row r="462" spans="12:49" x14ac:dyDescent="0.35">
      <c r="L462" s="3"/>
      <c r="M462" s="3"/>
      <c r="N462" s="3"/>
      <c r="O462" s="65"/>
      <c r="Q462" s="3"/>
      <c r="R462" s="3"/>
      <c r="S462" s="3"/>
      <c r="T462" s="3"/>
      <c r="V462" s="3"/>
      <c r="W462" s="3"/>
      <c r="X462" s="3"/>
      <c r="Y462" s="3"/>
      <c r="Z462" s="3"/>
      <c r="AA462" s="3"/>
      <c r="AB462" s="3"/>
      <c r="AC462" s="3"/>
      <c r="AD462" s="3"/>
      <c r="AE462" s="3"/>
      <c r="AF462" s="3"/>
      <c r="AG462" s="3"/>
      <c r="AH462" s="3"/>
      <c r="AI462" s="3"/>
      <c r="AJ462" s="3"/>
      <c r="AK462" s="3"/>
      <c r="AL462" s="3"/>
      <c r="AM462" s="3"/>
      <c r="AN462" s="3"/>
      <c r="AO462" s="3"/>
      <c r="AP462" s="3"/>
      <c r="AQ462" s="3"/>
      <c r="AR462" s="3"/>
      <c r="AS462" s="3"/>
      <c r="AT462" s="3"/>
      <c r="AU462" s="3"/>
      <c r="AV462" s="3"/>
      <c r="AW462" s="3"/>
    </row>
    <row r="463" spans="12:49" x14ac:dyDescent="0.35">
      <c r="L463" s="3"/>
      <c r="M463" s="3"/>
      <c r="N463" s="3"/>
      <c r="O463" s="65"/>
      <c r="Q463" s="3"/>
      <c r="R463" s="3"/>
      <c r="S463" s="3"/>
      <c r="T463" s="3"/>
      <c r="V463" s="3"/>
      <c r="W463" s="3"/>
      <c r="X463" s="3"/>
      <c r="Y463" s="3"/>
      <c r="Z463" s="3"/>
      <c r="AA463" s="3"/>
      <c r="AB463" s="3"/>
      <c r="AC463" s="3"/>
      <c r="AD463" s="3"/>
      <c r="AE463" s="3"/>
      <c r="AF463" s="3"/>
      <c r="AG463" s="3"/>
      <c r="AH463" s="3"/>
      <c r="AI463" s="3"/>
      <c r="AJ463" s="3"/>
      <c r="AK463" s="3"/>
      <c r="AL463" s="3"/>
      <c r="AM463" s="3"/>
      <c r="AN463" s="3"/>
      <c r="AO463" s="3"/>
      <c r="AP463" s="3"/>
      <c r="AQ463" s="3"/>
      <c r="AR463" s="3"/>
      <c r="AS463" s="3"/>
      <c r="AT463" s="3"/>
      <c r="AU463" s="3"/>
      <c r="AV463" s="3"/>
      <c r="AW463" s="3"/>
    </row>
    <row r="464" spans="12:49" x14ac:dyDescent="0.35">
      <c r="L464" s="3"/>
      <c r="M464" s="3"/>
      <c r="N464" s="3"/>
      <c r="O464" s="65"/>
      <c r="Q464" s="3"/>
      <c r="R464" s="3"/>
      <c r="S464" s="3"/>
      <c r="T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row>
    <row r="465" spans="12:49" x14ac:dyDescent="0.35">
      <c r="L465" s="3"/>
      <c r="M465" s="3"/>
      <c r="N465" s="3"/>
      <c r="O465" s="65"/>
      <c r="Q465" s="3"/>
      <c r="R465" s="3"/>
      <c r="S465" s="3"/>
      <c r="T465" s="3"/>
      <c r="V465" s="3"/>
      <c r="W465" s="3"/>
      <c r="X465" s="3"/>
      <c r="Y465" s="3"/>
      <c r="Z465" s="3"/>
      <c r="AA465" s="3"/>
      <c r="AB465" s="3"/>
      <c r="AC465" s="3"/>
      <c r="AD465" s="3"/>
      <c r="AE465" s="3"/>
      <c r="AF465" s="3"/>
      <c r="AG465" s="3"/>
      <c r="AH465" s="3"/>
      <c r="AI465" s="3"/>
      <c r="AJ465" s="3"/>
      <c r="AK465" s="3"/>
      <c r="AL465" s="3"/>
      <c r="AM465" s="3"/>
      <c r="AN465" s="3"/>
      <c r="AO465" s="3"/>
      <c r="AP465" s="3"/>
      <c r="AQ465" s="3"/>
      <c r="AR465" s="3"/>
      <c r="AS465" s="3"/>
      <c r="AT465" s="3"/>
      <c r="AU465" s="3"/>
      <c r="AV465" s="3"/>
      <c r="AW465" s="3"/>
    </row>
    <row r="466" spans="12:49" x14ac:dyDescent="0.35">
      <c r="L466" s="3"/>
      <c r="M466" s="3"/>
      <c r="N466" s="3"/>
      <c r="O466" s="65"/>
      <c r="Q466" s="3"/>
      <c r="R466" s="3"/>
      <c r="S466" s="3"/>
      <c r="T466" s="3"/>
      <c r="V466" s="3"/>
      <c r="W466" s="3"/>
      <c r="X466" s="3"/>
      <c r="Y466" s="3"/>
      <c r="Z466" s="3"/>
      <c r="AA466" s="3"/>
      <c r="AB466" s="3"/>
      <c r="AC466" s="3"/>
      <c r="AD466" s="3"/>
      <c r="AE466" s="3"/>
      <c r="AF466" s="3"/>
      <c r="AG466" s="3"/>
      <c r="AH466" s="3"/>
      <c r="AI466" s="3"/>
      <c r="AJ466" s="3"/>
      <c r="AK466" s="3"/>
      <c r="AL466" s="3"/>
      <c r="AM466" s="3"/>
      <c r="AN466" s="3"/>
      <c r="AO466" s="3"/>
      <c r="AP466" s="3"/>
      <c r="AQ466" s="3"/>
      <c r="AR466" s="3"/>
      <c r="AS466" s="3"/>
      <c r="AT466" s="3"/>
      <c r="AU466" s="3"/>
      <c r="AV466" s="3"/>
      <c r="AW466" s="3"/>
    </row>
    <row r="467" spans="12:49" x14ac:dyDescent="0.35">
      <c r="L467" s="3"/>
      <c r="M467" s="3"/>
      <c r="N467" s="3"/>
      <c r="O467" s="65"/>
      <c r="Q467" s="3"/>
      <c r="R467" s="3"/>
      <c r="S467" s="3"/>
      <c r="T467" s="3"/>
      <c r="V467" s="3"/>
      <c r="W467" s="3"/>
      <c r="X467" s="3"/>
      <c r="Y467" s="3"/>
      <c r="Z467" s="3"/>
      <c r="AA467" s="3"/>
      <c r="AB467" s="3"/>
      <c r="AC467" s="3"/>
      <c r="AD467" s="3"/>
      <c r="AE467" s="3"/>
      <c r="AF467" s="3"/>
      <c r="AG467" s="3"/>
      <c r="AH467" s="3"/>
      <c r="AI467" s="3"/>
      <c r="AJ467" s="3"/>
      <c r="AK467" s="3"/>
      <c r="AL467" s="3"/>
      <c r="AM467" s="3"/>
      <c r="AN467" s="3"/>
      <c r="AO467" s="3"/>
      <c r="AP467" s="3"/>
      <c r="AQ467" s="3"/>
      <c r="AR467" s="3"/>
      <c r="AS467" s="3"/>
      <c r="AT467" s="3"/>
      <c r="AU467" s="3"/>
      <c r="AV467" s="3"/>
      <c r="AW467" s="3"/>
    </row>
    <row r="468" spans="12:49" x14ac:dyDescent="0.35">
      <c r="L468" s="3"/>
      <c r="M468" s="3"/>
      <c r="N468" s="3"/>
      <c r="O468" s="65"/>
      <c r="Q468" s="3"/>
      <c r="R468" s="3"/>
      <c r="S468" s="3"/>
      <c r="T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row>
    <row r="469" spans="12:49" x14ac:dyDescent="0.35">
      <c r="L469" s="3"/>
      <c r="M469" s="3"/>
      <c r="N469" s="3"/>
      <c r="O469" s="65"/>
      <c r="Q469" s="3"/>
      <c r="R469" s="3"/>
      <c r="S469" s="3"/>
      <c r="T469" s="3"/>
      <c r="V469" s="3"/>
      <c r="W469" s="3"/>
      <c r="X469" s="3"/>
      <c r="Y469" s="3"/>
      <c r="Z469" s="3"/>
      <c r="AA469" s="3"/>
      <c r="AB469" s="3"/>
      <c r="AC469" s="3"/>
      <c r="AD469" s="3"/>
      <c r="AE469" s="3"/>
      <c r="AF469" s="3"/>
      <c r="AG469" s="3"/>
      <c r="AH469" s="3"/>
      <c r="AI469" s="3"/>
      <c r="AJ469" s="3"/>
      <c r="AK469" s="3"/>
      <c r="AL469" s="3"/>
      <c r="AM469" s="3"/>
      <c r="AN469" s="3"/>
      <c r="AO469" s="3"/>
      <c r="AP469" s="3"/>
      <c r="AQ469" s="3"/>
      <c r="AR469" s="3"/>
      <c r="AS469" s="3"/>
      <c r="AT469" s="3"/>
      <c r="AU469" s="3"/>
      <c r="AV469" s="3"/>
      <c r="AW469" s="3"/>
    </row>
    <row r="470" spans="12:49" x14ac:dyDescent="0.35">
      <c r="L470" s="3"/>
      <c r="M470" s="3"/>
      <c r="N470" s="3"/>
      <c r="O470" s="65"/>
      <c r="Q470" s="3"/>
      <c r="R470" s="3"/>
      <c r="S470" s="3"/>
      <c r="T470" s="3"/>
      <c r="V470" s="3"/>
      <c r="W470" s="3"/>
      <c r="X470" s="3"/>
      <c r="Y470" s="3"/>
      <c r="Z470" s="3"/>
      <c r="AA470" s="3"/>
      <c r="AB470" s="3"/>
      <c r="AC470" s="3"/>
      <c r="AD470" s="3"/>
      <c r="AE470" s="3"/>
      <c r="AF470" s="3"/>
      <c r="AG470" s="3"/>
      <c r="AH470" s="3"/>
      <c r="AI470" s="3"/>
      <c r="AJ470" s="3"/>
      <c r="AK470" s="3"/>
      <c r="AL470" s="3"/>
      <c r="AM470" s="3"/>
      <c r="AN470" s="3"/>
      <c r="AO470" s="3"/>
      <c r="AP470" s="3"/>
      <c r="AQ470" s="3"/>
      <c r="AR470" s="3"/>
      <c r="AS470" s="3"/>
      <c r="AT470" s="3"/>
      <c r="AU470" s="3"/>
      <c r="AV470" s="3"/>
      <c r="AW470" s="3"/>
    </row>
    <row r="471" spans="12:49" x14ac:dyDescent="0.35">
      <c r="L471" s="3"/>
      <c r="M471" s="3"/>
      <c r="N471" s="3"/>
      <c r="O471" s="65"/>
      <c r="Q471" s="3"/>
      <c r="R471" s="3"/>
      <c r="S471" s="3"/>
      <c r="T471" s="3"/>
      <c r="V471" s="3"/>
      <c r="W471" s="3"/>
      <c r="X471" s="3"/>
      <c r="Y471" s="3"/>
      <c r="Z471" s="3"/>
      <c r="AA471" s="3"/>
      <c r="AB471" s="3"/>
      <c r="AC471" s="3"/>
      <c r="AD471" s="3"/>
      <c r="AE471" s="3"/>
      <c r="AF471" s="3"/>
      <c r="AG471" s="3"/>
      <c r="AH471" s="3"/>
      <c r="AI471" s="3"/>
      <c r="AJ471" s="3"/>
      <c r="AK471" s="3"/>
      <c r="AL471" s="3"/>
      <c r="AM471" s="3"/>
      <c r="AN471" s="3"/>
      <c r="AO471" s="3"/>
      <c r="AP471" s="3"/>
      <c r="AQ471" s="3"/>
      <c r="AR471" s="3"/>
      <c r="AS471" s="3"/>
      <c r="AT471" s="3"/>
      <c r="AU471" s="3"/>
      <c r="AV471" s="3"/>
      <c r="AW471" s="3"/>
    </row>
    <row r="472" spans="12:49" x14ac:dyDescent="0.35">
      <c r="L472" s="3"/>
      <c r="M472" s="3"/>
      <c r="N472" s="3"/>
      <c r="O472" s="65"/>
      <c r="Q472" s="3"/>
      <c r="R472" s="3"/>
      <c r="S472" s="3"/>
      <c r="T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row>
    <row r="473" spans="12:49" x14ac:dyDescent="0.35">
      <c r="L473" s="3"/>
      <c r="M473" s="3"/>
      <c r="N473" s="3"/>
      <c r="O473" s="65"/>
      <c r="Q473" s="3"/>
      <c r="R473" s="3"/>
      <c r="S473" s="3"/>
      <c r="T473" s="3"/>
      <c r="V473" s="3"/>
      <c r="W473" s="3"/>
      <c r="X473" s="3"/>
      <c r="Y473" s="3"/>
      <c r="Z473" s="3"/>
      <c r="AA473" s="3"/>
      <c r="AB473" s="3"/>
      <c r="AC473" s="3"/>
      <c r="AD473" s="3"/>
      <c r="AE473" s="3"/>
      <c r="AF473" s="3"/>
      <c r="AG473" s="3"/>
      <c r="AH473" s="3"/>
      <c r="AI473" s="3"/>
      <c r="AJ473" s="3"/>
      <c r="AK473" s="3"/>
      <c r="AL473" s="3"/>
      <c r="AM473" s="3"/>
      <c r="AN473" s="3"/>
      <c r="AO473" s="3"/>
      <c r="AP473" s="3"/>
      <c r="AQ473" s="3"/>
      <c r="AR473" s="3"/>
      <c r="AS473" s="3"/>
      <c r="AT473" s="3"/>
      <c r="AU473" s="3"/>
      <c r="AV473" s="3"/>
      <c r="AW473" s="3"/>
    </row>
    <row r="474" spans="12:49" x14ac:dyDescent="0.35">
      <c r="L474" s="3"/>
      <c r="M474" s="3"/>
      <c r="N474" s="3"/>
      <c r="O474" s="65"/>
      <c r="Q474" s="3"/>
      <c r="R474" s="3"/>
      <c r="S474" s="3"/>
      <c r="T474" s="3"/>
      <c r="V474" s="3"/>
      <c r="W474" s="3"/>
      <c r="X474" s="3"/>
      <c r="Y474" s="3"/>
      <c r="Z474" s="3"/>
      <c r="AA474" s="3"/>
      <c r="AB474" s="3"/>
      <c r="AC474" s="3"/>
      <c r="AD474" s="3"/>
      <c r="AE474" s="3"/>
      <c r="AF474" s="3"/>
      <c r="AG474" s="3"/>
      <c r="AH474" s="3"/>
      <c r="AI474" s="3"/>
      <c r="AJ474" s="3"/>
      <c r="AK474" s="3"/>
      <c r="AL474" s="3"/>
      <c r="AM474" s="3"/>
      <c r="AN474" s="3"/>
      <c r="AO474" s="3"/>
      <c r="AP474" s="3"/>
      <c r="AQ474" s="3"/>
      <c r="AR474" s="3"/>
      <c r="AS474" s="3"/>
      <c r="AT474" s="3"/>
      <c r="AU474" s="3"/>
      <c r="AV474" s="3"/>
      <c r="AW474" s="3"/>
    </row>
    <row r="475" spans="12:49" x14ac:dyDescent="0.35">
      <c r="L475" s="3"/>
      <c r="M475" s="3"/>
      <c r="N475" s="3"/>
      <c r="O475" s="65"/>
      <c r="Q475" s="3"/>
      <c r="R475" s="3"/>
      <c r="S475" s="3"/>
      <c r="T475" s="3"/>
      <c r="V475" s="3"/>
      <c r="W475" s="3"/>
      <c r="X475" s="3"/>
      <c r="Y475" s="3"/>
      <c r="Z475" s="3"/>
      <c r="AA475" s="3"/>
      <c r="AB475" s="3"/>
      <c r="AC475" s="3"/>
      <c r="AD475" s="3"/>
      <c r="AE475" s="3"/>
      <c r="AF475" s="3"/>
      <c r="AG475" s="3"/>
      <c r="AH475" s="3"/>
      <c r="AI475" s="3"/>
      <c r="AJ475" s="3"/>
      <c r="AK475" s="3"/>
      <c r="AL475" s="3"/>
      <c r="AM475" s="3"/>
      <c r="AN475" s="3"/>
      <c r="AO475" s="3"/>
      <c r="AP475" s="3"/>
      <c r="AQ475" s="3"/>
      <c r="AR475" s="3"/>
      <c r="AS475" s="3"/>
      <c r="AT475" s="3"/>
      <c r="AU475" s="3"/>
      <c r="AV475" s="3"/>
      <c r="AW475" s="3"/>
    </row>
    <row r="476" spans="12:49" x14ac:dyDescent="0.35">
      <c r="L476" s="3"/>
      <c r="M476" s="3"/>
      <c r="N476" s="3"/>
      <c r="O476" s="65"/>
      <c r="Q476" s="3"/>
      <c r="R476" s="3"/>
      <c r="S476" s="3"/>
      <c r="T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row>
    <row r="477" spans="12:49" x14ac:dyDescent="0.35">
      <c r="L477" s="3"/>
      <c r="M477" s="3"/>
      <c r="N477" s="3"/>
      <c r="O477" s="65"/>
      <c r="Q477" s="3"/>
      <c r="R477" s="3"/>
      <c r="S477" s="3"/>
      <c r="T477" s="3"/>
      <c r="V477" s="3"/>
      <c r="W477" s="3"/>
      <c r="X477" s="3"/>
      <c r="Y477" s="3"/>
      <c r="Z477" s="3"/>
      <c r="AA477" s="3"/>
      <c r="AB477" s="3"/>
      <c r="AC477" s="3"/>
      <c r="AD477" s="3"/>
      <c r="AE477" s="3"/>
      <c r="AF477" s="3"/>
      <c r="AG477" s="3"/>
      <c r="AH477" s="3"/>
      <c r="AI477" s="3"/>
      <c r="AJ477" s="3"/>
      <c r="AK477" s="3"/>
      <c r="AL477" s="3"/>
      <c r="AM477" s="3"/>
      <c r="AN477" s="3"/>
      <c r="AO477" s="3"/>
      <c r="AP477" s="3"/>
      <c r="AQ477" s="3"/>
      <c r="AR477" s="3"/>
      <c r="AS477" s="3"/>
      <c r="AT477" s="3"/>
      <c r="AU477" s="3"/>
      <c r="AV477" s="3"/>
      <c r="AW477" s="3"/>
    </row>
    <row r="478" spans="12:49" x14ac:dyDescent="0.35">
      <c r="L478" s="3"/>
      <c r="M478" s="3"/>
      <c r="N478" s="3"/>
      <c r="O478" s="65"/>
      <c r="Q478" s="3"/>
      <c r="R478" s="3"/>
      <c r="S478" s="3"/>
      <c r="T478" s="3"/>
      <c r="V478" s="3"/>
      <c r="W478" s="3"/>
      <c r="X478" s="3"/>
      <c r="Y478" s="3"/>
      <c r="Z478" s="3"/>
      <c r="AA478" s="3"/>
      <c r="AB478" s="3"/>
      <c r="AC478" s="3"/>
      <c r="AD478" s="3"/>
      <c r="AE478" s="3"/>
      <c r="AF478" s="3"/>
      <c r="AG478" s="3"/>
      <c r="AH478" s="3"/>
      <c r="AI478" s="3"/>
      <c r="AJ478" s="3"/>
      <c r="AK478" s="3"/>
      <c r="AL478" s="3"/>
      <c r="AM478" s="3"/>
      <c r="AN478" s="3"/>
      <c r="AO478" s="3"/>
      <c r="AP478" s="3"/>
      <c r="AQ478" s="3"/>
      <c r="AR478" s="3"/>
      <c r="AS478" s="3"/>
      <c r="AT478" s="3"/>
      <c r="AU478" s="3"/>
      <c r="AV478" s="3"/>
      <c r="AW478" s="3"/>
    </row>
    <row r="479" spans="12:49" x14ac:dyDescent="0.35">
      <c r="L479" s="3"/>
      <c r="M479" s="3"/>
      <c r="N479" s="3"/>
      <c r="O479" s="65"/>
      <c r="Q479" s="3"/>
      <c r="R479" s="3"/>
      <c r="S479" s="3"/>
      <c r="T479" s="3"/>
      <c r="V479" s="3"/>
      <c r="W479" s="3"/>
      <c r="X479" s="3"/>
      <c r="Y479" s="3"/>
      <c r="Z479" s="3"/>
      <c r="AA479" s="3"/>
      <c r="AB479" s="3"/>
      <c r="AC479" s="3"/>
      <c r="AD479" s="3"/>
      <c r="AE479" s="3"/>
      <c r="AF479" s="3"/>
      <c r="AG479" s="3"/>
      <c r="AH479" s="3"/>
      <c r="AI479" s="3"/>
      <c r="AJ479" s="3"/>
      <c r="AK479" s="3"/>
      <c r="AL479" s="3"/>
      <c r="AM479" s="3"/>
      <c r="AN479" s="3"/>
      <c r="AO479" s="3"/>
      <c r="AP479" s="3"/>
      <c r="AQ479" s="3"/>
      <c r="AR479" s="3"/>
      <c r="AS479" s="3"/>
      <c r="AT479" s="3"/>
      <c r="AU479" s="3"/>
      <c r="AV479" s="3"/>
      <c r="AW479" s="3"/>
    </row>
    <row r="480" spans="12:49" x14ac:dyDescent="0.35">
      <c r="L480" s="3"/>
      <c r="M480" s="3"/>
      <c r="N480" s="3"/>
      <c r="O480" s="65"/>
      <c r="Q480" s="3"/>
      <c r="R480" s="3"/>
      <c r="S480" s="3"/>
      <c r="T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row>
    <row r="481" spans="12:49" x14ac:dyDescent="0.35">
      <c r="L481" s="3"/>
      <c r="M481" s="3"/>
      <c r="N481" s="3"/>
      <c r="O481" s="65"/>
      <c r="Q481" s="3"/>
      <c r="R481" s="3"/>
      <c r="S481" s="3"/>
      <c r="T481" s="3"/>
      <c r="V481" s="3"/>
      <c r="W481" s="3"/>
      <c r="X481" s="3"/>
      <c r="Y481" s="3"/>
      <c r="Z481" s="3"/>
      <c r="AA481" s="3"/>
      <c r="AB481" s="3"/>
      <c r="AC481" s="3"/>
      <c r="AD481" s="3"/>
      <c r="AE481" s="3"/>
      <c r="AF481" s="3"/>
      <c r="AG481" s="3"/>
      <c r="AH481" s="3"/>
      <c r="AI481" s="3"/>
      <c r="AJ481" s="3"/>
      <c r="AK481" s="3"/>
      <c r="AL481" s="3"/>
      <c r="AM481" s="3"/>
      <c r="AN481" s="3"/>
      <c r="AO481" s="3"/>
      <c r="AP481" s="3"/>
      <c r="AQ481" s="3"/>
      <c r="AR481" s="3"/>
      <c r="AS481" s="3"/>
      <c r="AT481" s="3"/>
      <c r="AU481" s="3"/>
      <c r="AV481" s="3"/>
      <c r="AW481" s="3"/>
    </row>
    <row r="482" spans="12:49" x14ac:dyDescent="0.35">
      <c r="L482" s="3"/>
      <c r="M482" s="3"/>
      <c r="N482" s="3"/>
      <c r="O482" s="65"/>
      <c r="Q482" s="3"/>
      <c r="R482" s="3"/>
      <c r="S482" s="3"/>
      <c r="T482" s="3"/>
      <c r="V482" s="3"/>
      <c r="W482" s="3"/>
      <c r="X482" s="3"/>
      <c r="Y482" s="3"/>
      <c r="Z482" s="3"/>
      <c r="AA482" s="3"/>
      <c r="AB482" s="3"/>
      <c r="AC482" s="3"/>
      <c r="AD482" s="3"/>
      <c r="AE482" s="3"/>
      <c r="AF482" s="3"/>
      <c r="AG482" s="3"/>
      <c r="AH482" s="3"/>
      <c r="AI482" s="3"/>
      <c r="AJ482" s="3"/>
      <c r="AK482" s="3"/>
      <c r="AL482" s="3"/>
      <c r="AM482" s="3"/>
      <c r="AN482" s="3"/>
      <c r="AO482" s="3"/>
      <c r="AP482" s="3"/>
      <c r="AQ482" s="3"/>
      <c r="AR482" s="3"/>
      <c r="AS482" s="3"/>
      <c r="AT482" s="3"/>
      <c r="AU482" s="3"/>
      <c r="AV482" s="3"/>
      <c r="AW482" s="3"/>
    </row>
    <row r="483" spans="12:49" x14ac:dyDescent="0.35">
      <c r="L483" s="3"/>
      <c r="M483" s="3"/>
      <c r="N483" s="3"/>
      <c r="O483" s="65"/>
      <c r="Q483" s="3"/>
      <c r="R483" s="3"/>
      <c r="S483" s="3"/>
      <c r="T483" s="3"/>
      <c r="V483" s="3"/>
      <c r="W483" s="3"/>
      <c r="X483" s="3"/>
      <c r="Y483" s="3"/>
      <c r="Z483" s="3"/>
      <c r="AA483" s="3"/>
      <c r="AB483" s="3"/>
      <c r="AC483" s="3"/>
      <c r="AD483" s="3"/>
      <c r="AE483" s="3"/>
      <c r="AF483" s="3"/>
      <c r="AG483" s="3"/>
      <c r="AH483" s="3"/>
      <c r="AI483" s="3"/>
      <c r="AJ483" s="3"/>
      <c r="AK483" s="3"/>
      <c r="AL483" s="3"/>
      <c r="AM483" s="3"/>
      <c r="AN483" s="3"/>
      <c r="AO483" s="3"/>
      <c r="AP483" s="3"/>
      <c r="AQ483" s="3"/>
      <c r="AR483" s="3"/>
      <c r="AS483" s="3"/>
      <c r="AT483" s="3"/>
      <c r="AU483" s="3"/>
      <c r="AV483" s="3"/>
      <c r="AW483" s="3"/>
    </row>
    <row r="484" spans="12:49" x14ac:dyDescent="0.35">
      <c r="L484" s="3"/>
      <c r="M484" s="3"/>
      <c r="N484" s="3"/>
      <c r="O484" s="65"/>
      <c r="Q484" s="3"/>
      <c r="R484" s="3"/>
      <c r="S484" s="3"/>
      <c r="T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row>
    <row r="485" spans="12:49" x14ac:dyDescent="0.35">
      <c r="L485" s="3"/>
      <c r="M485" s="3"/>
      <c r="N485" s="3"/>
      <c r="O485" s="65"/>
      <c r="Q485" s="3"/>
      <c r="R485" s="3"/>
      <c r="S485" s="3"/>
      <c r="T485" s="3"/>
      <c r="V485" s="3"/>
      <c r="W485" s="3"/>
      <c r="X485" s="3"/>
      <c r="Y485" s="3"/>
      <c r="Z485" s="3"/>
      <c r="AA485" s="3"/>
      <c r="AB485" s="3"/>
      <c r="AC485" s="3"/>
      <c r="AD485" s="3"/>
      <c r="AE485" s="3"/>
      <c r="AF485" s="3"/>
      <c r="AG485" s="3"/>
      <c r="AH485" s="3"/>
      <c r="AI485" s="3"/>
      <c r="AJ485" s="3"/>
      <c r="AK485" s="3"/>
      <c r="AL485" s="3"/>
      <c r="AM485" s="3"/>
      <c r="AN485" s="3"/>
      <c r="AO485" s="3"/>
      <c r="AP485" s="3"/>
      <c r="AQ485" s="3"/>
      <c r="AR485" s="3"/>
      <c r="AS485" s="3"/>
      <c r="AT485" s="3"/>
      <c r="AU485" s="3"/>
      <c r="AV485" s="3"/>
      <c r="AW485" s="3"/>
    </row>
    <row r="486" spans="12:49" x14ac:dyDescent="0.35">
      <c r="L486" s="3"/>
      <c r="M486" s="3"/>
      <c r="N486" s="3"/>
      <c r="O486" s="65"/>
      <c r="Q486" s="3"/>
      <c r="R486" s="3"/>
      <c r="S486" s="3"/>
      <c r="T486" s="3"/>
      <c r="V486" s="3"/>
      <c r="W486" s="3"/>
      <c r="X486" s="3"/>
      <c r="Y486" s="3"/>
      <c r="Z486" s="3"/>
      <c r="AA486" s="3"/>
      <c r="AB486" s="3"/>
      <c r="AC486" s="3"/>
      <c r="AD486" s="3"/>
      <c r="AE486" s="3"/>
      <c r="AF486" s="3"/>
      <c r="AG486" s="3"/>
      <c r="AH486" s="3"/>
      <c r="AI486" s="3"/>
      <c r="AJ486" s="3"/>
      <c r="AK486" s="3"/>
      <c r="AL486" s="3"/>
      <c r="AM486" s="3"/>
      <c r="AN486" s="3"/>
      <c r="AO486" s="3"/>
      <c r="AP486" s="3"/>
      <c r="AQ486" s="3"/>
      <c r="AR486" s="3"/>
      <c r="AS486" s="3"/>
      <c r="AT486" s="3"/>
      <c r="AU486" s="3"/>
      <c r="AV486" s="3"/>
      <c r="AW486" s="3"/>
    </row>
    <row r="487" spans="12:49" x14ac:dyDescent="0.35">
      <c r="L487" s="3"/>
      <c r="M487" s="3"/>
      <c r="N487" s="3"/>
      <c r="O487" s="65"/>
      <c r="Q487" s="3"/>
      <c r="R487" s="3"/>
      <c r="S487" s="3"/>
      <c r="T487" s="3"/>
      <c r="V487" s="3"/>
      <c r="W487" s="3"/>
      <c r="X487" s="3"/>
      <c r="Y487" s="3"/>
      <c r="Z487" s="3"/>
      <c r="AA487" s="3"/>
      <c r="AB487" s="3"/>
      <c r="AC487" s="3"/>
      <c r="AD487" s="3"/>
      <c r="AE487" s="3"/>
      <c r="AF487" s="3"/>
      <c r="AG487" s="3"/>
      <c r="AH487" s="3"/>
      <c r="AI487" s="3"/>
      <c r="AJ487" s="3"/>
      <c r="AK487" s="3"/>
      <c r="AL487" s="3"/>
      <c r="AM487" s="3"/>
      <c r="AN487" s="3"/>
      <c r="AO487" s="3"/>
      <c r="AP487" s="3"/>
      <c r="AQ487" s="3"/>
      <c r="AR487" s="3"/>
      <c r="AS487" s="3"/>
      <c r="AT487" s="3"/>
      <c r="AU487" s="3"/>
      <c r="AV487" s="3"/>
      <c r="AW487" s="3"/>
    </row>
    <row r="488" spans="12:49" x14ac:dyDescent="0.35">
      <c r="L488" s="3"/>
      <c r="M488" s="3"/>
      <c r="N488" s="3"/>
      <c r="O488" s="65"/>
      <c r="Q488" s="3"/>
      <c r="R488" s="3"/>
      <c r="S488" s="3"/>
      <c r="T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row>
    <row r="489" spans="12:49" x14ac:dyDescent="0.35">
      <c r="L489" s="3"/>
      <c r="M489" s="3"/>
      <c r="N489" s="3"/>
      <c r="O489" s="65"/>
      <c r="Q489" s="3"/>
      <c r="R489" s="3"/>
      <c r="S489" s="3"/>
      <c r="T489" s="3"/>
      <c r="V489" s="3"/>
      <c r="W489" s="3"/>
      <c r="X489" s="3"/>
      <c r="Y489" s="3"/>
      <c r="Z489" s="3"/>
      <c r="AA489" s="3"/>
      <c r="AB489" s="3"/>
      <c r="AC489" s="3"/>
      <c r="AD489" s="3"/>
      <c r="AE489" s="3"/>
      <c r="AF489" s="3"/>
      <c r="AG489" s="3"/>
      <c r="AH489" s="3"/>
      <c r="AI489" s="3"/>
      <c r="AJ489" s="3"/>
      <c r="AK489" s="3"/>
      <c r="AL489" s="3"/>
      <c r="AM489" s="3"/>
      <c r="AN489" s="3"/>
      <c r="AO489" s="3"/>
      <c r="AP489" s="3"/>
      <c r="AQ489" s="3"/>
      <c r="AR489" s="3"/>
      <c r="AS489" s="3"/>
      <c r="AT489" s="3"/>
      <c r="AU489" s="3"/>
      <c r="AV489" s="3"/>
      <c r="AW489" s="3"/>
    </row>
    <row r="490" spans="12:49" x14ac:dyDescent="0.35">
      <c r="L490" s="3"/>
      <c r="M490" s="3"/>
      <c r="N490" s="3"/>
      <c r="O490" s="65"/>
      <c r="Q490" s="3"/>
      <c r="R490" s="3"/>
      <c r="S490" s="3"/>
      <c r="T490" s="3"/>
      <c r="V490" s="3"/>
      <c r="W490" s="3"/>
      <c r="X490" s="3"/>
      <c r="Y490" s="3"/>
      <c r="Z490" s="3"/>
      <c r="AA490" s="3"/>
      <c r="AB490" s="3"/>
      <c r="AC490" s="3"/>
      <c r="AD490" s="3"/>
      <c r="AE490" s="3"/>
      <c r="AF490" s="3"/>
      <c r="AG490" s="3"/>
      <c r="AH490" s="3"/>
      <c r="AI490" s="3"/>
      <c r="AJ490" s="3"/>
      <c r="AK490" s="3"/>
      <c r="AL490" s="3"/>
      <c r="AM490" s="3"/>
      <c r="AN490" s="3"/>
      <c r="AO490" s="3"/>
      <c r="AP490" s="3"/>
      <c r="AQ490" s="3"/>
      <c r="AR490" s="3"/>
      <c r="AS490" s="3"/>
      <c r="AT490" s="3"/>
      <c r="AU490" s="3"/>
      <c r="AV490" s="3"/>
      <c r="AW490" s="3"/>
    </row>
    <row r="491" spans="12:49" x14ac:dyDescent="0.35">
      <c r="L491" s="3"/>
      <c r="M491" s="3"/>
      <c r="N491" s="3"/>
      <c r="O491" s="65"/>
      <c r="Q491" s="3"/>
      <c r="R491" s="3"/>
      <c r="S491" s="3"/>
      <c r="T491" s="3"/>
      <c r="V491" s="3"/>
      <c r="W491" s="3"/>
      <c r="X491" s="3"/>
      <c r="Y491" s="3"/>
      <c r="Z491" s="3"/>
      <c r="AA491" s="3"/>
      <c r="AB491" s="3"/>
      <c r="AC491" s="3"/>
      <c r="AD491" s="3"/>
      <c r="AE491" s="3"/>
      <c r="AF491" s="3"/>
      <c r="AG491" s="3"/>
      <c r="AH491" s="3"/>
      <c r="AI491" s="3"/>
      <c r="AJ491" s="3"/>
      <c r="AK491" s="3"/>
      <c r="AL491" s="3"/>
      <c r="AM491" s="3"/>
      <c r="AN491" s="3"/>
      <c r="AO491" s="3"/>
      <c r="AP491" s="3"/>
      <c r="AQ491" s="3"/>
      <c r="AR491" s="3"/>
      <c r="AS491" s="3"/>
      <c r="AT491" s="3"/>
      <c r="AU491" s="3"/>
      <c r="AV491" s="3"/>
      <c r="AW491" s="3"/>
    </row>
    <row r="492" spans="12:49" x14ac:dyDescent="0.35">
      <c r="L492" s="3"/>
      <c r="M492" s="3"/>
      <c r="N492" s="3"/>
      <c r="O492" s="65"/>
      <c r="Q492" s="3"/>
      <c r="R492" s="3"/>
      <c r="S492" s="3"/>
      <c r="T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row>
    <row r="493" spans="12:49" x14ac:dyDescent="0.35">
      <c r="L493" s="3"/>
      <c r="M493" s="3"/>
      <c r="N493" s="3"/>
      <c r="O493" s="65"/>
      <c r="Q493" s="3"/>
      <c r="R493" s="3"/>
      <c r="S493" s="3"/>
      <c r="T493" s="3"/>
      <c r="V493" s="3"/>
      <c r="W493" s="3"/>
      <c r="X493" s="3"/>
      <c r="Y493" s="3"/>
      <c r="Z493" s="3"/>
      <c r="AA493" s="3"/>
      <c r="AB493" s="3"/>
      <c r="AC493" s="3"/>
      <c r="AD493" s="3"/>
      <c r="AE493" s="3"/>
      <c r="AF493" s="3"/>
      <c r="AG493" s="3"/>
      <c r="AH493" s="3"/>
      <c r="AI493" s="3"/>
      <c r="AJ493" s="3"/>
      <c r="AK493" s="3"/>
      <c r="AL493" s="3"/>
      <c r="AM493" s="3"/>
      <c r="AN493" s="3"/>
      <c r="AO493" s="3"/>
      <c r="AP493" s="3"/>
      <c r="AQ493" s="3"/>
      <c r="AR493" s="3"/>
      <c r="AS493" s="3"/>
      <c r="AT493" s="3"/>
      <c r="AU493" s="3"/>
      <c r="AV493" s="3"/>
      <c r="AW493" s="3"/>
    </row>
    <row r="494" spans="12:49" x14ac:dyDescent="0.35">
      <c r="L494" s="3"/>
      <c r="M494" s="3"/>
      <c r="N494" s="3"/>
      <c r="O494" s="65"/>
      <c r="Q494" s="3"/>
      <c r="R494" s="3"/>
      <c r="S494" s="3"/>
      <c r="T494" s="3"/>
      <c r="V494" s="3"/>
      <c r="W494" s="3"/>
      <c r="X494" s="3"/>
      <c r="Y494" s="3"/>
      <c r="Z494" s="3"/>
      <c r="AA494" s="3"/>
      <c r="AB494" s="3"/>
      <c r="AC494" s="3"/>
      <c r="AD494" s="3"/>
      <c r="AE494" s="3"/>
      <c r="AF494" s="3"/>
      <c r="AG494" s="3"/>
      <c r="AH494" s="3"/>
      <c r="AI494" s="3"/>
      <c r="AJ494" s="3"/>
      <c r="AK494" s="3"/>
      <c r="AL494" s="3"/>
      <c r="AM494" s="3"/>
      <c r="AN494" s="3"/>
      <c r="AO494" s="3"/>
      <c r="AP494" s="3"/>
      <c r="AQ494" s="3"/>
      <c r="AR494" s="3"/>
      <c r="AS494" s="3"/>
      <c r="AT494" s="3"/>
      <c r="AU494" s="3"/>
      <c r="AV494" s="3"/>
      <c r="AW494" s="3"/>
    </row>
    <row r="495" spans="12:49" x14ac:dyDescent="0.35">
      <c r="L495" s="3"/>
      <c r="M495" s="3"/>
      <c r="N495" s="3"/>
      <c r="O495" s="65"/>
      <c r="Q495" s="3"/>
      <c r="R495" s="3"/>
      <c r="S495" s="3"/>
      <c r="T495" s="3"/>
      <c r="V495" s="3"/>
      <c r="W495" s="3"/>
      <c r="X495" s="3"/>
      <c r="Y495" s="3"/>
      <c r="Z495" s="3"/>
      <c r="AA495" s="3"/>
      <c r="AB495" s="3"/>
      <c r="AC495" s="3"/>
      <c r="AD495" s="3"/>
      <c r="AE495" s="3"/>
      <c r="AF495" s="3"/>
      <c r="AG495" s="3"/>
      <c r="AH495" s="3"/>
      <c r="AI495" s="3"/>
      <c r="AJ495" s="3"/>
      <c r="AK495" s="3"/>
      <c r="AL495" s="3"/>
      <c r="AM495" s="3"/>
      <c r="AN495" s="3"/>
      <c r="AO495" s="3"/>
      <c r="AP495" s="3"/>
      <c r="AQ495" s="3"/>
      <c r="AR495" s="3"/>
      <c r="AS495" s="3"/>
      <c r="AT495" s="3"/>
      <c r="AU495" s="3"/>
      <c r="AV495" s="3"/>
      <c r="AW495" s="3"/>
    </row>
    <row r="496" spans="12:49" x14ac:dyDescent="0.35">
      <c r="L496" s="3"/>
      <c r="M496" s="3"/>
      <c r="N496" s="3"/>
      <c r="O496" s="65"/>
      <c r="Q496" s="3"/>
      <c r="R496" s="3"/>
      <c r="S496" s="3"/>
      <c r="T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row>
    <row r="497" spans="12:49" x14ac:dyDescent="0.35">
      <c r="L497" s="3"/>
      <c r="M497" s="3"/>
      <c r="N497" s="3"/>
      <c r="O497" s="65"/>
      <c r="Q497" s="3"/>
      <c r="R497" s="3"/>
      <c r="S497" s="3"/>
      <c r="T497" s="3"/>
      <c r="V497" s="3"/>
      <c r="W497" s="3"/>
      <c r="X497" s="3"/>
      <c r="Y497" s="3"/>
      <c r="Z497" s="3"/>
      <c r="AA497" s="3"/>
      <c r="AB497" s="3"/>
      <c r="AC497" s="3"/>
      <c r="AD497" s="3"/>
      <c r="AE497" s="3"/>
      <c r="AF497" s="3"/>
      <c r="AG497" s="3"/>
      <c r="AH497" s="3"/>
      <c r="AI497" s="3"/>
      <c r="AJ497" s="3"/>
      <c r="AK497" s="3"/>
      <c r="AL497" s="3"/>
      <c r="AM497" s="3"/>
      <c r="AN497" s="3"/>
      <c r="AO497" s="3"/>
      <c r="AP497" s="3"/>
      <c r="AQ497" s="3"/>
      <c r="AR497" s="3"/>
      <c r="AS497" s="3"/>
      <c r="AT497" s="3"/>
      <c r="AU497" s="3"/>
      <c r="AV497" s="3"/>
      <c r="AW497" s="3"/>
    </row>
    <row r="498" spans="12:49" x14ac:dyDescent="0.35">
      <c r="L498" s="3"/>
      <c r="M498" s="3"/>
      <c r="N498" s="3"/>
      <c r="O498" s="65"/>
      <c r="Q498" s="3"/>
      <c r="R498" s="3"/>
      <c r="S498" s="3"/>
      <c r="T498" s="3"/>
      <c r="V498" s="3"/>
      <c r="W498" s="3"/>
      <c r="X498" s="3"/>
      <c r="Y498" s="3"/>
      <c r="Z498" s="3"/>
      <c r="AA498" s="3"/>
      <c r="AB498" s="3"/>
      <c r="AC498" s="3"/>
      <c r="AD498" s="3"/>
      <c r="AE498" s="3"/>
      <c r="AF498" s="3"/>
      <c r="AG498" s="3"/>
      <c r="AH498" s="3"/>
      <c r="AI498" s="3"/>
      <c r="AJ498" s="3"/>
      <c r="AK498" s="3"/>
      <c r="AL498" s="3"/>
      <c r="AM498" s="3"/>
      <c r="AN498" s="3"/>
      <c r="AO498" s="3"/>
      <c r="AP498" s="3"/>
      <c r="AQ498" s="3"/>
      <c r="AR498" s="3"/>
      <c r="AS498" s="3"/>
      <c r="AT498" s="3"/>
      <c r="AU498" s="3"/>
      <c r="AV498" s="3"/>
      <c r="AW498" s="3"/>
    </row>
    <row r="499" spans="12:49" x14ac:dyDescent="0.35">
      <c r="L499" s="3"/>
      <c r="M499" s="3"/>
      <c r="N499" s="3"/>
      <c r="O499" s="65"/>
      <c r="Q499" s="3"/>
      <c r="R499" s="3"/>
      <c r="S499" s="3"/>
      <c r="T499" s="3"/>
      <c r="V499" s="3"/>
      <c r="W499" s="3"/>
      <c r="X499" s="3"/>
      <c r="Y499" s="3"/>
      <c r="Z499" s="3"/>
      <c r="AA499" s="3"/>
      <c r="AB499" s="3"/>
      <c r="AC499" s="3"/>
      <c r="AD499" s="3"/>
      <c r="AE499" s="3"/>
      <c r="AF499" s="3"/>
      <c r="AG499" s="3"/>
      <c r="AH499" s="3"/>
      <c r="AI499" s="3"/>
      <c r="AJ499" s="3"/>
      <c r="AK499" s="3"/>
      <c r="AL499" s="3"/>
      <c r="AM499" s="3"/>
      <c r="AN499" s="3"/>
      <c r="AO499" s="3"/>
      <c r="AP499" s="3"/>
      <c r="AQ499" s="3"/>
      <c r="AR499" s="3"/>
      <c r="AS499" s="3"/>
      <c r="AT499" s="3"/>
      <c r="AU499" s="3"/>
      <c r="AV499" s="3"/>
      <c r="AW499" s="3"/>
    </row>
    <row r="500" spans="12:49" x14ac:dyDescent="0.35">
      <c r="L500" s="3"/>
      <c r="M500" s="3"/>
      <c r="N500" s="3"/>
      <c r="O500" s="65"/>
      <c r="Q500" s="3"/>
      <c r="R500" s="3"/>
      <c r="S500" s="3"/>
      <c r="T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row>
    <row r="501" spans="12:49" x14ac:dyDescent="0.35">
      <c r="L501" s="3"/>
      <c r="M501" s="3"/>
      <c r="N501" s="3"/>
      <c r="O501" s="65"/>
      <c r="Q501" s="3"/>
      <c r="R501" s="3"/>
      <c r="S501" s="3"/>
      <c r="T501" s="3"/>
      <c r="V501" s="3"/>
      <c r="W501" s="3"/>
      <c r="X501" s="3"/>
      <c r="Y501" s="3"/>
      <c r="Z501" s="3"/>
      <c r="AA501" s="3"/>
      <c r="AB501" s="3"/>
      <c r="AC501" s="3"/>
      <c r="AD501" s="3"/>
      <c r="AE501" s="3"/>
      <c r="AF501" s="3"/>
      <c r="AG501" s="3"/>
      <c r="AH501" s="3"/>
      <c r="AI501" s="3"/>
      <c r="AJ501" s="3"/>
      <c r="AK501" s="3"/>
      <c r="AL501" s="3"/>
      <c r="AM501" s="3"/>
      <c r="AN501" s="3"/>
      <c r="AO501" s="3"/>
      <c r="AP501" s="3"/>
      <c r="AQ501" s="3"/>
      <c r="AR501" s="3"/>
      <c r="AS501" s="3"/>
      <c r="AT501" s="3"/>
      <c r="AU501" s="3"/>
      <c r="AV501" s="3"/>
      <c r="AW501" s="3"/>
    </row>
    <row r="502" spans="12:49" x14ac:dyDescent="0.35">
      <c r="L502" s="3"/>
      <c r="M502" s="3"/>
      <c r="N502" s="3"/>
      <c r="O502" s="65"/>
      <c r="Q502" s="3"/>
      <c r="R502" s="3"/>
      <c r="S502" s="3"/>
      <c r="T502" s="3"/>
      <c r="V502" s="3"/>
      <c r="W502" s="3"/>
      <c r="X502" s="3"/>
      <c r="Y502" s="3"/>
      <c r="Z502" s="3"/>
      <c r="AA502" s="3"/>
      <c r="AB502" s="3"/>
      <c r="AC502" s="3"/>
      <c r="AD502" s="3"/>
      <c r="AE502" s="3"/>
      <c r="AF502" s="3"/>
      <c r="AG502" s="3"/>
      <c r="AH502" s="3"/>
      <c r="AI502" s="3"/>
      <c r="AJ502" s="3"/>
      <c r="AK502" s="3"/>
      <c r="AL502" s="3"/>
      <c r="AM502" s="3"/>
      <c r="AN502" s="3"/>
      <c r="AO502" s="3"/>
      <c r="AP502" s="3"/>
      <c r="AQ502" s="3"/>
      <c r="AR502" s="3"/>
      <c r="AS502" s="3"/>
      <c r="AT502" s="3"/>
      <c r="AU502" s="3"/>
      <c r="AV502" s="3"/>
      <c r="AW502" s="3"/>
    </row>
    <row r="503" spans="12:49" x14ac:dyDescent="0.35">
      <c r="L503" s="3"/>
      <c r="M503" s="3"/>
      <c r="N503" s="3"/>
      <c r="O503" s="65"/>
      <c r="Q503" s="3"/>
      <c r="R503" s="3"/>
      <c r="S503" s="3"/>
      <c r="T503" s="3"/>
      <c r="V503" s="3"/>
      <c r="W503" s="3"/>
      <c r="X503" s="3"/>
      <c r="Y503" s="3"/>
      <c r="Z503" s="3"/>
      <c r="AA503" s="3"/>
      <c r="AB503" s="3"/>
      <c r="AC503" s="3"/>
      <c r="AD503" s="3"/>
      <c r="AE503" s="3"/>
      <c r="AF503" s="3"/>
      <c r="AG503" s="3"/>
      <c r="AH503" s="3"/>
      <c r="AI503" s="3"/>
      <c r="AJ503" s="3"/>
      <c r="AK503" s="3"/>
      <c r="AL503" s="3"/>
      <c r="AM503" s="3"/>
      <c r="AN503" s="3"/>
      <c r="AO503" s="3"/>
      <c r="AP503" s="3"/>
      <c r="AQ503" s="3"/>
      <c r="AR503" s="3"/>
      <c r="AS503" s="3"/>
      <c r="AT503" s="3"/>
      <c r="AU503" s="3"/>
      <c r="AV503" s="3"/>
      <c r="AW503" s="3"/>
    </row>
    <row r="504" spans="12:49" x14ac:dyDescent="0.35">
      <c r="L504" s="3"/>
      <c r="M504" s="3"/>
      <c r="N504" s="3"/>
      <c r="O504" s="65"/>
      <c r="Q504" s="3"/>
      <c r="R504" s="3"/>
      <c r="S504" s="3"/>
      <c r="T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row>
    <row r="505" spans="12:49" x14ac:dyDescent="0.35">
      <c r="L505" s="3"/>
      <c r="M505" s="3"/>
      <c r="N505" s="3"/>
      <c r="O505" s="65"/>
      <c r="Q505" s="3"/>
      <c r="R505" s="3"/>
      <c r="S505" s="3"/>
      <c r="T505" s="3"/>
      <c r="V505" s="3"/>
      <c r="W505" s="3"/>
      <c r="X505" s="3"/>
      <c r="Y505" s="3"/>
      <c r="Z505" s="3"/>
      <c r="AA505" s="3"/>
      <c r="AB505" s="3"/>
      <c r="AC505" s="3"/>
      <c r="AD505" s="3"/>
      <c r="AE505" s="3"/>
      <c r="AF505" s="3"/>
      <c r="AG505" s="3"/>
      <c r="AH505" s="3"/>
      <c r="AI505" s="3"/>
      <c r="AJ505" s="3"/>
      <c r="AK505" s="3"/>
      <c r="AL505" s="3"/>
      <c r="AM505" s="3"/>
      <c r="AN505" s="3"/>
      <c r="AO505" s="3"/>
      <c r="AP505" s="3"/>
      <c r="AQ505" s="3"/>
      <c r="AR505" s="3"/>
      <c r="AS505" s="3"/>
      <c r="AT505" s="3"/>
      <c r="AU505" s="3"/>
      <c r="AV505" s="3"/>
      <c r="AW505" s="3"/>
    </row>
    <row r="506" spans="12:49" x14ac:dyDescent="0.35">
      <c r="L506" s="3"/>
      <c r="M506" s="3"/>
      <c r="N506" s="3"/>
      <c r="O506" s="65"/>
      <c r="Q506" s="3"/>
      <c r="R506" s="3"/>
      <c r="S506" s="3"/>
      <c r="T506" s="3"/>
      <c r="V506" s="3"/>
      <c r="W506" s="3"/>
      <c r="X506" s="3"/>
      <c r="Y506" s="3"/>
      <c r="Z506" s="3"/>
      <c r="AA506" s="3"/>
      <c r="AB506" s="3"/>
      <c r="AC506" s="3"/>
      <c r="AD506" s="3"/>
      <c r="AE506" s="3"/>
      <c r="AF506" s="3"/>
      <c r="AG506" s="3"/>
      <c r="AH506" s="3"/>
      <c r="AI506" s="3"/>
      <c r="AJ506" s="3"/>
      <c r="AK506" s="3"/>
      <c r="AL506" s="3"/>
      <c r="AM506" s="3"/>
      <c r="AN506" s="3"/>
      <c r="AO506" s="3"/>
      <c r="AP506" s="3"/>
      <c r="AQ506" s="3"/>
      <c r="AR506" s="3"/>
      <c r="AS506" s="3"/>
      <c r="AT506" s="3"/>
      <c r="AU506" s="3"/>
      <c r="AV506" s="3"/>
      <c r="AW506" s="3"/>
    </row>
    <row r="507" spans="12:49" x14ac:dyDescent="0.35">
      <c r="L507" s="3"/>
      <c r="M507" s="3"/>
      <c r="N507" s="3"/>
      <c r="O507" s="65"/>
      <c r="Q507" s="3"/>
      <c r="R507" s="3"/>
      <c r="S507" s="3"/>
      <c r="T507" s="3"/>
      <c r="V507" s="3"/>
      <c r="W507" s="3"/>
      <c r="X507" s="3"/>
      <c r="Y507" s="3"/>
      <c r="Z507" s="3"/>
      <c r="AA507" s="3"/>
      <c r="AB507" s="3"/>
      <c r="AC507" s="3"/>
      <c r="AD507" s="3"/>
      <c r="AE507" s="3"/>
      <c r="AF507" s="3"/>
      <c r="AG507" s="3"/>
      <c r="AH507" s="3"/>
      <c r="AI507" s="3"/>
      <c r="AJ507" s="3"/>
      <c r="AK507" s="3"/>
      <c r="AL507" s="3"/>
      <c r="AM507" s="3"/>
      <c r="AN507" s="3"/>
      <c r="AO507" s="3"/>
      <c r="AP507" s="3"/>
      <c r="AQ507" s="3"/>
      <c r="AR507" s="3"/>
      <c r="AS507" s="3"/>
      <c r="AT507" s="3"/>
      <c r="AU507" s="3"/>
      <c r="AV507" s="3"/>
      <c r="AW507" s="3"/>
    </row>
    <row r="508" spans="12:49" x14ac:dyDescent="0.35">
      <c r="L508" s="3"/>
      <c r="M508" s="3"/>
      <c r="N508" s="3"/>
      <c r="O508" s="65"/>
      <c r="Q508" s="3"/>
      <c r="R508" s="3"/>
      <c r="S508" s="3"/>
      <c r="T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row>
    <row r="509" spans="12:49" x14ac:dyDescent="0.35">
      <c r="L509" s="3"/>
      <c r="M509" s="3"/>
      <c r="N509" s="3"/>
      <c r="O509" s="65"/>
      <c r="Q509" s="3"/>
      <c r="R509" s="3"/>
      <c r="S509" s="3"/>
      <c r="T509" s="3"/>
      <c r="V509" s="3"/>
      <c r="W509" s="3"/>
      <c r="X509" s="3"/>
      <c r="Y509" s="3"/>
      <c r="Z509" s="3"/>
      <c r="AA509" s="3"/>
      <c r="AB509" s="3"/>
      <c r="AC509" s="3"/>
      <c r="AD509" s="3"/>
      <c r="AE509" s="3"/>
      <c r="AF509" s="3"/>
      <c r="AG509" s="3"/>
      <c r="AH509" s="3"/>
      <c r="AI509" s="3"/>
      <c r="AJ509" s="3"/>
      <c r="AK509" s="3"/>
      <c r="AL509" s="3"/>
      <c r="AM509" s="3"/>
      <c r="AN509" s="3"/>
      <c r="AO509" s="3"/>
      <c r="AP509" s="3"/>
      <c r="AQ509" s="3"/>
      <c r="AR509" s="3"/>
      <c r="AS509" s="3"/>
      <c r="AT509" s="3"/>
      <c r="AU509" s="3"/>
      <c r="AV509" s="3"/>
      <c r="AW509" s="3"/>
    </row>
    <row r="510" spans="12:49" x14ac:dyDescent="0.35">
      <c r="L510" s="3"/>
      <c r="M510" s="3"/>
      <c r="N510" s="3"/>
      <c r="O510" s="65"/>
      <c r="Q510" s="3"/>
      <c r="R510" s="3"/>
      <c r="S510" s="3"/>
      <c r="T510" s="3"/>
      <c r="V510" s="3"/>
      <c r="W510" s="3"/>
      <c r="X510" s="3"/>
      <c r="Y510" s="3"/>
      <c r="Z510" s="3"/>
      <c r="AA510" s="3"/>
      <c r="AB510" s="3"/>
      <c r="AC510" s="3"/>
      <c r="AD510" s="3"/>
      <c r="AE510" s="3"/>
      <c r="AF510" s="3"/>
      <c r="AG510" s="3"/>
      <c r="AH510" s="3"/>
      <c r="AI510" s="3"/>
      <c r="AJ510" s="3"/>
      <c r="AK510" s="3"/>
      <c r="AL510" s="3"/>
      <c r="AM510" s="3"/>
      <c r="AN510" s="3"/>
      <c r="AO510" s="3"/>
      <c r="AP510" s="3"/>
      <c r="AQ510" s="3"/>
      <c r="AR510" s="3"/>
      <c r="AS510" s="3"/>
      <c r="AT510" s="3"/>
      <c r="AU510" s="3"/>
      <c r="AV510" s="3"/>
      <c r="AW510" s="3"/>
    </row>
    <row r="511" spans="12:49" x14ac:dyDescent="0.35">
      <c r="L511" s="3"/>
      <c r="M511" s="3"/>
      <c r="N511" s="3"/>
      <c r="O511" s="65"/>
      <c r="Q511" s="3"/>
      <c r="R511" s="3"/>
      <c r="S511" s="3"/>
      <c r="T511" s="3"/>
      <c r="V511" s="3"/>
      <c r="W511" s="3"/>
      <c r="X511" s="3"/>
      <c r="Y511" s="3"/>
      <c r="Z511" s="3"/>
      <c r="AA511" s="3"/>
      <c r="AB511" s="3"/>
      <c r="AC511" s="3"/>
      <c r="AD511" s="3"/>
      <c r="AE511" s="3"/>
      <c r="AF511" s="3"/>
      <c r="AG511" s="3"/>
      <c r="AH511" s="3"/>
      <c r="AI511" s="3"/>
      <c r="AJ511" s="3"/>
      <c r="AK511" s="3"/>
      <c r="AL511" s="3"/>
      <c r="AM511" s="3"/>
      <c r="AN511" s="3"/>
      <c r="AO511" s="3"/>
      <c r="AP511" s="3"/>
      <c r="AQ511" s="3"/>
      <c r="AR511" s="3"/>
      <c r="AS511" s="3"/>
      <c r="AT511" s="3"/>
      <c r="AU511" s="3"/>
      <c r="AV511" s="3"/>
      <c r="AW511" s="3"/>
    </row>
    <row r="512" spans="12:49" x14ac:dyDescent="0.35">
      <c r="L512" s="3"/>
      <c r="M512" s="3"/>
      <c r="N512" s="3"/>
      <c r="O512" s="65"/>
      <c r="Q512" s="3"/>
      <c r="R512" s="3"/>
      <c r="S512" s="3"/>
      <c r="T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row>
    <row r="513" spans="12:49" x14ac:dyDescent="0.35">
      <c r="L513" s="3"/>
      <c r="M513" s="3"/>
      <c r="N513" s="3"/>
      <c r="O513" s="65"/>
      <c r="Q513" s="3"/>
      <c r="R513" s="3"/>
      <c r="S513" s="3"/>
      <c r="T513" s="3"/>
      <c r="V513" s="3"/>
      <c r="W513" s="3"/>
      <c r="X513" s="3"/>
      <c r="Y513" s="3"/>
      <c r="Z513" s="3"/>
      <c r="AA513" s="3"/>
      <c r="AB513" s="3"/>
      <c r="AC513" s="3"/>
      <c r="AD513" s="3"/>
      <c r="AE513" s="3"/>
      <c r="AF513" s="3"/>
      <c r="AG513" s="3"/>
      <c r="AH513" s="3"/>
      <c r="AI513" s="3"/>
      <c r="AJ513" s="3"/>
      <c r="AK513" s="3"/>
      <c r="AL513" s="3"/>
      <c r="AM513" s="3"/>
      <c r="AN513" s="3"/>
      <c r="AO513" s="3"/>
      <c r="AP513" s="3"/>
      <c r="AQ513" s="3"/>
      <c r="AR513" s="3"/>
      <c r="AS513" s="3"/>
      <c r="AT513" s="3"/>
      <c r="AU513" s="3"/>
      <c r="AV513" s="3"/>
      <c r="AW513" s="3"/>
    </row>
    <row r="514" spans="12:49" x14ac:dyDescent="0.35">
      <c r="L514" s="3"/>
      <c r="M514" s="3"/>
      <c r="N514" s="3"/>
      <c r="O514" s="65"/>
      <c r="Q514" s="3"/>
      <c r="R514" s="3"/>
      <c r="S514" s="3"/>
      <c r="T514" s="3"/>
      <c r="V514" s="3"/>
      <c r="W514" s="3"/>
      <c r="X514" s="3"/>
      <c r="Y514" s="3"/>
      <c r="Z514" s="3"/>
      <c r="AA514" s="3"/>
      <c r="AB514" s="3"/>
      <c r="AC514" s="3"/>
      <c r="AD514" s="3"/>
      <c r="AE514" s="3"/>
      <c r="AF514" s="3"/>
      <c r="AG514" s="3"/>
      <c r="AH514" s="3"/>
      <c r="AI514" s="3"/>
      <c r="AJ514" s="3"/>
      <c r="AK514" s="3"/>
      <c r="AL514" s="3"/>
      <c r="AM514" s="3"/>
      <c r="AN514" s="3"/>
      <c r="AO514" s="3"/>
      <c r="AP514" s="3"/>
      <c r="AQ514" s="3"/>
      <c r="AR514" s="3"/>
      <c r="AS514" s="3"/>
      <c r="AT514" s="3"/>
      <c r="AU514" s="3"/>
      <c r="AV514" s="3"/>
      <c r="AW514" s="3"/>
    </row>
    <row r="515" spans="12:49" x14ac:dyDescent="0.35">
      <c r="L515" s="3"/>
      <c r="M515" s="3"/>
      <c r="N515" s="3"/>
      <c r="O515" s="65"/>
      <c r="Q515" s="3"/>
      <c r="R515" s="3"/>
      <c r="S515" s="3"/>
      <c r="T515" s="3"/>
      <c r="V515" s="3"/>
      <c r="W515" s="3"/>
      <c r="X515" s="3"/>
      <c r="Y515" s="3"/>
      <c r="Z515" s="3"/>
      <c r="AA515" s="3"/>
      <c r="AB515" s="3"/>
      <c r="AC515" s="3"/>
      <c r="AD515" s="3"/>
      <c r="AE515" s="3"/>
      <c r="AF515" s="3"/>
      <c r="AG515" s="3"/>
      <c r="AH515" s="3"/>
      <c r="AI515" s="3"/>
      <c r="AJ515" s="3"/>
      <c r="AK515" s="3"/>
      <c r="AL515" s="3"/>
      <c r="AM515" s="3"/>
      <c r="AN515" s="3"/>
      <c r="AO515" s="3"/>
      <c r="AP515" s="3"/>
      <c r="AQ515" s="3"/>
      <c r="AR515" s="3"/>
      <c r="AS515" s="3"/>
      <c r="AT515" s="3"/>
      <c r="AU515" s="3"/>
      <c r="AV515" s="3"/>
      <c r="AW515" s="3"/>
    </row>
    <row r="516" spans="12:49" x14ac:dyDescent="0.35">
      <c r="L516" s="3"/>
      <c r="M516" s="3"/>
      <c r="N516" s="3"/>
      <c r="O516" s="65"/>
      <c r="Q516" s="3"/>
      <c r="R516" s="3"/>
      <c r="S516" s="3"/>
      <c r="T516" s="3"/>
      <c r="V516" s="3"/>
      <c r="W516" s="3"/>
      <c r="X516" s="3"/>
      <c r="Y516" s="3"/>
      <c r="Z516" s="3"/>
      <c r="AA516" s="3"/>
      <c r="AB516" s="3"/>
      <c r="AC516" s="3"/>
      <c r="AD516" s="3"/>
      <c r="AE516" s="3"/>
      <c r="AF516" s="3"/>
      <c r="AG516" s="3"/>
      <c r="AH516" s="3"/>
      <c r="AI516" s="3"/>
      <c r="AJ516" s="3"/>
      <c r="AK516" s="3"/>
      <c r="AL516" s="3"/>
      <c r="AM516" s="3"/>
      <c r="AN516" s="3"/>
      <c r="AO516" s="3"/>
      <c r="AP516" s="3"/>
      <c r="AQ516" s="3"/>
      <c r="AR516" s="3"/>
      <c r="AS516" s="3"/>
      <c r="AT516" s="3"/>
      <c r="AU516" s="3"/>
      <c r="AV516" s="3"/>
      <c r="AW516" s="3"/>
    </row>
    <row r="517" spans="12:49" x14ac:dyDescent="0.35">
      <c r="L517" s="3"/>
      <c r="M517" s="3"/>
      <c r="N517" s="3"/>
      <c r="O517" s="65"/>
      <c r="Q517" s="3"/>
      <c r="R517" s="3"/>
      <c r="S517" s="3"/>
      <c r="T517" s="3"/>
      <c r="V517" s="3"/>
      <c r="W517" s="3"/>
      <c r="X517" s="3"/>
      <c r="Y517" s="3"/>
      <c r="Z517" s="3"/>
      <c r="AA517" s="3"/>
      <c r="AB517" s="3"/>
      <c r="AC517" s="3"/>
      <c r="AD517" s="3"/>
      <c r="AE517" s="3"/>
      <c r="AF517" s="3"/>
      <c r="AG517" s="3"/>
      <c r="AH517" s="3"/>
      <c r="AI517" s="3"/>
      <c r="AJ517" s="3"/>
      <c r="AK517" s="3"/>
      <c r="AL517" s="3"/>
      <c r="AM517" s="3"/>
      <c r="AN517" s="3"/>
      <c r="AO517" s="3"/>
      <c r="AP517" s="3"/>
      <c r="AQ517" s="3"/>
      <c r="AR517" s="3"/>
      <c r="AS517" s="3"/>
      <c r="AT517" s="3"/>
      <c r="AU517" s="3"/>
      <c r="AV517" s="3"/>
      <c r="AW517" s="3"/>
    </row>
    <row r="518" spans="12:49" x14ac:dyDescent="0.35">
      <c r="L518" s="3"/>
      <c r="M518" s="3"/>
      <c r="N518" s="3"/>
      <c r="O518" s="65"/>
      <c r="Q518" s="3"/>
      <c r="R518" s="3"/>
      <c r="S518" s="3"/>
      <c r="T518" s="3"/>
      <c r="V518" s="3"/>
      <c r="W518" s="3"/>
      <c r="X518" s="3"/>
      <c r="Y518" s="3"/>
      <c r="Z518" s="3"/>
      <c r="AA518" s="3"/>
      <c r="AB518" s="3"/>
      <c r="AC518" s="3"/>
      <c r="AD518" s="3"/>
      <c r="AE518" s="3"/>
      <c r="AF518" s="3"/>
      <c r="AG518" s="3"/>
      <c r="AH518" s="3"/>
      <c r="AI518" s="3"/>
      <c r="AJ518" s="3"/>
      <c r="AK518" s="3"/>
      <c r="AL518" s="3"/>
      <c r="AM518" s="3"/>
      <c r="AN518" s="3"/>
      <c r="AO518" s="3"/>
      <c r="AP518" s="3"/>
      <c r="AQ518" s="3"/>
      <c r="AR518" s="3"/>
      <c r="AS518" s="3"/>
      <c r="AT518" s="3"/>
      <c r="AU518" s="3"/>
      <c r="AV518" s="3"/>
      <c r="AW518" s="3"/>
    </row>
    <row r="519" spans="12:49" x14ac:dyDescent="0.35">
      <c r="L519" s="3"/>
      <c r="M519" s="3"/>
      <c r="N519" s="3"/>
      <c r="O519" s="65"/>
      <c r="Q519" s="3"/>
      <c r="R519" s="3"/>
      <c r="S519" s="3"/>
      <c r="T519" s="3"/>
      <c r="V519" s="3"/>
      <c r="W519" s="3"/>
      <c r="X519" s="3"/>
      <c r="Y519" s="3"/>
      <c r="Z519" s="3"/>
      <c r="AA519" s="3"/>
      <c r="AB519" s="3"/>
      <c r="AC519" s="3"/>
      <c r="AD519" s="3"/>
      <c r="AE519" s="3"/>
      <c r="AF519" s="3"/>
      <c r="AG519" s="3"/>
      <c r="AH519" s="3"/>
      <c r="AI519" s="3"/>
      <c r="AJ519" s="3"/>
      <c r="AK519" s="3"/>
      <c r="AL519" s="3"/>
      <c r="AM519" s="3"/>
      <c r="AN519" s="3"/>
      <c r="AO519" s="3"/>
      <c r="AP519" s="3"/>
      <c r="AQ519" s="3"/>
      <c r="AR519" s="3"/>
      <c r="AS519" s="3"/>
      <c r="AT519" s="3"/>
      <c r="AU519" s="3"/>
      <c r="AV519" s="3"/>
      <c r="AW519" s="3"/>
    </row>
    <row r="520" spans="12:49" x14ac:dyDescent="0.35">
      <c r="L520" s="3"/>
      <c r="M520" s="3"/>
      <c r="N520" s="3"/>
      <c r="O520" s="65"/>
      <c r="Q520" s="3"/>
      <c r="R520" s="3"/>
      <c r="S520" s="3"/>
      <c r="T520" s="3"/>
      <c r="V520" s="3"/>
      <c r="W520" s="3"/>
      <c r="X520" s="3"/>
      <c r="Y520" s="3"/>
      <c r="Z520" s="3"/>
      <c r="AA520" s="3"/>
      <c r="AB520" s="3"/>
      <c r="AC520" s="3"/>
      <c r="AD520" s="3"/>
      <c r="AE520" s="3"/>
      <c r="AF520" s="3"/>
      <c r="AG520" s="3"/>
      <c r="AH520" s="3"/>
      <c r="AI520" s="3"/>
      <c r="AJ520" s="3"/>
      <c r="AK520" s="3"/>
      <c r="AL520" s="3"/>
      <c r="AM520" s="3"/>
      <c r="AN520" s="3"/>
      <c r="AO520" s="3"/>
      <c r="AP520" s="3"/>
      <c r="AQ520" s="3"/>
      <c r="AR520" s="3"/>
      <c r="AS520" s="3"/>
      <c r="AT520" s="3"/>
      <c r="AU520" s="3"/>
      <c r="AV520" s="3"/>
      <c r="AW520" s="3"/>
    </row>
    <row r="521" spans="12:49" x14ac:dyDescent="0.35">
      <c r="L521" s="3"/>
      <c r="M521" s="3"/>
      <c r="N521" s="3"/>
      <c r="O521" s="65"/>
      <c r="Q521" s="3"/>
      <c r="R521" s="3"/>
      <c r="S521" s="3"/>
      <c r="T521" s="3"/>
      <c r="V521" s="3"/>
      <c r="W521" s="3"/>
      <c r="X521" s="3"/>
      <c r="Y521" s="3"/>
      <c r="Z521" s="3"/>
      <c r="AA521" s="3"/>
      <c r="AB521" s="3"/>
      <c r="AC521" s="3"/>
      <c r="AD521" s="3"/>
      <c r="AE521" s="3"/>
      <c r="AF521" s="3"/>
      <c r="AG521" s="3"/>
      <c r="AH521" s="3"/>
      <c r="AI521" s="3"/>
      <c r="AJ521" s="3"/>
      <c r="AK521" s="3"/>
      <c r="AL521" s="3"/>
      <c r="AM521" s="3"/>
      <c r="AN521" s="3"/>
      <c r="AO521" s="3"/>
      <c r="AP521" s="3"/>
      <c r="AQ521" s="3"/>
      <c r="AR521" s="3"/>
      <c r="AS521" s="3"/>
      <c r="AT521" s="3"/>
      <c r="AU521" s="3"/>
      <c r="AV521" s="3"/>
      <c r="AW521" s="3"/>
    </row>
    <row r="522" spans="12:49" x14ac:dyDescent="0.35">
      <c r="L522" s="3"/>
      <c r="M522" s="3"/>
      <c r="N522" s="3"/>
      <c r="O522" s="65"/>
      <c r="Q522" s="3"/>
      <c r="R522" s="3"/>
      <c r="S522" s="3"/>
      <c r="T522" s="3"/>
      <c r="V522" s="3"/>
      <c r="W522" s="3"/>
      <c r="X522" s="3"/>
      <c r="Y522" s="3"/>
      <c r="Z522" s="3"/>
      <c r="AA522" s="3"/>
      <c r="AB522" s="3"/>
      <c r="AC522" s="3"/>
      <c r="AD522" s="3"/>
      <c r="AE522" s="3"/>
      <c r="AF522" s="3"/>
      <c r="AG522" s="3"/>
      <c r="AH522" s="3"/>
      <c r="AI522" s="3"/>
      <c r="AJ522" s="3"/>
      <c r="AK522" s="3"/>
      <c r="AL522" s="3"/>
      <c r="AM522" s="3"/>
      <c r="AN522" s="3"/>
      <c r="AO522" s="3"/>
      <c r="AP522" s="3"/>
      <c r="AQ522" s="3"/>
      <c r="AR522" s="3"/>
      <c r="AS522" s="3"/>
      <c r="AT522" s="3"/>
      <c r="AU522" s="3"/>
      <c r="AV522" s="3"/>
      <c r="AW522" s="3"/>
    </row>
    <row r="523" spans="12:49" x14ac:dyDescent="0.35">
      <c r="L523" s="3"/>
      <c r="M523" s="3"/>
      <c r="N523" s="3"/>
      <c r="O523" s="65"/>
      <c r="Q523" s="3"/>
      <c r="R523" s="3"/>
      <c r="S523" s="3"/>
      <c r="T523" s="3"/>
      <c r="V523" s="3"/>
      <c r="W523" s="3"/>
      <c r="X523" s="3"/>
      <c r="Y523" s="3"/>
      <c r="Z523" s="3"/>
      <c r="AA523" s="3"/>
      <c r="AB523" s="3"/>
      <c r="AC523" s="3"/>
      <c r="AD523" s="3"/>
      <c r="AE523" s="3"/>
      <c r="AF523" s="3"/>
      <c r="AG523" s="3"/>
      <c r="AH523" s="3"/>
      <c r="AI523" s="3"/>
      <c r="AJ523" s="3"/>
      <c r="AK523" s="3"/>
      <c r="AL523" s="3"/>
      <c r="AM523" s="3"/>
      <c r="AN523" s="3"/>
      <c r="AO523" s="3"/>
      <c r="AP523" s="3"/>
      <c r="AQ523" s="3"/>
      <c r="AR523" s="3"/>
      <c r="AS523" s="3"/>
      <c r="AT523" s="3"/>
      <c r="AU523" s="3"/>
      <c r="AV523" s="3"/>
      <c r="AW523" s="3"/>
    </row>
    <row r="524" spans="12:49" x14ac:dyDescent="0.35">
      <c r="L524" s="3"/>
      <c r="M524" s="3"/>
      <c r="N524" s="3"/>
      <c r="O524" s="65"/>
      <c r="Q524" s="3"/>
      <c r="R524" s="3"/>
      <c r="S524" s="3"/>
      <c r="T524" s="3"/>
      <c r="V524" s="3"/>
      <c r="W524" s="3"/>
      <c r="X524" s="3"/>
      <c r="Y524" s="3"/>
      <c r="Z524" s="3"/>
      <c r="AA524" s="3"/>
      <c r="AB524" s="3"/>
      <c r="AC524" s="3"/>
      <c r="AD524" s="3"/>
      <c r="AE524" s="3"/>
      <c r="AF524" s="3"/>
      <c r="AG524" s="3"/>
      <c r="AH524" s="3"/>
      <c r="AI524" s="3"/>
      <c r="AJ524" s="3"/>
      <c r="AK524" s="3"/>
      <c r="AL524" s="3"/>
      <c r="AM524" s="3"/>
      <c r="AN524" s="3"/>
      <c r="AO524" s="3"/>
      <c r="AP524" s="3"/>
      <c r="AQ524" s="3"/>
      <c r="AR524" s="3"/>
      <c r="AS524" s="3"/>
      <c r="AT524" s="3"/>
      <c r="AU524" s="3"/>
      <c r="AV524" s="3"/>
      <c r="AW524" s="3"/>
    </row>
    <row r="525" spans="12:49" x14ac:dyDescent="0.35">
      <c r="L525" s="3"/>
      <c r="M525" s="3"/>
      <c r="N525" s="3"/>
      <c r="O525" s="65"/>
      <c r="Q525" s="3"/>
      <c r="R525" s="3"/>
      <c r="S525" s="3"/>
      <c r="T525" s="3"/>
      <c r="V525" s="3"/>
      <c r="W525" s="3"/>
      <c r="X525" s="3"/>
      <c r="Y525" s="3"/>
      <c r="Z525" s="3"/>
      <c r="AA525" s="3"/>
      <c r="AB525" s="3"/>
      <c r="AC525" s="3"/>
      <c r="AD525" s="3"/>
      <c r="AE525" s="3"/>
      <c r="AF525" s="3"/>
      <c r="AG525" s="3"/>
      <c r="AH525" s="3"/>
      <c r="AI525" s="3"/>
      <c r="AJ525" s="3"/>
      <c r="AK525" s="3"/>
      <c r="AL525" s="3"/>
      <c r="AM525" s="3"/>
      <c r="AN525" s="3"/>
      <c r="AO525" s="3"/>
      <c r="AP525" s="3"/>
      <c r="AQ525" s="3"/>
      <c r="AR525" s="3"/>
      <c r="AS525" s="3"/>
      <c r="AT525" s="3"/>
      <c r="AU525" s="3"/>
      <c r="AV525" s="3"/>
      <c r="AW525" s="3"/>
    </row>
    <row r="526" spans="12:49" x14ac:dyDescent="0.35">
      <c r="L526" s="3"/>
      <c r="M526" s="3"/>
      <c r="N526" s="3"/>
      <c r="O526" s="65"/>
      <c r="Q526" s="3"/>
      <c r="R526" s="3"/>
      <c r="S526" s="3"/>
      <c r="T526" s="3"/>
      <c r="V526" s="3"/>
      <c r="W526" s="3"/>
      <c r="X526" s="3"/>
      <c r="Y526" s="3"/>
      <c r="Z526" s="3"/>
      <c r="AA526" s="3"/>
      <c r="AB526" s="3"/>
      <c r="AC526" s="3"/>
      <c r="AD526" s="3"/>
      <c r="AE526" s="3"/>
      <c r="AF526" s="3"/>
      <c r="AG526" s="3"/>
      <c r="AH526" s="3"/>
      <c r="AI526" s="3"/>
      <c r="AJ526" s="3"/>
      <c r="AK526" s="3"/>
      <c r="AL526" s="3"/>
      <c r="AM526" s="3"/>
      <c r="AN526" s="3"/>
      <c r="AO526" s="3"/>
      <c r="AP526" s="3"/>
      <c r="AQ526" s="3"/>
      <c r="AR526" s="3"/>
      <c r="AS526" s="3"/>
      <c r="AT526" s="3"/>
      <c r="AU526" s="3"/>
      <c r="AV526" s="3"/>
      <c r="AW526" s="3"/>
    </row>
    <row r="527" spans="12:49" x14ac:dyDescent="0.35">
      <c r="L527" s="3"/>
      <c r="M527" s="3"/>
      <c r="N527" s="3"/>
      <c r="O527" s="65"/>
      <c r="Q527" s="3"/>
      <c r="R527" s="3"/>
      <c r="S527" s="3"/>
      <c r="T527" s="3"/>
      <c r="V527" s="3"/>
      <c r="W527" s="3"/>
      <c r="X527" s="3"/>
      <c r="Y527" s="3"/>
      <c r="Z527" s="3"/>
      <c r="AA527" s="3"/>
      <c r="AB527" s="3"/>
      <c r="AC527" s="3"/>
      <c r="AD527" s="3"/>
      <c r="AE527" s="3"/>
      <c r="AF527" s="3"/>
      <c r="AG527" s="3"/>
      <c r="AH527" s="3"/>
      <c r="AI527" s="3"/>
      <c r="AJ527" s="3"/>
      <c r="AK527" s="3"/>
      <c r="AL527" s="3"/>
      <c r="AM527" s="3"/>
      <c r="AN527" s="3"/>
      <c r="AO527" s="3"/>
      <c r="AP527" s="3"/>
      <c r="AQ527" s="3"/>
      <c r="AR527" s="3"/>
      <c r="AS527" s="3"/>
      <c r="AT527" s="3"/>
      <c r="AU527" s="3"/>
      <c r="AV527" s="3"/>
      <c r="AW527" s="3"/>
    </row>
    <row r="528" spans="12:49" x14ac:dyDescent="0.35">
      <c r="L528" s="3"/>
      <c r="M528" s="3"/>
      <c r="N528" s="3"/>
      <c r="O528" s="65"/>
      <c r="Q528" s="3"/>
      <c r="R528" s="3"/>
      <c r="S528" s="3"/>
      <c r="T528" s="3"/>
      <c r="V528" s="3"/>
      <c r="W528" s="3"/>
      <c r="X528" s="3"/>
      <c r="Y528" s="3"/>
      <c r="Z528" s="3"/>
      <c r="AA528" s="3"/>
      <c r="AB528" s="3"/>
      <c r="AC528" s="3"/>
      <c r="AD528" s="3"/>
      <c r="AE528" s="3"/>
      <c r="AF528" s="3"/>
      <c r="AG528" s="3"/>
      <c r="AH528" s="3"/>
      <c r="AI528" s="3"/>
      <c r="AJ528" s="3"/>
      <c r="AK528" s="3"/>
      <c r="AL528" s="3"/>
      <c r="AM528" s="3"/>
      <c r="AN528" s="3"/>
      <c r="AO528" s="3"/>
      <c r="AP528" s="3"/>
      <c r="AQ528" s="3"/>
      <c r="AR528" s="3"/>
      <c r="AS528" s="3"/>
      <c r="AT528" s="3"/>
      <c r="AU528" s="3"/>
      <c r="AV528" s="3"/>
      <c r="AW528" s="3"/>
    </row>
    <row r="529" spans="12:49" x14ac:dyDescent="0.35">
      <c r="L529" s="3"/>
      <c r="M529" s="3"/>
      <c r="N529" s="3"/>
      <c r="O529" s="65"/>
      <c r="Q529" s="3"/>
      <c r="R529" s="3"/>
      <c r="S529" s="3"/>
      <c r="T529" s="3"/>
      <c r="V529" s="3"/>
      <c r="W529" s="3"/>
      <c r="X529" s="3"/>
      <c r="Y529" s="3"/>
      <c r="Z529" s="3"/>
      <c r="AA529" s="3"/>
      <c r="AB529" s="3"/>
      <c r="AC529" s="3"/>
      <c r="AD529" s="3"/>
      <c r="AE529" s="3"/>
      <c r="AF529" s="3"/>
      <c r="AG529" s="3"/>
      <c r="AH529" s="3"/>
      <c r="AI529" s="3"/>
      <c r="AJ529" s="3"/>
      <c r="AK529" s="3"/>
      <c r="AL529" s="3"/>
      <c r="AM529" s="3"/>
      <c r="AN529" s="3"/>
      <c r="AO529" s="3"/>
      <c r="AP529" s="3"/>
      <c r="AQ529" s="3"/>
      <c r="AR529" s="3"/>
      <c r="AS529" s="3"/>
      <c r="AT529" s="3"/>
      <c r="AU529" s="3"/>
      <c r="AV529" s="3"/>
      <c r="AW529" s="3"/>
    </row>
    <row r="530" spans="12:49" x14ac:dyDescent="0.35">
      <c r="L530" s="3"/>
      <c r="M530" s="3"/>
      <c r="N530" s="3"/>
      <c r="O530" s="65"/>
      <c r="Q530" s="3"/>
      <c r="R530" s="3"/>
      <c r="S530" s="3"/>
      <c r="T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row>
    <row r="531" spans="12:49" x14ac:dyDescent="0.35">
      <c r="L531" s="3"/>
      <c r="M531" s="3"/>
      <c r="N531" s="3"/>
      <c r="O531" s="65"/>
      <c r="Q531" s="3"/>
      <c r="R531" s="3"/>
      <c r="S531" s="3"/>
      <c r="T531" s="3"/>
      <c r="V531" s="3"/>
      <c r="W531" s="3"/>
      <c r="X531" s="3"/>
      <c r="Y531" s="3"/>
      <c r="Z531" s="3"/>
      <c r="AA531" s="3"/>
      <c r="AB531" s="3"/>
      <c r="AC531" s="3"/>
      <c r="AD531" s="3"/>
      <c r="AE531" s="3"/>
      <c r="AF531" s="3"/>
      <c r="AG531" s="3"/>
      <c r="AH531" s="3"/>
      <c r="AI531" s="3"/>
      <c r="AJ531" s="3"/>
      <c r="AK531" s="3"/>
      <c r="AL531" s="3"/>
      <c r="AM531" s="3"/>
      <c r="AN531" s="3"/>
      <c r="AO531" s="3"/>
      <c r="AP531" s="3"/>
      <c r="AQ531" s="3"/>
      <c r="AR531" s="3"/>
      <c r="AS531" s="3"/>
      <c r="AT531" s="3"/>
      <c r="AU531" s="3"/>
      <c r="AV531" s="3"/>
      <c r="AW531" s="3"/>
    </row>
    <row r="532" spans="12:49" x14ac:dyDescent="0.35">
      <c r="L532" s="3"/>
      <c r="M532" s="3"/>
      <c r="N532" s="3"/>
      <c r="O532" s="65"/>
      <c r="Q532" s="3"/>
      <c r="R532" s="3"/>
      <c r="S532" s="3"/>
      <c r="T532" s="3"/>
      <c r="V532" s="3"/>
      <c r="W532" s="3"/>
      <c r="X532" s="3"/>
      <c r="Y532" s="3"/>
      <c r="Z532" s="3"/>
      <c r="AA532" s="3"/>
      <c r="AB532" s="3"/>
      <c r="AC532" s="3"/>
      <c r="AD532" s="3"/>
      <c r="AE532" s="3"/>
      <c r="AF532" s="3"/>
      <c r="AG532" s="3"/>
      <c r="AH532" s="3"/>
      <c r="AI532" s="3"/>
      <c r="AJ532" s="3"/>
      <c r="AK532" s="3"/>
      <c r="AL532" s="3"/>
      <c r="AM532" s="3"/>
      <c r="AN532" s="3"/>
      <c r="AO532" s="3"/>
      <c r="AP532" s="3"/>
      <c r="AQ532" s="3"/>
      <c r="AR532" s="3"/>
      <c r="AS532" s="3"/>
      <c r="AT532" s="3"/>
      <c r="AU532" s="3"/>
      <c r="AV532" s="3"/>
      <c r="AW532" s="3"/>
    </row>
    <row r="533" spans="12:49" x14ac:dyDescent="0.35">
      <c r="L533" s="3"/>
      <c r="M533" s="3"/>
      <c r="N533" s="3"/>
      <c r="O533" s="65"/>
      <c r="Q533" s="3"/>
      <c r="R533" s="3"/>
      <c r="S533" s="3"/>
      <c r="T533" s="3"/>
      <c r="V533" s="3"/>
      <c r="W533" s="3"/>
      <c r="X533" s="3"/>
      <c r="Y533" s="3"/>
      <c r="Z533" s="3"/>
      <c r="AA533" s="3"/>
      <c r="AB533" s="3"/>
      <c r="AC533" s="3"/>
      <c r="AD533" s="3"/>
      <c r="AE533" s="3"/>
      <c r="AF533" s="3"/>
      <c r="AG533" s="3"/>
      <c r="AH533" s="3"/>
      <c r="AI533" s="3"/>
      <c r="AJ533" s="3"/>
      <c r="AK533" s="3"/>
      <c r="AL533" s="3"/>
      <c r="AM533" s="3"/>
      <c r="AN533" s="3"/>
      <c r="AO533" s="3"/>
      <c r="AP533" s="3"/>
      <c r="AQ533" s="3"/>
      <c r="AR533" s="3"/>
      <c r="AS533" s="3"/>
      <c r="AT533" s="3"/>
      <c r="AU533" s="3"/>
      <c r="AV533" s="3"/>
      <c r="AW533" s="3"/>
    </row>
    <row r="534" spans="12:49" x14ac:dyDescent="0.35">
      <c r="L534" s="3"/>
      <c r="M534" s="3"/>
      <c r="N534" s="3"/>
      <c r="O534" s="65"/>
      <c r="Q534" s="3"/>
      <c r="R534" s="3"/>
      <c r="S534" s="3"/>
      <c r="T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row>
    <row r="535" spans="12:49" x14ac:dyDescent="0.35">
      <c r="L535" s="3"/>
      <c r="M535" s="3"/>
      <c r="N535" s="3"/>
      <c r="O535" s="65"/>
      <c r="Q535" s="3"/>
      <c r="R535" s="3"/>
      <c r="S535" s="3"/>
      <c r="T535" s="3"/>
      <c r="V535" s="3"/>
      <c r="W535" s="3"/>
      <c r="X535" s="3"/>
      <c r="Y535" s="3"/>
      <c r="Z535" s="3"/>
      <c r="AA535" s="3"/>
      <c r="AB535" s="3"/>
      <c r="AC535" s="3"/>
      <c r="AD535" s="3"/>
      <c r="AE535" s="3"/>
      <c r="AF535" s="3"/>
      <c r="AG535" s="3"/>
      <c r="AH535" s="3"/>
      <c r="AI535" s="3"/>
      <c r="AJ535" s="3"/>
      <c r="AK535" s="3"/>
      <c r="AL535" s="3"/>
      <c r="AM535" s="3"/>
      <c r="AN535" s="3"/>
      <c r="AO535" s="3"/>
      <c r="AP535" s="3"/>
      <c r="AQ535" s="3"/>
      <c r="AR535" s="3"/>
      <c r="AS535" s="3"/>
      <c r="AT535" s="3"/>
      <c r="AU535" s="3"/>
      <c r="AV535" s="3"/>
      <c r="AW535" s="3"/>
    </row>
    <row r="536" spans="12:49" x14ac:dyDescent="0.35">
      <c r="L536" s="3"/>
      <c r="M536" s="3"/>
      <c r="N536" s="3"/>
      <c r="O536" s="65"/>
      <c r="Q536" s="3"/>
      <c r="R536" s="3"/>
      <c r="S536" s="3"/>
      <c r="T536" s="3"/>
      <c r="V536" s="3"/>
      <c r="W536" s="3"/>
      <c r="X536" s="3"/>
      <c r="Y536" s="3"/>
      <c r="Z536" s="3"/>
      <c r="AA536" s="3"/>
      <c r="AB536" s="3"/>
      <c r="AC536" s="3"/>
      <c r="AD536" s="3"/>
      <c r="AE536" s="3"/>
      <c r="AF536" s="3"/>
      <c r="AG536" s="3"/>
      <c r="AH536" s="3"/>
      <c r="AI536" s="3"/>
      <c r="AJ536" s="3"/>
      <c r="AK536" s="3"/>
      <c r="AL536" s="3"/>
      <c r="AM536" s="3"/>
      <c r="AN536" s="3"/>
      <c r="AO536" s="3"/>
      <c r="AP536" s="3"/>
      <c r="AQ536" s="3"/>
      <c r="AR536" s="3"/>
      <c r="AS536" s="3"/>
      <c r="AT536" s="3"/>
      <c r="AU536" s="3"/>
      <c r="AV536" s="3"/>
      <c r="AW536" s="3"/>
    </row>
    <row r="537" spans="12:49" x14ac:dyDescent="0.35">
      <c r="L537" s="3"/>
      <c r="M537" s="3"/>
      <c r="N537" s="3"/>
      <c r="O537" s="65"/>
      <c r="Q537" s="3"/>
      <c r="R537" s="3"/>
      <c r="S537" s="3"/>
      <c r="T537" s="3"/>
      <c r="V537" s="3"/>
      <c r="W537" s="3"/>
      <c r="X537" s="3"/>
      <c r="Y537" s="3"/>
      <c r="Z537" s="3"/>
      <c r="AA537" s="3"/>
      <c r="AB537" s="3"/>
      <c r="AC537" s="3"/>
      <c r="AD537" s="3"/>
      <c r="AE537" s="3"/>
      <c r="AF537" s="3"/>
      <c r="AG537" s="3"/>
      <c r="AH537" s="3"/>
      <c r="AI537" s="3"/>
      <c r="AJ537" s="3"/>
      <c r="AK537" s="3"/>
      <c r="AL537" s="3"/>
      <c r="AM537" s="3"/>
      <c r="AN537" s="3"/>
      <c r="AO537" s="3"/>
      <c r="AP537" s="3"/>
      <c r="AQ537" s="3"/>
      <c r="AR537" s="3"/>
      <c r="AS537" s="3"/>
      <c r="AT537" s="3"/>
      <c r="AU537" s="3"/>
      <c r="AV537" s="3"/>
      <c r="AW537" s="3"/>
    </row>
    <row r="538" spans="12:49" x14ac:dyDescent="0.35">
      <c r="L538" s="3"/>
      <c r="M538" s="3"/>
      <c r="N538" s="3"/>
      <c r="O538" s="65"/>
      <c r="Q538" s="3"/>
      <c r="R538" s="3"/>
      <c r="S538" s="3"/>
      <c r="T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row>
    <row r="539" spans="12:49" x14ac:dyDescent="0.35">
      <c r="L539" s="3"/>
      <c r="M539" s="3"/>
      <c r="N539" s="3"/>
      <c r="O539" s="65"/>
      <c r="Q539" s="3"/>
      <c r="R539" s="3"/>
      <c r="S539" s="3"/>
      <c r="T539" s="3"/>
      <c r="V539" s="3"/>
      <c r="W539" s="3"/>
      <c r="X539" s="3"/>
      <c r="Y539" s="3"/>
      <c r="Z539" s="3"/>
      <c r="AA539" s="3"/>
      <c r="AB539" s="3"/>
      <c r="AC539" s="3"/>
      <c r="AD539" s="3"/>
      <c r="AE539" s="3"/>
      <c r="AF539" s="3"/>
      <c r="AG539" s="3"/>
      <c r="AH539" s="3"/>
      <c r="AI539" s="3"/>
      <c r="AJ539" s="3"/>
      <c r="AK539" s="3"/>
      <c r="AL539" s="3"/>
      <c r="AM539" s="3"/>
      <c r="AN539" s="3"/>
      <c r="AO539" s="3"/>
      <c r="AP539" s="3"/>
      <c r="AQ539" s="3"/>
      <c r="AR539" s="3"/>
      <c r="AS539" s="3"/>
      <c r="AT539" s="3"/>
      <c r="AU539" s="3"/>
      <c r="AV539" s="3"/>
      <c r="AW539" s="3"/>
    </row>
    <row r="540" spans="12:49" x14ac:dyDescent="0.35">
      <c r="L540" s="3"/>
      <c r="M540" s="3"/>
      <c r="N540" s="3"/>
      <c r="O540" s="65"/>
      <c r="Q540" s="3"/>
      <c r="R540" s="3"/>
      <c r="S540" s="3"/>
      <c r="T540" s="3"/>
      <c r="V540" s="3"/>
      <c r="W540" s="3"/>
      <c r="X540" s="3"/>
      <c r="Y540" s="3"/>
      <c r="Z540" s="3"/>
      <c r="AA540" s="3"/>
      <c r="AB540" s="3"/>
      <c r="AC540" s="3"/>
      <c r="AD540" s="3"/>
      <c r="AE540" s="3"/>
      <c r="AF540" s="3"/>
      <c r="AG540" s="3"/>
      <c r="AH540" s="3"/>
      <c r="AI540" s="3"/>
      <c r="AJ540" s="3"/>
      <c r="AK540" s="3"/>
      <c r="AL540" s="3"/>
      <c r="AM540" s="3"/>
      <c r="AN540" s="3"/>
      <c r="AO540" s="3"/>
      <c r="AP540" s="3"/>
      <c r="AQ540" s="3"/>
      <c r="AR540" s="3"/>
      <c r="AS540" s="3"/>
      <c r="AT540" s="3"/>
      <c r="AU540" s="3"/>
      <c r="AV540" s="3"/>
      <c r="AW540" s="3"/>
    </row>
    <row r="541" spans="12:49" x14ac:dyDescent="0.35">
      <c r="L541" s="3"/>
      <c r="M541" s="3"/>
      <c r="N541" s="3"/>
      <c r="O541" s="65"/>
      <c r="Q541" s="3"/>
      <c r="R541" s="3"/>
      <c r="S541" s="3"/>
      <c r="T541" s="3"/>
      <c r="V541" s="3"/>
      <c r="W541" s="3"/>
      <c r="X541" s="3"/>
      <c r="Y541" s="3"/>
      <c r="Z541" s="3"/>
      <c r="AA541" s="3"/>
      <c r="AB541" s="3"/>
      <c r="AC541" s="3"/>
      <c r="AD541" s="3"/>
      <c r="AE541" s="3"/>
      <c r="AF541" s="3"/>
      <c r="AG541" s="3"/>
      <c r="AH541" s="3"/>
      <c r="AI541" s="3"/>
      <c r="AJ541" s="3"/>
      <c r="AK541" s="3"/>
      <c r="AL541" s="3"/>
      <c r="AM541" s="3"/>
      <c r="AN541" s="3"/>
      <c r="AO541" s="3"/>
      <c r="AP541" s="3"/>
      <c r="AQ541" s="3"/>
      <c r="AR541" s="3"/>
      <c r="AS541" s="3"/>
      <c r="AT541" s="3"/>
      <c r="AU541" s="3"/>
      <c r="AV541" s="3"/>
      <c r="AW541" s="3"/>
    </row>
    <row r="542" spans="12:49" x14ac:dyDescent="0.35">
      <c r="L542" s="3"/>
      <c r="M542" s="3"/>
      <c r="N542" s="3"/>
      <c r="O542" s="65"/>
      <c r="Q542" s="3"/>
      <c r="R542" s="3"/>
      <c r="S542" s="3"/>
      <c r="T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row>
    <row r="543" spans="12:49" x14ac:dyDescent="0.35">
      <c r="L543" s="3"/>
      <c r="M543" s="3"/>
      <c r="N543" s="3"/>
      <c r="O543" s="65"/>
      <c r="Q543" s="3"/>
      <c r="R543" s="3"/>
      <c r="S543" s="3"/>
      <c r="T543" s="3"/>
      <c r="V543" s="3"/>
      <c r="W543" s="3"/>
      <c r="X543" s="3"/>
      <c r="Y543" s="3"/>
      <c r="Z543" s="3"/>
      <c r="AA543" s="3"/>
      <c r="AB543" s="3"/>
      <c r="AC543" s="3"/>
      <c r="AD543" s="3"/>
      <c r="AE543" s="3"/>
      <c r="AF543" s="3"/>
      <c r="AG543" s="3"/>
      <c r="AH543" s="3"/>
      <c r="AI543" s="3"/>
      <c r="AJ543" s="3"/>
      <c r="AK543" s="3"/>
      <c r="AL543" s="3"/>
      <c r="AM543" s="3"/>
      <c r="AN543" s="3"/>
      <c r="AO543" s="3"/>
      <c r="AP543" s="3"/>
      <c r="AQ543" s="3"/>
      <c r="AR543" s="3"/>
      <c r="AS543" s="3"/>
      <c r="AT543" s="3"/>
      <c r="AU543" s="3"/>
      <c r="AV543" s="3"/>
      <c r="AW543" s="3"/>
    </row>
    <row r="544" spans="12:49" x14ac:dyDescent="0.35">
      <c r="L544" s="3"/>
      <c r="M544" s="3"/>
      <c r="N544" s="3"/>
      <c r="O544" s="65"/>
      <c r="Q544" s="3"/>
      <c r="R544" s="3"/>
      <c r="S544" s="3"/>
      <c r="T544" s="3"/>
      <c r="V544" s="3"/>
      <c r="W544" s="3"/>
      <c r="X544" s="3"/>
      <c r="Y544" s="3"/>
      <c r="Z544" s="3"/>
      <c r="AA544" s="3"/>
      <c r="AB544" s="3"/>
      <c r="AC544" s="3"/>
      <c r="AD544" s="3"/>
      <c r="AE544" s="3"/>
      <c r="AF544" s="3"/>
      <c r="AG544" s="3"/>
      <c r="AH544" s="3"/>
      <c r="AI544" s="3"/>
      <c r="AJ544" s="3"/>
      <c r="AK544" s="3"/>
      <c r="AL544" s="3"/>
      <c r="AM544" s="3"/>
      <c r="AN544" s="3"/>
      <c r="AO544" s="3"/>
      <c r="AP544" s="3"/>
      <c r="AQ544" s="3"/>
      <c r="AR544" s="3"/>
      <c r="AS544" s="3"/>
      <c r="AT544" s="3"/>
      <c r="AU544" s="3"/>
      <c r="AV544" s="3"/>
      <c r="AW544" s="3"/>
    </row>
    <row r="545" spans="12:49" x14ac:dyDescent="0.35">
      <c r="L545" s="3"/>
      <c r="M545" s="3"/>
      <c r="N545" s="3"/>
      <c r="O545" s="65"/>
      <c r="Q545" s="3"/>
      <c r="R545" s="3"/>
      <c r="S545" s="3"/>
      <c r="T545" s="3"/>
      <c r="V545" s="3"/>
      <c r="W545" s="3"/>
      <c r="X545" s="3"/>
      <c r="Y545" s="3"/>
      <c r="Z545" s="3"/>
      <c r="AA545" s="3"/>
      <c r="AB545" s="3"/>
      <c r="AC545" s="3"/>
      <c r="AD545" s="3"/>
      <c r="AE545" s="3"/>
      <c r="AF545" s="3"/>
      <c r="AG545" s="3"/>
      <c r="AH545" s="3"/>
      <c r="AI545" s="3"/>
      <c r="AJ545" s="3"/>
      <c r="AK545" s="3"/>
      <c r="AL545" s="3"/>
      <c r="AM545" s="3"/>
      <c r="AN545" s="3"/>
      <c r="AO545" s="3"/>
      <c r="AP545" s="3"/>
      <c r="AQ545" s="3"/>
      <c r="AR545" s="3"/>
      <c r="AS545" s="3"/>
      <c r="AT545" s="3"/>
      <c r="AU545" s="3"/>
      <c r="AV545" s="3"/>
      <c r="AW545" s="3"/>
    </row>
    <row r="546" spans="12:49" x14ac:dyDescent="0.35">
      <c r="L546" s="3"/>
      <c r="M546" s="3"/>
      <c r="N546" s="3"/>
      <c r="O546" s="65"/>
      <c r="Q546" s="3"/>
      <c r="R546" s="3"/>
      <c r="S546" s="3"/>
      <c r="T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row>
    <row r="547" spans="12:49" x14ac:dyDescent="0.35">
      <c r="L547" s="3"/>
      <c r="M547" s="3"/>
      <c r="N547" s="3"/>
      <c r="O547" s="65"/>
      <c r="Q547" s="3"/>
      <c r="R547" s="3"/>
      <c r="S547" s="3"/>
      <c r="T547" s="3"/>
      <c r="V547" s="3"/>
      <c r="W547" s="3"/>
      <c r="X547" s="3"/>
      <c r="Y547" s="3"/>
      <c r="Z547" s="3"/>
      <c r="AA547" s="3"/>
      <c r="AB547" s="3"/>
      <c r="AC547" s="3"/>
      <c r="AD547" s="3"/>
      <c r="AE547" s="3"/>
      <c r="AF547" s="3"/>
      <c r="AG547" s="3"/>
      <c r="AH547" s="3"/>
      <c r="AI547" s="3"/>
      <c r="AJ547" s="3"/>
      <c r="AK547" s="3"/>
      <c r="AL547" s="3"/>
      <c r="AM547" s="3"/>
      <c r="AN547" s="3"/>
      <c r="AO547" s="3"/>
      <c r="AP547" s="3"/>
      <c r="AQ547" s="3"/>
      <c r="AR547" s="3"/>
      <c r="AS547" s="3"/>
      <c r="AT547" s="3"/>
      <c r="AU547" s="3"/>
      <c r="AV547" s="3"/>
      <c r="AW547" s="3"/>
    </row>
    <row r="548" spans="12:49" x14ac:dyDescent="0.35">
      <c r="L548" s="3"/>
      <c r="M548" s="3"/>
      <c r="N548" s="3"/>
      <c r="O548" s="65"/>
      <c r="Q548" s="3"/>
      <c r="R548" s="3"/>
      <c r="S548" s="3"/>
      <c r="T548" s="3"/>
      <c r="V548" s="3"/>
      <c r="W548" s="3"/>
      <c r="X548" s="3"/>
      <c r="Y548" s="3"/>
      <c r="Z548" s="3"/>
      <c r="AA548" s="3"/>
      <c r="AB548" s="3"/>
      <c r="AC548" s="3"/>
      <c r="AD548" s="3"/>
      <c r="AE548" s="3"/>
      <c r="AF548" s="3"/>
      <c r="AG548" s="3"/>
      <c r="AH548" s="3"/>
      <c r="AI548" s="3"/>
      <c r="AJ548" s="3"/>
      <c r="AK548" s="3"/>
      <c r="AL548" s="3"/>
      <c r="AM548" s="3"/>
      <c r="AN548" s="3"/>
      <c r="AO548" s="3"/>
      <c r="AP548" s="3"/>
      <c r="AQ548" s="3"/>
      <c r="AR548" s="3"/>
      <c r="AS548" s="3"/>
      <c r="AT548" s="3"/>
      <c r="AU548" s="3"/>
      <c r="AV548" s="3"/>
      <c r="AW548" s="3"/>
    </row>
    <row r="549" spans="12:49" x14ac:dyDescent="0.35">
      <c r="L549" s="3"/>
      <c r="M549" s="3"/>
      <c r="N549" s="3"/>
      <c r="O549" s="65"/>
      <c r="Q549" s="3"/>
      <c r="R549" s="3"/>
      <c r="S549" s="3"/>
      <c r="T549" s="3"/>
      <c r="V549" s="3"/>
      <c r="W549" s="3"/>
      <c r="X549" s="3"/>
      <c r="Y549" s="3"/>
      <c r="Z549" s="3"/>
      <c r="AA549" s="3"/>
      <c r="AB549" s="3"/>
      <c r="AC549" s="3"/>
      <c r="AD549" s="3"/>
      <c r="AE549" s="3"/>
      <c r="AF549" s="3"/>
      <c r="AG549" s="3"/>
      <c r="AH549" s="3"/>
      <c r="AI549" s="3"/>
      <c r="AJ549" s="3"/>
      <c r="AK549" s="3"/>
      <c r="AL549" s="3"/>
      <c r="AM549" s="3"/>
      <c r="AN549" s="3"/>
      <c r="AO549" s="3"/>
      <c r="AP549" s="3"/>
      <c r="AQ549" s="3"/>
      <c r="AR549" s="3"/>
      <c r="AS549" s="3"/>
      <c r="AT549" s="3"/>
      <c r="AU549" s="3"/>
      <c r="AV549" s="3"/>
      <c r="AW549" s="3"/>
    </row>
    <row r="550" spans="12:49" x14ac:dyDescent="0.35">
      <c r="L550" s="3"/>
      <c r="M550" s="3"/>
      <c r="N550" s="3"/>
      <c r="O550" s="65"/>
      <c r="Q550" s="3"/>
      <c r="R550" s="3"/>
      <c r="S550" s="3"/>
      <c r="T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row>
    <row r="551" spans="12:49" x14ac:dyDescent="0.35">
      <c r="L551" s="3"/>
      <c r="M551" s="3"/>
      <c r="N551" s="3"/>
      <c r="O551" s="65"/>
      <c r="Q551" s="3"/>
      <c r="R551" s="3"/>
      <c r="S551" s="3"/>
      <c r="T551" s="3"/>
      <c r="V551" s="3"/>
      <c r="W551" s="3"/>
      <c r="X551" s="3"/>
      <c r="Y551" s="3"/>
      <c r="Z551" s="3"/>
      <c r="AA551" s="3"/>
      <c r="AB551" s="3"/>
      <c r="AC551" s="3"/>
      <c r="AD551" s="3"/>
      <c r="AE551" s="3"/>
      <c r="AF551" s="3"/>
      <c r="AG551" s="3"/>
      <c r="AH551" s="3"/>
      <c r="AI551" s="3"/>
      <c r="AJ551" s="3"/>
      <c r="AK551" s="3"/>
      <c r="AL551" s="3"/>
      <c r="AM551" s="3"/>
      <c r="AN551" s="3"/>
      <c r="AO551" s="3"/>
      <c r="AP551" s="3"/>
      <c r="AQ551" s="3"/>
      <c r="AR551" s="3"/>
      <c r="AS551" s="3"/>
      <c r="AT551" s="3"/>
      <c r="AU551" s="3"/>
      <c r="AV551" s="3"/>
      <c r="AW551" s="3"/>
    </row>
    <row r="552" spans="12:49" x14ac:dyDescent="0.35">
      <c r="L552" s="3"/>
      <c r="M552" s="3"/>
      <c r="N552" s="3"/>
      <c r="O552" s="65"/>
      <c r="Q552" s="3"/>
      <c r="R552" s="3"/>
      <c r="S552" s="3"/>
      <c r="T552" s="3"/>
      <c r="V552" s="3"/>
      <c r="W552" s="3"/>
      <c r="X552" s="3"/>
      <c r="Y552" s="3"/>
      <c r="Z552" s="3"/>
      <c r="AA552" s="3"/>
      <c r="AB552" s="3"/>
      <c r="AC552" s="3"/>
      <c r="AD552" s="3"/>
      <c r="AE552" s="3"/>
      <c r="AF552" s="3"/>
      <c r="AG552" s="3"/>
      <c r="AH552" s="3"/>
      <c r="AI552" s="3"/>
      <c r="AJ552" s="3"/>
      <c r="AK552" s="3"/>
      <c r="AL552" s="3"/>
      <c r="AM552" s="3"/>
      <c r="AN552" s="3"/>
      <c r="AO552" s="3"/>
      <c r="AP552" s="3"/>
      <c r="AQ552" s="3"/>
      <c r="AR552" s="3"/>
      <c r="AS552" s="3"/>
      <c r="AT552" s="3"/>
      <c r="AU552" s="3"/>
      <c r="AV552" s="3"/>
      <c r="AW552" s="3"/>
    </row>
    <row r="553" spans="12:49" x14ac:dyDescent="0.35">
      <c r="L553" s="3"/>
      <c r="M553" s="3"/>
      <c r="N553" s="3"/>
      <c r="O553" s="65"/>
      <c r="Q553" s="3"/>
      <c r="R553" s="3"/>
      <c r="S553" s="3"/>
      <c r="T553" s="3"/>
      <c r="V553" s="3"/>
      <c r="W553" s="3"/>
      <c r="X553" s="3"/>
      <c r="Y553" s="3"/>
      <c r="Z553" s="3"/>
      <c r="AA553" s="3"/>
      <c r="AB553" s="3"/>
      <c r="AC553" s="3"/>
      <c r="AD553" s="3"/>
      <c r="AE553" s="3"/>
      <c r="AF553" s="3"/>
      <c r="AG553" s="3"/>
      <c r="AH553" s="3"/>
      <c r="AI553" s="3"/>
      <c r="AJ553" s="3"/>
      <c r="AK553" s="3"/>
      <c r="AL553" s="3"/>
      <c r="AM553" s="3"/>
      <c r="AN553" s="3"/>
      <c r="AO553" s="3"/>
      <c r="AP553" s="3"/>
      <c r="AQ553" s="3"/>
      <c r="AR553" s="3"/>
      <c r="AS553" s="3"/>
      <c r="AT553" s="3"/>
      <c r="AU553" s="3"/>
      <c r="AV553" s="3"/>
      <c r="AW553" s="3"/>
    </row>
    <row r="554" spans="12:49" x14ac:dyDescent="0.35">
      <c r="L554" s="3"/>
      <c r="M554" s="3"/>
      <c r="N554" s="3"/>
      <c r="O554" s="65"/>
      <c r="Q554" s="3"/>
      <c r="R554" s="3"/>
      <c r="S554" s="3"/>
      <c r="T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row>
    <row r="555" spans="12:49" x14ac:dyDescent="0.35">
      <c r="L555" s="3"/>
      <c r="M555" s="3"/>
      <c r="N555" s="3"/>
      <c r="O555" s="65"/>
      <c r="Q555" s="3"/>
      <c r="R555" s="3"/>
      <c r="S555" s="3"/>
      <c r="T555" s="3"/>
      <c r="V555" s="3"/>
      <c r="W555" s="3"/>
      <c r="X555" s="3"/>
      <c r="Y555" s="3"/>
      <c r="Z555" s="3"/>
      <c r="AA555" s="3"/>
      <c r="AB555" s="3"/>
      <c r="AC555" s="3"/>
      <c r="AD555" s="3"/>
      <c r="AE555" s="3"/>
      <c r="AF555" s="3"/>
      <c r="AG555" s="3"/>
      <c r="AH555" s="3"/>
      <c r="AI555" s="3"/>
      <c r="AJ555" s="3"/>
      <c r="AK555" s="3"/>
      <c r="AL555" s="3"/>
      <c r="AM555" s="3"/>
      <c r="AN555" s="3"/>
      <c r="AO555" s="3"/>
      <c r="AP555" s="3"/>
      <c r="AQ555" s="3"/>
      <c r="AR555" s="3"/>
      <c r="AS555" s="3"/>
      <c r="AT555" s="3"/>
      <c r="AU555" s="3"/>
      <c r="AV555" s="3"/>
      <c r="AW555" s="3"/>
    </row>
    <row r="556" spans="12:49" x14ac:dyDescent="0.35">
      <c r="L556" s="3"/>
      <c r="M556" s="3"/>
      <c r="N556" s="3"/>
      <c r="O556" s="65"/>
      <c r="Q556" s="3"/>
      <c r="R556" s="3"/>
      <c r="S556" s="3"/>
      <c r="T556" s="3"/>
      <c r="V556" s="3"/>
      <c r="W556" s="3"/>
      <c r="X556" s="3"/>
      <c r="Y556" s="3"/>
      <c r="Z556" s="3"/>
      <c r="AA556" s="3"/>
      <c r="AB556" s="3"/>
      <c r="AC556" s="3"/>
      <c r="AD556" s="3"/>
      <c r="AE556" s="3"/>
      <c r="AF556" s="3"/>
      <c r="AG556" s="3"/>
      <c r="AH556" s="3"/>
      <c r="AI556" s="3"/>
      <c r="AJ556" s="3"/>
      <c r="AK556" s="3"/>
      <c r="AL556" s="3"/>
      <c r="AM556" s="3"/>
      <c r="AN556" s="3"/>
      <c r="AO556" s="3"/>
      <c r="AP556" s="3"/>
      <c r="AQ556" s="3"/>
      <c r="AR556" s="3"/>
      <c r="AS556" s="3"/>
      <c r="AT556" s="3"/>
      <c r="AU556" s="3"/>
      <c r="AV556" s="3"/>
      <c r="AW556" s="3"/>
    </row>
    <row r="557" spans="12:49" x14ac:dyDescent="0.35">
      <c r="L557" s="3"/>
      <c r="M557" s="3"/>
      <c r="N557" s="3"/>
      <c r="O557" s="65"/>
      <c r="Q557" s="3"/>
      <c r="R557" s="3"/>
      <c r="S557" s="3"/>
      <c r="T557" s="3"/>
      <c r="V557" s="3"/>
      <c r="W557" s="3"/>
      <c r="X557" s="3"/>
      <c r="Y557" s="3"/>
      <c r="Z557" s="3"/>
      <c r="AA557" s="3"/>
      <c r="AB557" s="3"/>
      <c r="AC557" s="3"/>
      <c r="AD557" s="3"/>
      <c r="AE557" s="3"/>
      <c r="AF557" s="3"/>
      <c r="AG557" s="3"/>
      <c r="AH557" s="3"/>
      <c r="AI557" s="3"/>
      <c r="AJ557" s="3"/>
      <c r="AK557" s="3"/>
      <c r="AL557" s="3"/>
      <c r="AM557" s="3"/>
      <c r="AN557" s="3"/>
      <c r="AO557" s="3"/>
      <c r="AP557" s="3"/>
      <c r="AQ557" s="3"/>
      <c r="AR557" s="3"/>
      <c r="AS557" s="3"/>
      <c r="AT557" s="3"/>
      <c r="AU557" s="3"/>
      <c r="AV557" s="3"/>
      <c r="AW557" s="3"/>
    </row>
    <row r="558" spans="12:49" x14ac:dyDescent="0.35">
      <c r="L558" s="3"/>
      <c r="M558" s="3"/>
      <c r="N558" s="3"/>
      <c r="O558" s="65"/>
      <c r="Q558" s="3"/>
      <c r="R558" s="3"/>
      <c r="S558" s="3"/>
      <c r="T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row>
    <row r="559" spans="12:49" x14ac:dyDescent="0.35">
      <c r="L559" s="3"/>
      <c r="M559" s="3"/>
      <c r="N559" s="3"/>
      <c r="O559" s="65"/>
      <c r="Q559" s="3"/>
      <c r="R559" s="3"/>
      <c r="S559" s="3"/>
      <c r="T559" s="3"/>
      <c r="V559" s="3"/>
      <c r="W559" s="3"/>
      <c r="X559" s="3"/>
      <c r="Y559" s="3"/>
      <c r="Z559" s="3"/>
      <c r="AA559" s="3"/>
      <c r="AB559" s="3"/>
      <c r="AC559" s="3"/>
      <c r="AD559" s="3"/>
      <c r="AE559" s="3"/>
      <c r="AF559" s="3"/>
      <c r="AG559" s="3"/>
      <c r="AH559" s="3"/>
      <c r="AI559" s="3"/>
      <c r="AJ559" s="3"/>
      <c r="AK559" s="3"/>
      <c r="AL559" s="3"/>
      <c r="AM559" s="3"/>
      <c r="AN559" s="3"/>
      <c r="AO559" s="3"/>
      <c r="AP559" s="3"/>
      <c r="AQ559" s="3"/>
      <c r="AR559" s="3"/>
      <c r="AS559" s="3"/>
      <c r="AT559" s="3"/>
      <c r="AU559" s="3"/>
      <c r="AV559" s="3"/>
      <c r="AW559" s="3"/>
    </row>
    <row r="560" spans="12:49" x14ac:dyDescent="0.35">
      <c r="L560" s="3"/>
      <c r="M560" s="3"/>
      <c r="N560" s="3"/>
      <c r="O560" s="65"/>
      <c r="Q560" s="3"/>
      <c r="R560" s="3"/>
      <c r="S560" s="3"/>
      <c r="T560" s="3"/>
      <c r="V560" s="3"/>
      <c r="W560" s="3"/>
      <c r="X560" s="3"/>
      <c r="Y560" s="3"/>
      <c r="Z560" s="3"/>
      <c r="AA560" s="3"/>
      <c r="AB560" s="3"/>
      <c r="AC560" s="3"/>
      <c r="AD560" s="3"/>
      <c r="AE560" s="3"/>
      <c r="AF560" s="3"/>
      <c r="AG560" s="3"/>
      <c r="AH560" s="3"/>
      <c r="AI560" s="3"/>
      <c r="AJ560" s="3"/>
      <c r="AK560" s="3"/>
      <c r="AL560" s="3"/>
      <c r="AM560" s="3"/>
      <c r="AN560" s="3"/>
      <c r="AO560" s="3"/>
      <c r="AP560" s="3"/>
      <c r="AQ560" s="3"/>
      <c r="AR560" s="3"/>
      <c r="AS560" s="3"/>
      <c r="AT560" s="3"/>
      <c r="AU560" s="3"/>
      <c r="AV560" s="3"/>
      <c r="AW560" s="3"/>
    </row>
    <row r="561" spans="12:49" x14ac:dyDescent="0.35">
      <c r="L561" s="3"/>
      <c r="M561" s="3"/>
      <c r="N561" s="3"/>
      <c r="O561" s="65"/>
      <c r="Q561" s="3"/>
      <c r="R561" s="3"/>
      <c r="S561" s="3"/>
      <c r="T561" s="3"/>
      <c r="V561" s="3"/>
      <c r="W561" s="3"/>
      <c r="X561" s="3"/>
      <c r="Y561" s="3"/>
      <c r="Z561" s="3"/>
      <c r="AA561" s="3"/>
      <c r="AB561" s="3"/>
      <c r="AC561" s="3"/>
      <c r="AD561" s="3"/>
      <c r="AE561" s="3"/>
      <c r="AF561" s="3"/>
      <c r="AG561" s="3"/>
      <c r="AH561" s="3"/>
      <c r="AI561" s="3"/>
      <c r="AJ561" s="3"/>
      <c r="AK561" s="3"/>
      <c r="AL561" s="3"/>
      <c r="AM561" s="3"/>
      <c r="AN561" s="3"/>
      <c r="AO561" s="3"/>
      <c r="AP561" s="3"/>
      <c r="AQ561" s="3"/>
      <c r="AR561" s="3"/>
      <c r="AS561" s="3"/>
      <c r="AT561" s="3"/>
      <c r="AU561" s="3"/>
      <c r="AV561" s="3"/>
      <c r="AW561" s="3"/>
    </row>
    <row r="562" spans="12:49" x14ac:dyDescent="0.35">
      <c r="L562" s="3"/>
      <c r="M562" s="3"/>
      <c r="N562" s="3"/>
      <c r="O562" s="65"/>
      <c r="Q562" s="3"/>
      <c r="R562" s="3"/>
      <c r="S562" s="3"/>
      <c r="T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row>
    <row r="563" spans="12:49" x14ac:dyDescent="0.35">
      <c r="L563" s="3"/>
      <c r="M563" s="3"/>
      <c r="N563" s="3"/>
      <c r="O563" s="65"/>
      <c r="Q563" s="3"/>
      <c r="R563" s="3"/>
      <c r="S563" s="3"/>
      <c r="T563" s="3"/>
      <c r="V563" s="3"/>
      <c r="W563" s="3"/>
      <c r="X563" s="3"/>
      <c r="Y563" s="3"/>
      <c r="Z563" s="3"/>
      <c r="AA563" s="3"/>
      <c r="AB563" s="3"/>
      <c r="AC563" s="3"/>
      <c r="AD563" s="3"/>
      <c r="AE563" s="3"/>
      <c r="AF563" s="3"/>
      <c r="AG563" s="3"/>
      <c r="AH563" s="3"/>
      <c r="AI563" s="3"/>
      <c r="AJ563" s="3"/>
      <c r="AK563" s="3"/>
      <c r="AL563" s="3"/>
      <c r="AM563" s="3"/>
      <c r="AN563" s="3"/>
      <c r="AO563" s="3"/>
      <c r="AP563" s="3"/>
      <c r="AQ563" s="3"/>
      <c r="AR563" s="3"/>
      <c r="AS563" s="3"/>
      <c r="AT563" s="3"/>
      <c r="AU563" s="3"/>
      <c r="AV563" s="3"/>
      <c r="AW563" s="3"/>
    </row>
    <row r="564" spans="12:49" x14ac:dyDescent="0.35">
      <c r="L564" s="3"/>
      <c r="M564" s="3"/>
      <c r="N564" s="3"/>
      <c r="O564" s="65"/>
      <c r="Q564" s="3"/>
      <c r="R564" s="3"/>
      <c r="S564" s="3"/>
      <c r="T564" s="3"/>
      <c r="V564" s="3"/>
      <c r="W564" s="3"/>
      <c r="X564" s="3"/>
      <c r="Y564" s="3"/>
      <c r="Z564" s="3"/>
      <c r="AA564" s="3"/>
      <c r="AB564" s="3"/>
      <c r="AC564" s="3"/>
      <c r="AD564" s="3"/>
      <c r="AE564" s="3"/>
      <c r="AF564" s="3"/>
      <c r="AG564" s="3"/>
      <c r="AH564" s="3"/>
      <c r="AI564" s="3"/>
      <c r="AJ564" s="3"/>
      <c r="AK564" s="3"/>
      <c r="AL564" s="3"/>
      <c r="AM564" s="3"/>
      <c r="AN564" s="3"/>
      <c r="AO564" s="3"/>
      <c r="AP564" s="3"/>
      <c r="AQ564" s="3"/>
      <c r="AR564" s="3"/>
      <c r="AS564" s="3"/>
      <c r="AT564" s="3"/>
      <c r="AU564" s="3"/>
      <c r="AV564" s="3"/>
      <c r="AW564" s="3"/>
    </row>
    <row r="565" spans="12:49" x14ac:dyDescent="0.35">
      <c r="L565" s="3"/>
      <c r="M565" s="3"/>
      <c r="N565" s="3"/>
      <c r="O565" s="65"/>
      <c r="Q565" s="3"/>
      <c r="R565" s="3"/>
      <c r="S565" s="3"/>
      <c r="T565" s="3"/>
      <c r="V565" s="3"/>
      <c r="W565" s="3"/>
      <c r="X565" s="3"/>
      <c r="Y565" s="3"/>
      <c r="Z565" s="3"/>
      <c r="AA565" s="3"/>
      <c r="AB565" s="3"/>
      <c r="AC565" s="3"/>
      <c r="AD565" s="3"/>
      <c r="AE565" s="3"/>
      <c r="AF565" s="3"/>
      <c r="AG565" s="3"/>
      <c r="AH565" s="3"/>
      <c r="AI565" s="3"/>
      <c r="AJ565" s="3"/>
      <c r="AK565" s="3"/>
      <c r="AL565" s="3"/>
      <c r="AM565" s="3"/>
      <c r="AN565" s="3"/>
      <c r="AO565" s="3"/>
      <c r="AP565" s="3"/>
      <c r="AQ565" s="3"/>
      <c r="AR565" s="3"/>
      <c r="AS565" s="3"/>
      <c r="AT565" s="3"/>
      <c r="AU565" s="3"/>
      <c r="AV565" s="3"/>
      <c r="AW565" s="3"/>
    </row>
    <row r="566" spans="12:49" x14ac:dyDescent="0.35">
      <c r="L566" s="3"/>
      <c r="M566" s="3"/>
      <c r="N566" s="3"/>
      <c r="O566" s="65"/>
      <c r="Q566" s="3"/>
      <c r="R566" s="3"/>
      <c r="S566" s="3"/>
      <c r="T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row>
    <row r="567" spans="12:49" x14ac:dyDescent="0.35">
      <c r="L567" s="3"/>
      <c r="M567" s="3"/>
      <c r="N567" s="3"/>
      <c r="O567" s="65"/>
      <c r="Q567" s="3"/>
      <c r="R567" s="3"/>
      <c r="S567" s="3"/>
      <c r="T567" s="3"/>
      <c r="V567" s="3"/>
      <c r="W567" s="3"/>
      <c r="X567" s="3"/>
      <c r="Y567" s="3"/>
      <c r="Z567" s="3"/>
      <c r="AA567" s="3"/>
      <c r="AB567" s="3"/>
      <c r="AC567" s="3"/>
      <c r="AD567" s="3"/>
      <c r="AE567" s="3"/>
      <c r="AF567" s="3"/>
      <c r="AG567" s="3"/>
      <c r="AH567" s="3"/>
      <c r="AI567" s="3"/>
      <c r="AJ567" s="3"/>
      <c r="AK567" s="3"/>
      <c r="AL567" s="3"/>
      <c r="AM567" s="3"/>
      <c r="AN567" s="3"/>
      <c r="AO567" s="3"/>
      <c r="AP567" s="3"/>
      <c r="AQ567" s="3"/>
      <c r="AR567" s="3"/>
      <c r="AS567" s="3"/>
      <c r="AT567" s="3"/>
      <c r="AU567" s="3"/>
      <c r="AV567" s="3"/>
      <c r="AW567" s="3"/>
    </row>
    <row r="568" spans="12:49" x14ac:dyDescent="0.35">
      <c r="L568" s="3"/>
      <c r="M568" s="3"/>
      <c r="N568" s="3"/>
      <c r="O568" s="65"/>
      <c r="Q568" s="3"/>
      <c r="R568" s="3"/>
      <c r="S568" s="3"/>
      <c r="T568" s="3"/>
      <c r="V568" s="3"/>
      <c r="W568" s="3"/>
      <c r="X568" s="3"/>
      <c r="Y568" s="3"/>
      <c r="Z568" s="3"/>
      <c r="AA568" s="3"/>
      <c r="AB568" s="3"/>
      <c r="AC568" s="3"/>
      <c r="AD568" s="3"/>
      <c r="AE568" s="3"/>
      <c r="AF568" s="3"/>
      <c r="AG568" s="3"/>
      <c r="AH568" s="3"/>
      <c r="AI568" s="3"/>
      <c r="AJ568" s="3"/>
      <c r="AK568" s="3"/>
      <c r="AL568" s="3"/>
      <c r="AM568" s="3"/>
      <c r="AN568" s="3"/>
      <c r="AO568" s="3"/>
      <c r="AP568" s="3"/>
      <c r="AQ568" s="3"/>
      <c r="AR568" s="3"/>
      <c r="AS568" s="3"/>
      <c r="AT568" s="3"/>
      <c r="AU568" s="3"/>
      <c r="AV568" s="3"/>
      <c r="AW568" s="3"/>
    </row>
    <row r="569" spans="12:49" x14ac:dyDescent="0.35">
      <c r="L569" s="3"/>
      <c r="M569" s="3"/>
      <c r="N569" s="3"/>
      <c r="O569" s="65"/>
      <c r="Q569" s="3"/>
      <c r="R569" s="3"/>
      <c r="S569" s="3"/>
      <c r="T569" s="3"/>
      <c r="V569" s="3"/>
      <c r="W569" s="3"/>
      <c r="X569" s="3"/>
      <c r="Y569" s="3"/>
      <c r="Z569" s="3"/>
      <c r="AA569" s="3"/>
      <c r="AB569" s="3"/>
      <c r="AC569" s="3"/>
      <c r="AD569" s="3"/>
      <c r="AE569" s="3"/>
      <c r="AF569" s="3"/>
      <c r="AG569" s="3"/>
      <c r="AH569" s="3"/>
      <c r="AI569" s="3"/>
      <c r="AJ569" s="3"/>
      <c r="AK569" s="3"/>
      <c r="AL569" s="3"/>
      <c r="AM569" s="3"/>
      <c r="AN569" s="3"/>
      <c r="AO569" s="3"/>
      <c r="AP569" s="3"/>
      <c r="AQ569" s="3"/>
      <c r="AR569" s="3"/>
      <c r="AS569" s="3"/>
      <c r="AT569" s="3"/>
      <c r="AU569" s="3"/>
      <c r="AV569" s="3"/>
      <c r="AW569" s="3"/>
    </row>
    <row r="570" spans="12:49" x14ac:dyDescent="0.35">
      <c r="L570" s="3"/>
      <c r="M570" s="3"/>
      <c r="N570" s="3"/>
      <c r="O570" s="65"/>
      <c r="Q570" s="3"/>
      <c r="R570" s="3"/>
      <c r="S570" s="3"/>
      <c r="T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row>
    <row r="571" spans="12:49" x14ac:dyDescent="0.35">
      <c r="L571" s="3"/>
      <c r="M571" s="3"/>
      <c r="N571" s="3"/>
      <c r="O571" s="65"/>
      <c r="Q571" s="3"/>
      <c r="R571" s="3"/>
      <c r="S571" s="3"/>
      <c r="T571" s="3"/>
      <c r="V571" s="3"/>
      <c r="W571" s="3"/>
      <c r="X571" s="3"/>
      <c r="Y571" s="3"/>
      <c r="Z571" s="3"/>
      <c r="AA571" s="3"/>
      <c r="AB571" s="3"/>
      <c r="AC571" s="3"/>
      <c r="AD571" s="3"/>
      <c r="AE571" s="3"/>
      <c r="AF571" s="3"/>
      <c r="AG571" s="3"/>
      <c r="AH571" s="3"/>
      <c r="AI571" s="3"/>
      <c r="AJ571" s="3"/>
      <c r="AK571" s="3"/>
      <c r="AL571" s="3"/>
      <c r="AM571" s="3"/>
      <c r="AN571" s="3"/>
      <c r="AO571" s="3"/>
      <c r="AP571" s="3"/>
      <c r="AQ571" s="3"/>
      <c r="AR571" s="3"/>
      <c r="AS571" s="3"/>
      <c r="AT571" s="3"/>
      <c r="AU571" s="3"/>
      <c r="AV571" s="3"/>
      <c r="AW571" s="3"/>
    </row>
    <row r="572" spans="12:49" x14ac:dyDescent="0.35">
      <c r="L572" s="3"/>
      <c r="M572" s="3"/>
      <c r="N572" s="3"/>
      <c r="O572" s="65"/>
      <c r="Q572" s="3"/>
      <c r="R572" s="3"/>
      <c r="S572" s="3"/>
      <c r="T572" s="3"/>
      <c r="V572" s="3"/>
      <c r="W572" s="3"/>
      <c r="X572" s="3"/>
      <c r="Y572" s="3"/>
      <c r="Z572" s="3"/>
      <c r="AA572" s="3"/>
      <c r="AB572" s="3"/>
      <c r="AC572" s="3"/>
      <c r="AD572" s="3"/>
      <c r="AE572" s="3"/>
      <c r="AF572" s="3"/>
      <c r="AG572" s="3"/>
      <c r="AH572" s="3"/>
      <c r="AI572" s="3"/>
      <c r="AJ572" s="3"/>
      <c r="AK572" s="3"/>
      <c r="AL572" s="3"/>
      <c r="AM572" s="3"/>
      <c r="AN572" s="3"/>
      <c r="AO572" s="3"/>
      <c r="AP572" s="3"/>
      <c r="AQ572" s="3"/>
      <c r="AR572" s="3"/>
      <c r="AS572" s="3"/>
      <c r="AT572" s="3"/>
      <c r="AU572" s="3"/>
      <c r="AV572" s="3"/>
      <c r="AW572" s="3"/>
    </row>
    <row r="573" spans="12:49" x14ac:dyDescent="0.35">
      <c r="L573" s="3"/>
      <c r="M573" s="3"/>
      <c r="N573" s="3"/>
      <c r="O573" s="65"/>
      <c r="Q573" s="3"/>
      <c r="R573" s="3"/>
      <c r="S573" s="3"/>
      <c r="T573" s="3"/>
      <c r="V573" s="3"/>
      <c r="W573" s="3"/>
      <c r="X573" s="3"/>
      <c r="Y573" s="3"/>
      <c r="Z573" s="3"/>
      <c r="AA573" s="3"/>
      <c r="AB573" s="3"/>
      <c r="AC573" s="3"/>
      <c r="AD573" s="3"/>
      <c r="AE573" s="3"/>
      <c r="AF573" s="3"/>
      <c r="AG573" s="3"/>
      <c r="AH573" s="3"/>
      <c r="AI573" s="3"/>
      <c r="AJ573" s="3"/>
      <c r="AK573" s="3"/>
      <c r="AL573" s="3"/>
      <c r="AM573" s="3"/>
      <c r="AN573" s="3"/>
      <c r="AO573" s="3"/>
      <c r="AP573" s="3"/>
      <c r="AQ573" s="3"/>
      <c r="AR573" s="3"/>
      <c r="AS573" s="3"/>
      <c r="AT573" s="3"/>
      <c r="AU573" s="3"/>
      <c r="AV573" s="3"/>
      <c r="AW573" s="3"/>
    </row>
    <row r="574" spans="12:49" x14ac:dyDescent="0.35">
      <c r="L574" s="3"/>
      <c r="M574" s="3"/>
      <c r="N574" s="3"/>
      <c r="O574" s="65"/>
      <c r="Q574" s="3"/>
      <c r="R574" s="3"/>
      <c r="S574" s="3"/>
      <c r="T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row>
    <row r="575" spans="12:49" x14ac:dyDescent="0.35">
      <c r="L575" s="3"/>
      <c r="M575" s="3"/>
      <c r="N575" s="3"/>
      <c r="O575" s="65"/>
      <c r="Q575" s="3"/>
      <c r="R575" s="3"/>
      <c r="S575" s="3"/>
      <c r="T575" s="3"/>
      <c r="V575" s="3"/>
      <c r="W575" s="3"/>
      <c r="X575" s="3"/>
      <c r="Y575" s="3"/>
      <c r="Z575" s="3"/>
      <c r="AA575" s="3"/>
      <c r="AB575" s="3"/>
      <c r="AC575" s="3"/>
      <c r="AD575" s="3"/>
      <c r="AE575" s="3"/>
      <c r="AF575" s="3"/>
      <c r="AG575" s="3"/>
      <c r="AH575" s="3"/>
      <c r="AI575" s="3"/>
      <c r="AJ575" s="3"/>
      <c r="AK575" s="3"/>
      <c r="AL575" s="3"/>
      <c r="AM575" s="3"/>
      <c r="AN575" s="3"/>
      <c r="AO575" s="3"/>
      <c r="AP575" s="3"/>
      <c r="AQ575" s="3"/>
      <c r="AR575" s="3"/>
      <c r="AS575" s="3"/>
      <c r="AT575" s="3"/>
      <c r="AU575" s="3"/>
      <c r="AV575" s="3"/>
      <c r="AW575" s="3"/>
    </row>
    <row r="576" spans="12:49" x14ac:dyDescent="0.35">
      <c r="L576" s="3"/>
      <c r="M576" s="3"/>
      <c r="N576" s="3"/>
      <c r="O576" s="65"/>
      <c r="Q576" s="3"/>
      <c r="R576" s="3"/>
      <c r="S576" s="3"/>
      <c r="T576" s="3"/>
      <c r="V576" s="3"/>
      <c r="W576" s="3"/>
      <c r="X576" s="3"/>
      <c r="Y576" s="3"/>
      <c r="Z576" s="3"/>
      <c r="AA576" s="3"/>
      <c r="AB576" s="3"/>
      <c r="AC576" s="3"/>
      <c r="AD576" s="3"/>
      <c r="AE576" s="3"/>
      <c r="AF576" s="3"/>
      <c r="AG576" s="3"/>
      <c r="AH576" s="3"/>
      <c r="AI576" s="3"/>
      <c r="AJ576" s="3"/>
      <c r="AK576" s="3"/>
      <c r="AL576" s="3"/>
      <c r="AM576" s="3"/>
      <c r="AN576" s="3"/>
      <c r="AO576" s="3"/>
      <c r="AP576" s="3"/>
      <c r="AQ576" s="3"/>
      <c r="AR576" s="3"/>
      <c r="AS576" s="3"/>
      <c r="AT576" s="3"/>
      <c r="AU576" s="3"/>
      <c r="AV576" s="3"/>
      <c r="AW576" s="3"/>
    </row>
    <row r="577" spans="12:49" x14ac:dyDescent="0.35">
      <c r="L577" s="3"/>
      <c r="M577" s="3"/>
      <c r="N577" s="3"/>
      <c r="O577" s="65"/>
      <c r="Q577" s="3"/>
      <c r="R577" s="3"/>
      <c r="S577" s="3"/>
      <c r="T577" s="3"/>
      <c r="V577" s="3"/>
      <c r="W577" s="3"/>
      <c r="X577" s="3"/>
      <c r="Y577" s="3"/>
      <c r="Z577" s="3"/>
      <c r="AA577" s="3"/>
      <c r="AB577" s="3"/>
      <c r="AC577" s="3"/>
      <c r="AD577" s="3"/>
      <c r="AE577" s="3"/>
      <c r="AF577" s="3"/>
      <c r="AG577" s="3"/>
      <c r="AH577" s="3"/>
      <c r="AI577" s="3"/>
      <c r="AJ577" s="3"/>
      <c r="AK577" s="3"/>
      <c r="AL577" s="3"/>
      <c r="AM577" s="3"/>
      <c r="AN577" s="3"/>
      <c r="AO577" s="3"/>
      <c r="AP577" s="3"/>
      <c r="AQ577" s="3"/>
      <c r="AR577" s="3"/>
      <c r="AS577" s="3"/>
      <c r="AT577" s="3"/>
      <c r="AU577" s="3"/>
      <c r="AV577" s="3"/>
      <c r="AW577" s="3"/>
    </row>
    <row r="578" spans="12:49" x14ac:dyDescent="0.35">
      <c r="L578" s="3"/>
      <c r="M578" s="3"/>
      <c r="N578" s="3"/>
      <c r="O578" s="65"/>
      <c r="Q578" s="3"/>
      <c r="R578" s="3"/>
      <c r="S578" s="3"/>
      <c r="T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row>
    <row r="579" spans="12:49" x14ac:dyDescent="0.35">
      <c r="L579" s="3"/>
      <c r="M579" s="3"/>
      <c r="N579" s="3"/>
      <c r="O579" s="65"/>
      <c r="Q579" s="3"/>
      <c r="R579" s="3"/>
      <c r="S579" s="3"/>
      <c r="T579" s="3"/>
      <c r="V579" s="3"/>
      <c r="W579" s="3"/>
      <c r="X579" s="3"/>
      <c r="Y579" s="3"/>
      <c r="Z579" s="3"/>
      <c r="AA579" s="3"/>
      <c r="AB579" s="3"/>
      <c r="AC579" s="3"/>
      <c r="AD579" s="3"/>
      <c r="AE579" s="3"/>
      <c r="AF579" s="3"/>
      <c r="AG579" s="3"/>
      <c r="AH579" s="3"/>
      <c r="AI579" s="3"/>
      <c r="AJ579" s="3"/>
      <c r="AK579" s="3"/>
      <c r="AL579" s="3"/>
      <c r="AM579" s="3"/>
      <c r="AN579" s="3"/>
      <c r="AO579" s="3"/>
      <c r="AP579" s="3"/>
      <c r="AQ579" s="3"/>
      <c r="AR579" s="3"/>
      <c r="AS579" s="3"/>
      <c r="AT579" s="3"/>
      <c r="AU579" s="3"/>
      <c r="AV579" s="3"/>
      <c r="AW579" s="3"/>
    </row>
    <row r="580" spans="12:49" x14ac:dyDescent="0.35">
      <c r="L580" s="3"/>
      <c r="M580" s="3"/>
      <c r="N580" s="3"/>
      <c r="O580" s="65"/>
      <c r="Q580" s="3"/>
      <c r="R580" s="3"/>
      <c r="S580" s="3"/>
      <c r="T580" s="3"/>
      <c r="V580" s="3"/>
      <c r="W580" s="3"/>
      <c r="X580" s="3"/>
      <c r="Y580" s="3"/>
      <c r="Z580" s="3"/>
      <c r="AA580" s="3"/>
      <c r="AB580" s="3"/>
      <c r="AC580" s="3"/>
      <c r="AD580" s="3"/>
      <c r="AE580" s="3"/>
      <c r="AF580" s="3"/>
      <c r="AG580" s="3"/>
      <c r="AH580" s="3"/>
      <c r="AI580" s="3"/>
      <c r="AJ580" s="3"/>
      <c r="AK580" s="3"/>
      <c r="AL580" s="3"/>
      <c r="AM580" s="3"/>
      <c r="AN580" s="3"/>
      <c r="AO580" s="3"/>
      <c r="AP580" s="3"/>
      <c r="AQ580" s="3"/>
      <c r="AR580" s="3"/>
      <c r="AS580" s="3"/>
      <c r="AT580" s="3"/>
      <c r="AU580" s="3"/>
      <c r="AV580" s="3"/>
      <c r="AW580" s="3"/>
    </row>
    <row r="581" spans="12:49" x14ac:dyDescent="0.35">
      <c r="L581" s="3"/>
      <c r="M581" s="3"/>
      <c r="N581" s="3"/>
      <c r="O581" s="65"/>
      <c r="Q581" s="3"/>
      <c r="R581" s="3"/>
      <c r="S581" s="3"/>
      <c r="T581" s="3"/>
      <c r="V581" s="3"/>
      <c r="W581" s="3"/>
      <c r="X581" s="3"/>
      <c r="Y581" s="3"/>
      <c r="Z581" s="3"/>
      <c r="AA581" s="3"/>
      <c r="AB581" s="3"/>
      <c r="AC581" s="3"/>
      <c r="AD581" s="3"/>
      <c r="AE581" s="3"/>
      <c r="AF581" s="3"/>
      <c r="AG581" s="3"/>
      <c r="AH581" s="3"/>
      <c r="AI581" s="3"/>
      <c r="AJ581" s="3"/>
      <c r="AK581" s="3"/>
      <c r="AL581" s="3"/>
      <c r="AM581" s="3"/>
      <c r="AN581" s="3"/>
      <c r="AO581" s="3"/>
      <c r="AP581" s="3"/>
      <c r="AQ581" s="3"/>
      <c r="AR581" s="3"/>
      <c r="AS581" s="3"/>
      <c r="AT581" s="3"/>
      <c r="AU581" s="3"/>
      <c r="AV581" s="3"/>
      <c r="AW581" s="3"/>
    </row>
    <row r="582" spans="12:49" x14ac:dyDescent="0.35">
      <c r="L582" s="3"/>
      <c r="M582" s="3"/>
      <c r="N582" s="3"/>
      <c r="O582" s="65"/>
      <c r="Q582" s="3"/>
      <c r="R582" s="3"/>
      <c r="S582" s="3"/>
      <c r="T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row>
    <row r="583" spans="12:49" x14ac:dyDescent="0.35">
      <c r="L583" s="3"/>
      <c r="M583" s="3"/>
      <c r="N583" s="3"/>
      <c r="O583" s="65"/>
      <c r="Q583" s="3"/>
      <c r="R583" s="3"/>
      <c r="S583" s="3"/>
      <c r="T583" s="3"/>
      <c r="V583" s="3"/>
      <c r="W583" s="3"/>
      <c r="X583" s="3"/>
      <c r="Y583" s="3"/>
      <c r="Z583" s="3"/>
      <c r="AA583" s="3"/>
      <c r="AB583" s="3"/>
      <c r="AC583" s="3"/>
      <c r="AD583" s="3"/>
      <c r="AE583" s="3"/>
      <c r="AF583" s="3"/>
      <c r="AG583" s="3"/>
      <c r="AH583" s="3"/>
      <c r="AI583" s="3"/>
      <c r="AJ583" s="3"/>
      <c r="AK583" s="3"/>
      <c r="AL583" s="3"/>
      <c r="AM583" s="3"/>
      <c r="AN583" s="3"/>
      <c r="AO583" s="3"/>
      <c r="AP583" s="3"/>
      <c r="AQ583" s="3"/>
      <c r="AR583" s="3"/>
      <c r="AS583" s="3"/>
      <c r="AT583" s="3"/>
      <c r="AU583" s="3"/>
      <c r="AV583" s="3"/>
      <c r="AW583" s="3"/>
    </row>
    <row r="584" spans="12:49" x14ac:dyDescent="0.35">
      <c r="L584" s="3"/>
      <c r="M584" s="3"/>
      <c r="N584" s="3"/>
      <c r="O584" s="65"/>
      <c r="Q584" s="3"/>
      <c r="R584" s="3"/>
      <c r="S584" s="3"/>
      <c r="T584" s="3"/>
      <c r="V584" s="3"/>
      <c r="W584" s="3"/>
      <c r="X584" s="3"/>
      <c r="Y584" s="3"/>
      <c r="Z584" s="3"/>
      <c r="AA584" s="3"/>
      <c r="AB584" s="3"/>
      <c r="AC584" s="3"/>
      <c r="AD584" s="3"/>
      <c r="AE584" s="3"/>
      <c r="AF584" s="3"/>
      <c r="AG584" s="3"/>
      <c r="AH584" s="3"/>
      <c r="AI584" s="3"/>
      <c r="AJ584" s="3"/>
      <c r="AK584" s="3"/>
      <c r="AL584" s="3"/>
      <c r="AM584" s="3"/>
      <c r="AN584" s="3"/>
      <c r="AO584" s="3"/>
      <c r="AP584" s="3"/>
      <c r="AQ584" s="3"/>
      <c r="AR584" s="3"/>
      <c r="AS584" s="3"/>
      <c r="AT584" s="3"/>
      <c r="AU584" s="3"/>
      <c r="AV584" s="3"/>
      <c r="AW584" s="3"/>
    </row>
    <row r="585" spans="12:49" x14ac:dyDescent="0.35">
      <c r="L585" s="3"/>
      <c r="M585" s="3"/>
      <c r="N585" s="3"/>
      <c r="O585" s="65"/>
      <c r="Q585" s="3"/>
      <c r="R585" s="3"/>
      <c r="S585" s="3"/>
      <c r="T585" s="3"/>
      <c r="V585" s="3"/>
      <c r="W585" s="3"/>
      <c r="X585" s="3"/>
      <c r="Y585" s="3"/>
      <c r="Z585" s="3"/>
      <c r="AA585" s="3"/>
      <c r="AB585" s="3"/>
      <c r="AC585" s="3"/>
      <c r="AD585" s="3"/>
      <c r="AE585" s="3"/>
      <c r="AF585" s="3"/>
      <c r="AG585" s="3"/>
      <c r="AH585" s="3"/>
      <c r="AI585" s="3"/>
      <c r="AJ585" s="3"/>
      <c r="AK585" s="3"/>
      <c r="AL585" s="3"/>
      <c r="AM585" s="3"/>
      <c r="AN585" s="3"/>
      <c r="AO585" s="3"/>
      <c r="AP585" s="3"/>
      <c r="AQ585" s="3"/>
      <c r="AR585" s="3"/>
      <c r="AS585" s="3"/>
      <c r="AT585" s="3"/>
      <c r="AU585" s="3"/>
      <c r="AV585" s="3"/>
      <c r="AW585" s="3"/>
    </row>
    <row r="586" spans="12:49" x14ac:dyDescent="0.35">
      <c r="L586" s="3"/>
      <c r="M586" s="3"/>
      <c r="N586" s="3"/>
      <c r="O586" s="65"/>
      <c r="Q586" s="3"/>
      <c r="R586" s="3"/>
      <c r="S586" s="3"/>
      <c r="T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row>
    <row r="587" spans="12:49" x14ac:dyDescent="0.35">
      <c r="L587" s="3"/>
      <c r="M587" s="3"/>
      <c r="N587" s="3"/>
      <c r="O587" s="65"/>
      <c r="Q587" s="3"/>
      <c r="R587" s="3"/>
      <c r="S587" s="3"/>
      <c r="T587" s="3"/>
      <c r="V587" s="3"/>
      <c r="W587" s="3"/>
      <c r="X587" s="3"/>
      <c r="Y587" s="3"/>
      <c r="Z587" s="3"/>
      <c r="AA587" s="3"/>
      <c r="AB587" s="3"/>
      <c r="AC587" s="3"/>
      <c r="AD587" s="3"/>
      <c r="AE587" s="3"/>
      <c r="AF587" s="3"/>
      <c r="AG587" s="3"/>
      <c r="AH587" s="3"/>
      <c r="AI587" s="3"/>
      <c r="AJ587" s="3"/>
      <c r="AK587" s="3"/>
      <c r="AL587" s="3"/>
      <c r="AM587" s="3"/>
      <c r="AN587" s="3"/>
      <c r="AO587" s="3"/>
      <c r="AP587" s="3"/>
      <c r="AQ587" s="3"/>
      <c r="AR587" s="3"/>
      <c r="AS587" s="3"/>
      <c r="AT587" s="3"/>
      <c r="AU587" s="3"/>
      <c r="AV587" s="3"/>
      <c r="AW587" s="3"/>
    </row>
    <row r="588" spans="12:49" x14ac:dyDescent="0.35">
      <c r="L588" s="3"/>
      <c r="M588" s="3"/>
      <c r="N588" s="3"/>
      <c r="O588" s="65"/>
      <c r="Q588" s="3"/>
      <c r="R588" s="3"/>
      <c r="S588" s="3"/>
      <c r="T588" s="3"/>
      <c r="V588" s="3"/>
      <c r="W588" s="3"/>
      <c r="X588" s="3"/>
      <c r="Y588" s="3"/>
      <c r="Z588" s="3"/>
      <c r="AA588" s="3"/>
      <c r="AB588" s="3"/>
      <c r="AC588" s="3"/>
      <c r="AD588" s="3"/>
      <c r="AE588" s="3"/>
      <c r="AF588" s="3"/>
      <c r="AG588" s="3"/>
      <c r="AH588" s="3"/>
      <c r="AI588" s="3"/>
      <c r="AJ588" s="3"/>
      <c r="AK588" s="3"/>
      <c r="AL588" s="3"/>
      <c r="AM588" s="3"/>
      <c r="AN588" s="3"/>
      <c r="AO588" s="3"/>
      <c r="AP588" s="3"/>
      <c r="AQ588" s="3"/>
      <c r="AR588" s="3"/>
      <c r="AS588" s="3"/>
      <c r="AT588" s="3"/>
      <c r="AU588" s="3"/>
      <c r="AV588" s="3"/>
      <c r="AW588" s="3"/>
    </row>
    <row r="589" spans="12:49" x14ac:dyDescent="0.35">
      <c r="L589" s="3"/>
      <c r="M589" s="3"/>
      <c r="N589" s="3"/>
      <c r="O589" s="65"/>
      <c r="Q589" s="3"/>
      <c r="R589" s="3"/>
      <c r="S589" s="3"/>
      <c r="T589" s="3"/>
      <c r="V589" s="3"/>
      <c r="W589" s="3"/>
      <c r="X589" s="3"/>
      <c r="Y589" s="3"/>
      <c r="Z589" s="3"/>
      <c r="AA589" s="3"/>
      <c r="AB589" s="3"/>
      <c r="AC589" s="3"/>
      <c r="AD589" s="3"/>
      <c r="AE589" s="3"/>
      <c r="AF589" s="3"/>
      <c r="AG589" s="3"/>
      <c r="AH589" s="3"/>
      <c r="AI589" s="3"/>
      <c r="AJ589" s="3"/>
      <c r="AK589" s="3"/>
      <c r="AL589" s="3"/>
      <c r="AM589" s="3"/>
      <c r="AN589" s="3"/>
      <c r="AO589" s="3"/>
      <c r="AP589" s="3"/>
      <c r="AQ589" s="3"/>
      <c r="AR589" s="3"/>
      <c r="AS589" s="3"/>
      <c r="AT589" s="3"/>
      <c r="AU589" s="3"/>
      <c r="AV589" s="3"/>
      <c r="AW589" s="3"/>
    </row>
    <row r="590" spans="12:49" x14ac:dyDescent="0.35">
      <c r="L590" s="3"/>
      <c r="M590" s="3"/>
      <c r="N590" s="3"/>
      <c r="O590" s="65"/>
      <c r="Q590" s="3"/>
      <c r="R590" s="3"/>
      <c r="S590" s="3"/>
      <c r="T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row>
    <row r="591" spans="12:49" x14ac:dyDescent="0.35">
      <c r="L591" s="3"/>
      <c r="M591" s="3"/>
      <c r="N591" s="3"/>
      <c r="O591" s="65"/>
      <c r="Q591" s="3"/>
      <c r="R591" s="3"/>
      <c r="S591" s="3"/>
      <c r="T591" s="3"/>
      <c r="V591" s="3"/>
      <c r="W591" s="3"/>
      <c r="X591" s="3"/>
      <c r="Y591" s="3"/>
      <c r="Z591" s="3"/>
      <c r="AA591" s="3"/>
      <c r="AB591" s="3"/>
      <c r="AC591" s="3"/>
      <c r="AD591" s="3"/>
      <c r="AE591" s="3"/>
      <c r="AF591" s="3"/>
      <c r="AG591" s="3"/>
      <c r="AH591" s="3"/>
      <c r="AI591" s="3"/>
      <c r="AJ591" s="3"/>
      <c r="AK591" s="3"/>
      <c r="AL591" s="3"/>
      <c r="AM591" s="3"/>
      <c r="AN591" s="3"/>
      <c r="AO591" s="3"/>
      <c r="AP591" s="3"/>
      <c r="AQ591" s="3"/>
      <c r="AR591" s="3"/>
      <c r="AS591" s="3"/>
      <c r="AT591" s="3"/>
      <c r="AU591" s="3"/>
      <c r="AV591" s="3"/>
      <c r="AW591" s="3"/>
    </row>
    <row r="592" spans="12:49" x14ac:dyDescent="0.35">
      <c r="L592" s="3"/>
      <c r="M592" s="3"/>
      <c r="N592" s="3"/>
      <c r="O592" s="65"/>
      <c r="Q592" s="3"/>
      <c r="R592" s="3"/>
      <c r="S592" s="3"/>
      <c r="T592" s="3"/>
      <c r="V592" s="3"/>
      <c r="W592" s="3"/>
      <c r="X592" s="3"/>
      <c r="Y592" s="3"/>
      <c r="Z592" s="3"/>
      <c r="AA592" s="3"/>
      <c r="AB592" s="3"/>
      <c r="AC592" s="3"/>
      <c r="AD592" s="3"/>
      <c r="AE592" s="3"/>
      <c r="AF592" s="3"/>
      <c r="AG592" s="3"/>
      <c r="AH592" s="3"/>
      <c r="AI592" s="3"/>
      <c r="AJ592" s="3"/>
      <c r="AK592" s="3"/>
      <c r="AL592" s="3"/>
      <c r="AM592" s="3"/>
      <c r="AN592" s="3"/>
      <c r="AO592" s="3"/>
      <c r="AP592" s="3"/>
      <c r="AQ592" s="3"/>
      <c r="AR592" s="3"/>
      <c r="AS592" s="3"/>
      <c r="AT592" s="3"/>
      <c r="AU592" s="3"/>
      <c r="AV592" s="3"/>
      <c r="AW592" s="3"/>
    </row>
    <row r="593" spans="12:49" x14ac:dyDescent="0.35">
      <c r="L593" s="3"/>
      <c r="M593" s="3"/>
      <c r="N593" s="3"/>
      <c r="O593" s="65"/>
      <c r="Q593" s="3"/>
      <c r="R593" s="3"/>
      <c r="S593" s="3"/>
      <c r="T593" s="3"/>
      <c r="V593" s="3"/>
      <c r="W593" s="3"/>
      <c r="X593" s="3"/>
      <c r="Y593" s="3"/>
      <c r="Z593" s="3"/>
      <c r="AA593" s="3"/>
      <c r="AB593" s="3"/>
      <c r="AC593" s="3"/>
      <c r="AD593" s="3"/>
      <c r="AE593" s="3"/>
      <c r="AF593" s="3"/>
      <c r="AG593" s="3"/>
      <c r="AH593" s="3"/>
      <c r="AI593" s="3"/>
      <c r="AJ593" s="3"/>
      <c r="AK593" s="3"/>
      <c r="AL593" s="3"/>
      <c r="AM593" s="3"/>
      <c r="AN593" s="3"/>
      <c r="AO593" s="3"/>
      <c r="AP593" s="3"/>
      <c r="AQ593" s="3"/>
      <c r="AR593" s="3"/>
      <c r="AS593" s="3"/>
      <c r="AT593" s="3"/>
      <c r="AU593" s="3"/>
      <c r="AV593" s="3"/>
      <c r="AW593" s="3"/>
    </row>
    <row r="594" spans="12:49" x14ac:dyDescent="0.35">
      <c r="L594" s="3"/>
      <c r="M594" s="3"/>
      <c r="N594" s="3"/>
      <c r="O594" s="65"/>
      <c r="Q594" s="3"/>
      <c r="R594" s="3"/>
      <c r="S594" s="3"/>
      <c r="T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row>
    <row r="595" spans="12:49" x14ac:dyDescent="0.35">
      <c r="L595" s="3"/>
      <c r="M595" s="3"/>
      <c r="N595" s="3"/>
      <c r="O595" s="65"/>
      <c r="Q595" s="3"/>
      <c r="R595" s="3"/>
      <c r="S595" s="3"/>
      <c r="T595" s="3"/>
      <c r="V595" s="3"/>
      <c r="W595" s="3"/>
      <c r="X595" s="3"/>
      <c r="Y595" s="3"/>
      <c r="Z595" s="3"/>
      <c r="AA595" s="3"/>
      <c r="AB595" s="3"/>
      <c r="AC595" s="3"/>
      <c r="AD595" s="3"/>
      <c r="AE595" s="3"/>
      <c r="AF595" s="3"/>
      <c r="AG595" s="3"/>
      <c r="AH595" s="3"/>
      <c r="AI595" s="3"/>
      <c r="AJ595" s="3"/>
      <c r="AK595" s="3"/>
      <c r="AL595" s="3"/>
      <c r="AM595" s="3"/>
      <c r="AN595" s="3"/>
      <c r="AO595" s="3"/>
      <c r="AP595" s="3"/>
      <c r="AQ595" s="3"/>
      <c r="AR595" s="3"/>
      <c r="AS595" s="3"/>
      <c r="AT595" s="3"/>
      <c r="AU595" s="3"/>
      <c r="AV595" s="3"/>
      <c r="AW595" s="3"/>
    </row>
    <row r="596" spans="12:49" x14ac:dyDescent="0.35">
      <c r="L596" s="3"/>
      <c r="M596" s="3"/>
      <c r="N596" s="3"/>
      <c r="O596" s="65"/>
      <c r="Q596" s="3"/>
      <c r="R596" s="3"/>
      <c r="S596" s="3"/>
      <c r="T596" s="3"/>
      <c r="V596" s="3"/>
      <c r="W596" s="3"/>
      <c r="X596" s="3"/>
      <c r="Y596" s="3"/>
      <c r="Z596" s="3"/>
      <c r="AA596" s="3"/>
      <c r="AB596" s="3"/>
      <c r="AC596" s="3"/>
      <c r="AD596" s="3"/>
      <c r="AE596" s="3"/>
      <c r="AF596" s="3"/>
      <c r="AG596" s="3"/>
      <c r="AH596" s="3"/>
      <c r="AI596" s="3"/>
      <c r="AJ596" s="3"/>
      <c r="AK596" s="3"/>
      <c r="AL596" s="3"/>
      <c r="AM596" s="3"/>
      <c r="AN596" s="3"/>
      <c r="AO596" s="3"/>
      <c r="AP596" s="3"/>
      <c r="AQ596" s="3"/>
      <c r="AR596" s="3"/>
      <c r="AS596" s="3"/>
      <c r="AT596" s="3"/>
      <c r="AU596" s="3"/>
      <c r="AV596" s="3"/>
      <c r="AW596" s="3"/>
    </row>
    <row r="597" spans="12:49" x14ac:dyDescent="0.35">
      <c r="L597" s="3"/>
      <c r="M597" s="3"/>
      <c r="N597" s="3"/>
      <c r="O597" s="65"/>
      <c r="Q597" s="3"/>
      <c r="R597" s="3"/>
      <c r="S597" s="3"/>
      <c r="T597" s="3"/>
      <c r="V597" s="3"/>
      <c r="W597" s="3"/>
      <c r="X597" s="3"/>
      <c r="Y597" s="3"/>
      <c r="Z597" s="3"/>
      <c r="AA597" s="3"/>
      <c r="AB597" s="3"/>
      <c r="AC597" s="3"/>
      <c r="AD597" s="3"/>
      <c r="AE597" s="3"/>
      <c r="AF597" s="3"/>
      <c r="AG597" s="3"/>
      <c r="AH597" s="3"/>
      <c r="AI597" s="3"/>
      <c r="AJ597" s="3"/>
      <c r="AK597" s="3"/>
      <c r="AL597" s="3"/>
      <c r="AM597" s="3"/>
      <c r="AN597" s="3"/>
      <c r="AO597" s="3"/>
      <c r="AP597" s="3"/>
      <c r="AQ597" s="3"/>
      <c r="AR597" s="3"/>
      <c r="AS597" s="3"/>
      <c r="AT597" s="3"/>
      <c r="AU597" s="3"/>
      <c r="AV597" s="3"/>
      <c r="AW597" s="3"/>
    </row>
    <row r="598" spans="12:49" x14ac:dyDescent="0.35">
      <c r="L598" s="3"/>
      <c r="M598" s="3"/>
      <c r="N598" s="3"/>
      <c r="O598" s="65"/>
      <c r="Q598" s="3"/>
      <c r="R598" s="3"/>
      <c r="S598" s="3"/>
      <c r="T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row>
    <row r="599" spans="12:49" x14ac:dyDescent="0.35">
      <c r="L599" s="3"/>
      <c r="M599" s="3"/>
      <c r="N599" s="3"/>
      <c r="O599" s="65"/>
      <c r="Q599" s="3"/>
      <c r="R599" s="3"/>
      <c r="S599" s="3"/>
      <c r="T599" s="3"/>
      <c r="V599" s="3"/>
      <c r="W599" s="3"/>
      <c r="X599" s="3"/>
      <c r="Y599" s="3"/>
      <c r="Z599" s="3"/>
      <c r="AA599" s="3"/>
      <c r="AB599" s="3"/>
      <c r="AC599" s="3"/>
      <c r="AD599" s="3"/>
      <c r="AE599" s="3"/>
      <c r="AF599" s="3"/>
      <c r="AG599" s="3"/>
      <c r="AH599" s="3"/>
      <c r="AI599" s="3"/>
      <c r="AJ599" s="3"/>
      <c r="AK599" s="3"/>
      <c r="AL599" s="3"/>
      <c r="AM599" s="3"/>
      <c r="AN599" s="3"/>
      <c r="AO599" s="3"/>
      <c r="AP599" s="3"/>
      <c r="AQ599" s="3"/>
      <c r="AR599" s="3"/>
      <c r="AS599" s="3"/>
      <c r="AT599" s="3"/>
      <c r="AU599" s="3"/>
      <c r="AV599" s="3"/>
      <c r="AW599" s="3"/>
    </row>
    <row r="600" spans="12:49" x14ac:dyDescent="0.35">
      <c r="L600" s="3"/>
      <c r="M600" s="3"/>
      <c r="N600" s="3"/>
      <c r="O600" s="65"/>
      <c r="Q600" s="3"/>
      <c r="R600" s="3"/>
      <c r="S600" s="3"/>
      <c r="T600" s="3"/>
      <c r="V600" s="3"/>
      <c r="W600" s="3"/>
      <c r="X600" s="3"/>
      <c r="Y600" s="3"/>
      <c r="Z600" s="3"/>
      <c r="AA600" s="3"/>
      <c r="AB600" s="3"/>
      <c r="AC600" s="3"/>
      <c r="AD600" s="3"/>
      <c r="AE600" s="3"/>
      <c r="AF600" s="3"/>
      <c r="AG600" s="3"/>
      <c r="AH600" s="3"/>
      <c r="AI600" s="3"/>
      <c r="AJ600" s="3"/>
      <c r="AK600" s="3"/>
      <c r="AL600" s="3"/>
      <c r="AM600" s="3"/>
      <c r="AN600" s="3"/>
      <c r="AO600" s="3"/>
      <c r="AP600" s="3"/>
      <c r="AQ600" s="3"/>
      <c r="AR600" s="3"/>
      <c r="AS600" s="3"/>
      <c r="AT600" s="3"/>
      <c r="AU600" s="3"/>
      <c r="AV600" s="3"/>
      <c r="AW600" s="3"/>
    </row>
    <row r="601" spans="12:49" x14ac:dyDescent="0.35">
      <c r="L601" s="3"/>
      <c r="M601" s="3"/>
      <c r="N601" s="3"/>
      <c r="O601" s="65"/>
      <c r="Q601" s="3"/>
      <c r="R601" s="3"/>
      <c r="S601" s="3"/>
      <c r="T601" s="3"/>
      <c r="V601" s="3"/>
      <c r="W601" s="3"/>
      <c r="X601" s="3"/>
      <c r="Y601" s="3"/>
      <c r="Z601" s="3"/>
      <c r="AA601" s="3"/>
      <c r="AB601" s="3"/>
      <c r="AC601" s="3"/>
      <c r="AD601" s="3"/>
      <c r="AE601" s="3"/>
      <c r="AF601" s="3"/>
      <c r="AG601" s="3"/>
      <c r="AH601" s="3"/>
      <c r="AI601" s="3"/>
      <c r="AJ601" s="3"/>
      <c r="AK601" s="3"/>
      <c r="AL601" s="3"/>
      <c r="AM601" s="3"/>
      <c r="AN601" s="3"/>
      <c r="AO601" s="3"/>
      <c r="AP601" s="3"/>
      <c r="AQ601" s="3"/>
      <c r="AR601" s="3"/>
      <c r="AS601" s="3"/>
      <c r="AT601" s="3"/>
      <c r="AU601" s="3"/>
      <c r="AV601" s="3"/>
      <c r="AW601" s="3"/>
    </row>
    <row r="602" spans="12:49" x14ac:dyDescent="0.35">
      <c r="L602" s="3"/>
      <c r="M602" s="3"/>
      <c r="N602" s="3"/>
      <c r="O602" s="65"/>
      <c r="Q602" s="3"/>
      <c r="R602" s="3"/>
      <c r="S602" s="3"/>
      <c r="T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row>
    <row r="603" spans="12:49" x14ac:dyDescent="0.35">
      <c r="L603" s="3"/>
      <c r="M603" s="3"/>
      <c r="N603" s="3"/>
      <c r="O603" s="65"/>
      <c r="Q603" s="3"/>
      <c r="R603" s="3"/>
      <c r="S603" s="3"/>
      <c r="T603" s="3"/>
      <c r="V603" s="3"/>
      <c r="W603" s="3"/>
      <c r="X603" s="3"/>
      <c r="Y603" s="3"/>
      <c r="Z603" s="3"/>
      <c r="AA603" s="3"/>
      <c r="AB603" s="3"/>
      <c r="AC603" s="3"/>
      <c r="AD603" s="3"/>
      <c r="AE603" s="3"/>
      <c r="AF603" s="3"/>
      <c r="AG603" s="3"/>
      <c r="AH603" s="3"/>
      <c r="AI603" s="3"/>
      <c r="AJ603" s="3"/>
      <c r="AK603" s="3"/>
      <c r="AL603" s="3"/>
      <c r="AM603" s="3"/>
      <c r="AN603" s="3"/>
      <c r="AO603" s="3"/>
      <c r="AP603" s="3"/>
      <c r="AQ603" s="3"/>
      <c r="AR603" s="3"/>
      <c r="AS603" s="3"/>
      <c r="AT603" s="3"/>
      <c r="AU603" s="3"/>
      <c r="AV603" s="3"/>
      <c r="AW603" s="3"/>
    </row>
    <row r="604" spans="12:49" x14ac:dyDescent="0.35">
      <c r="L604" s="3"/>
      <c r="M604" s="3"/>
      <c r="N604" s="3"/>
      <c r="O604" s="65"/>
      <c r="Q604" s="3"/>
      <c r="R604" s="3"/>
      <c r="S604" s="3"/>
      <c r="T604" s="3"/>
      <c r="V604" s="3"/>
      <c r="W604" s="3"/>
      <c r="X604" s="3"/>
      <c r="Y604" s="3"/>
      <c r="Z604" s="3"/>
      <c r="AA604" s="3"/>
      <c r="AB604" s="3"/>
      <c r="AC604" s="3"/>
      <c r="AD604" s="3"/>
      <c r="AE604" s="3"/>
      <c r="AF604" s="3"/>
      <c r="AG604" s="3"/>
      <c r="AH604" s="3"/>
      <c r="AI604" s="3"/>
      <c r="AJ604" s="3"/>
      <c r="AK604" s="3"/>
      <c r="AL604" s="3"/>
      <c r="AM604" s="3"/>
      <c r="AN604" s="3"/>
      <c r="AO604" s="3"/>
      <c r="AP604" s="3"/>
      <c r="AQ604" s="3"/>
      <c r="AR604" s="3"/>
      <c r="AS604" s="3"/>
      <c r="AT604" s="3"/>
      <c r="AU604" s="3"/>
      <c r="AV604" s="3"/>
      <c r="AW604" s="3"/>
    </row>
    <row r="605" spans="12:49" x14ac:dyDescent="0.35">
      <c r="L605" s="3"/>
      <c r="M605" s="3"/>
      <c r="N605" s="3"/>
      <c r="O605" s="65"/>
      <c r="Q605" s="3"/>
      <c r="R605" s="3"/>
      <c r="S605" s="3"/>
      <c r="T605" s="3"/>
      <c r="V605" s="3"/>
      <c r="W605" s="3"/>
      <c r="X605" s="3"/>
      <c r="Y605" s="3"/>
      <c r="Z605" s="3"/>
      <c r="AA605" s="3"/>
      <c r="AB605" s="3"/>
      <c r="AC605" s="3"/>
      <c r="AD605" s="3"/>
      <c r="AE605" s="3"/>
      <c r="AF605" s="3"/>
      <c r="AG605" s="3"/>
      <c r="AH605" s="3"/>
      <c r="AI605" s="3"/>
      <c r="AJ605" s="3"/>
      <c r="AK605" s="3"/>
      <c r="AL605" s="3"/>
      <c r="AM605" s="3"/>
      <c r="AN605" s="3"/>
      <c r="AO605" s="3"/>
      <c r="AP605" s="3"/>
      <c r="AQ605" s="3"/>
      <c r="AR605" s="3"/>
      <c r="AS605" s="3"/>
      <c r="AT605" s="3"/>
      <c r="AU605" s="3"/>
      <c r="AV605" s="3"/>
      <c r="AW605" s="3"/>
    </row>
    <row r="606" spans="12:49" x14ac:dyDescent="0.35">
      <c r="L606" s="3"/>
      <c r="M606" s="3"/>
      <c r="N606" s="3"/>
      <c r="O606" s="65"/>
      <c r="Q606" s="3"/>
      <c r="R606" s="3"/>
      <c r="S606" s="3"/>
      <c r="T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row>
    <row r="607" spans="12:49" x14ac:dyDescent="0.35">
      <c r="L607" s="3"/>
      <c r="M607" s="3"/>
      <c r="N607" s="3"/>
      <c r="O607" s="65"/>
      <c r="Q607" s="3"/>
      <c r="R607" s="3"/>
      <c r="S607" s="3"/>
      <c r="T607" s="3"/>
      <c r="V607" s="3"/>
      <c r="W607" s="3"/>
      <c r="X607" s="3"/>
      <c r="Y607" s="3"/>
      <c r="Z607" s="3"/>
      <c r="AA607" s="3"/>
      <c r="AB607" s="3"/>
      <c r="AC607" s="3"/>
      <c r="AD607" s="3"/>
      <c r="AE607" s="3"/>
      <c r="AF607" s="3"/>
      <c r="AG607" s="3"/>
      <c r="AH607" s="3"/>
      <c r="AI607" s="3"/>
      <c r="AJ607" s="3"/>
      <c r="AK607" s="3"/>
      <c r="AL607" s="3"/>
      <c r="AM607" s="3"/>
      <c r="AN607" s="3"/>
      <c r="AO607" s="3"/>
      <c r="AP607" s="3"/>
      <c r="AQ607" s="3"/>
      <c r="AR607" s="3"/>
      <c r="AS607" s="3"/>
      <c r="AT607" s="3"/>
      <c r="AU607" s="3"/>
      <c r="AV607" s="3"/>
      <c r="AW607" s="3"/>
    </row>
    <row r="608" spans="12:49" x14ac:dyDescent="0.35">
      <c r="L608" s="3"/>
      <c r="M608" s="3"/>
      <c r="N608" s="3"/>
      <c r="O608" s="65"/>
      <c r="Q608" s="3"/>
      <c r="R608" s="3"/>
      <c r="S608" s="3"/>
      <c r="T608" s="3"/>
      <c r="V608" s="3"/>
      <c r="W608" s="3"/>
      <c r="X608" s="3"/>
      <c r="Y608" s="3"/>
      <c r="Z608" s="3"/>
      <c r="AA608" s="3"/>
      <c r="AB608" s="3"/>
      <c r="AC608" s="3"/>
      <c r="AD608" s="3"/>
      <c r="AE608" s="3"/>
      <c r="AF608" s="3"/>
      <c r="AG608" s="3"/>
      <c r="AH608" s="3"/>
      <c r="AI608" s="3"/>
      <c r="AJ608" s="3"/>
      <c r="AK608" s="3"/>
      <c r="AL608" s="3"/>
      <c r="AM608" s="3"/>
      <c r="AN608" s="3"/>
      <c r="AO608" s="3"/>
      <c r="AP608" s="3"/>
      <c r="AQ608" s="3"/>
      <c r="AR608" s="3"/>
      <c r="AS608" s="3"/>
      <c r="AT608" s="3"/>
      <c r="AU608" s="3"/>
      <c r="AV608" s="3"/>
      <c r="AW608" s="3"/>
    </row>
    <row r="609" spans="12:49" x14ac:dyDescent="0.35">
      <c r="L609" s="3"/>
      <c r="M609" s="3"/>
      <c r="N609" s="3"/>
      <c r="O609" s="65"/>
      <c r="Q609" s="3"/>
      <c r="R609" s="3"/>
      <c r="S609" s="3"/>
      <c r="T609" s="3"/>
      <c r="V609" s="3"/>
      <c r="W609" s="3"/>
      <c r="X609" s="3"/>
      <c r="Y609" s="3"/>
      <c r="Z609" s="3"/>
      <c r="AA609" s="3"/>
      <c r="AB609" s="3"/>
      <c r="AC609" s="3"/>
      <c r="AD609" s="3"/>
      <c r="AE609" s="3"/>
      <c r="AF609" s="3"/>
      <c r="AG609" s="3"/>
      <c r="AH609" s="3"/>
      <c r="AI609" s="3"/>
      <c r="AJ609" s="3"/>
      <c r="AK609" s="3"/>
      <c r="AL609" s="3"/>
      <c r="AM609" s="3"/>
      <c r="AN609" s="3"/>
      <c r="AO609" s="3"/>
      <c r="AP609" s="3"/>
      <c r="AQ609" s="3"/>
      <c r="AR609" s="3"/>
      <c r="AS609" s="3"/>
      <c r="AT609" s="3"/>
      <c r="AU609" s="3"/>
      <c r="AV609" s="3"/>
      <c r="AW609" s="3"/>
    </row>
    <row r="610" spans="12:49" x14ac:dyDescent="0.35">
      <c r="L610" s="3"/>
      <c r="M610" s="3"/>
      <c r="N610" s="3"/>
      <c r="O610" s="65"/>
      <c r="Q610" s="3"/>
      <c r="R610" s="3"/>
      <c r="S610" s="3"/>
      <c r="T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row>
    <row r="611" spans="12:49" x14ac:dyDescent="0.35">
      <c r="L611" s="3"/>
      <c r="M611" s="3"/>
      <c r="N611" s="3"/>
      <c r="O611" s="65"/>
      <c r="Q611" s="3"/>
      <c r="R611" s="3"/>
      <c r="S611" s="3"/>
      <c r="T611" s="3"/>
      <c r="V611" s="3"/>
      <c r="W611" s="3"/>
      <c r="X611" s="3"/>
      <c r="Y611" s="3"/>
      <c r="Z611" s="3"/>
      <c r="AA611" s="3"/>
      <c r="AB611" s="3"/>
      <c r="AC611" s="3"/>
      <c r="AD611" s="3"/>
      <c r="AE611" s="3"/>
      <c r="AF611" s="3"/>
      <c r="AG611" s="3"/>
      <c r="AH611" s="3"/>
      <c r="AI611" s="3"/>
      <c r="AJ611" s="3"/>
      <c r="AK611" s="3"/>
      <c r="AL611" s="3"/>
      <c r="AM611" s="3"/>
      <c r="AN611" s="3"/>
      <c r="AO611" s="3"/>
      <c r="AP611" s="3"/>
      <c r="AQ611" s="3"/>
      <c r="AR611" s="3"/>
      <c r="AS611" s="3"/>
      <c r="AT611" s="3"/>
      <c r="AU611" s="3"/>
      <c r="AV611" s="3"/>
      <c r="AW611" s="3"/>
    </row>
    <row r="612" spans="12:49" x14ac:dyDescent="0.35">
      <c r="L612" s="3"/>
      <c r="M612" s="3"/>
      <c r="N612" s="3"/>
      <c r="O612" s="65"/>
      <c r="Q612" s="3"/>
      <c r="R612" s="3"/>
      <c r="S612" s="3"/>
      <c r="T612" s="3"/>
      <c r="V612" s="3"/>
      <c r="W612" s="3"/>
      <c r="X612" s="3"/>
      <c r="Y612" s="3"/>
      <c r="Z612" s="3"/>
      <c r="AA612" s="3"/>
      <c r="AB612" s="3"/>
      <c r="AC612" s="3"/>
      <c r="AD612" s="3"/>
      <c r="AE612" s="3"/>
      <c r="AF612" s="3"/>
      <c r="AG612" s="3"/>
      <c r="AH612" s="3"/>
      <c r="AI612" s="3"/>
      <c r="AJ612" s="3"/>
      <c r="AK612" s="3"/>
      <c r="AL612" s="3"/>
      <c r="AM612" s="3"/>
      <c r="AN612" s="3"/>
      <c r="AO612" s="3"/>
      <c r="AP612" s="3"/>
      <c r="AQ612" s="3"/>
      <c r="AR612" s="3"/>
      <c r="AS612" s="3"/>
      <c r="AT612" s="3"/>
      <c r="AU612" s="3"/>
      <c r="AV612" s="3"/>
      <c r="AW612" s="3"/>
    </row>
    <row r="613" spans="12:49" x14ac:dyDescent="0.35">
      <c r="L613" s="3"/>
      <c r="M613" s="3"/>
      <c r="N613" s="3"/>
      <c r="O613" s="65"/>
      <c r="Q613" s="3"/>
      <c r="R613" s="3"/>
      <c r="S613" s="3"/>
      <c r="T613" s="3"/>
      <c r="V613" s="3"/>
      <c r="W613" s="3"/>
      <c r="X613" s="3"/>
      <c r="Y613" s="3"/>
      <c r="Z613" s="3"/>
      <c r="AA613" s="3"/>
      <c r="AB613" s="3"/>
      <c r="AC613" s="3"/>
      <c r="AD613" s="3"/>
      <c r="AE613" s="3"/>
      <c r="AF613" s="3"/>
      <c r="AG613" s="3"/>
      <c r="AH613" s="3"/>
      <c r="AI613" s="3"/>
      <c r="AJ613" s="3"/>
      <c r="AK613" s="3"/>
      <c r="AL613" s="3"/>
      <c r="AM613" s="3"/>
      <c r="AN613" s="3"/>
      <c r="AO613" s="3"/>
      <c r="AP613" s="3"/>
      <c r="AQ613" s="3"/>
      <c r="AR613" s="3"/>
      <c r="AS613" s="3"/>
      <c r="AT613" s="3"/>
      <c r="AU613" s="3"/>
      <c r="AV613" s="3"/>
      <c r="AW613" s="3"/>
    </row>
    <row r="614" spans="12:49" x14ac:dyDescent="0.35">
      <c r="L614" s="3"/>
      <c r="M614" s="3"/>
      <c r="N614" s="3"/>
      <c r="O614" s="65"/>
      <c r="Q614" s="3"/>
      <c r="R614" s="3"/>
      <c r="S614" s="3"/>
      <c r="T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row>
    <row r="615" spans="12:49" x14ac:dyDescent="0.35">
      <c r="L615" s="3"/>
      <c r="M615" s="3"/>
      <c r="N615" s="3"/>
      <c r="O615" s="65"/>
      <c r="Q615" s="3"/>
      <c r="R615" s="3"/>
      <c r="S615" s="3"/>
      <c r="T615" s="3"/>
      <c r="V615" s="3"/>
      <c r="W615" s="3"/>
      <c r="X615" s="3"/>
      <c r="Y615" s="3"/>
      <c r="Z615" s="3"/>
      <c r="AA615" s="3"/>
      <c r="AB615" s="3"/>
      <c r="AC615" s="3"/>
      <c r="AD615" s="3"/>
      <c r="AE615" s="3"/>
      <c r="AF615" s="3"/>
      <c r="AG615" s="3"/>
      <c r="AH615" s="3"/>
      <c r="AI615" s="3"/>
      <c r="AJ615" s="3"/>
      <c r="AK615" s="3"/>
      <c r="AL615" s="3"/>
      <c r="AM615" s="3"/>
      <c r="AN615" s="3"/>
      <c r="AO615" s="3"/>
      <c r="AP615" s="3"/>
      <c r="AQ615" s="3"/>
      <c r="AR615" s="3"/>
      <c r="AS615" s="3"/>
      <c r="AT615" s="3"/>
      <c r="AU615" s="3"/>
      <c r="AV615" s="3"/>
      <c r="AW615" s="3"/>
    </row>
    <row r="616" spans="12:49" x14ac:dyDescent="0.35">
      <c r="L616" s="3"/>
      <c r="M616" s="3"/>
      <c r="N616" s="3"/>
      <c r="O616" s="65"/>
      <c r="Q616" s="3"/>
      <c r="R616" s="3"/>
      <c r="S616" s="3"/>
      <c r="T616" s="3"/>
      <c r="V616" s="3"/>
      <c r="W616" s="3"/>
      <c r="X616" s="3"/>
      <c r="Y616" s="3"/>
      <c r="Z616" s="3"/>
      <c r="AA616" s="3"/>
      <c r="AB616" s="3"/>
      <c r="AC616" s="3"/>
      <c r="AD616" s="3"/>
      <c r="AE616" s="3"/>
      <c r="AF616" s="3"/>
      <c r="AG616" s="3"/>
      <c r="AH616" s="3"/>
      <c r="AI616" s="3"/>
      <c r="AJ616" s="3"/>
      <c r="AK616" s="3"/>
      <c r="AL616" s="3"/>
      <c r="AM616" s="3"/>
      <c r="AN616" s="3"/>
      <c r="AO616" s="3"/>
      <c r="AP616" s="3"/>
      <c r="AQ616" s="3"/>
      <c r="AR616" s="3"/>
      <c r="AS616" s="3"/>
      <c r="AT616" s="3"/>
      <c r="AU616" s="3"/>
      <c r="AV616" s="3"/>
      <c r="AW616" s="3"/>
    </row>
    <row r="617" spans="12:49" x14ac:dyDescent="0.35">
      <c r="L617" s="3"/>
      <c r="M617" s="3"/>
      <c r="N617" s="3"/>
      <c r="O617" s="65"/>
      <c r="Q617" s="3"/>
      <c r="R617" s="3"/>
      <c r="S617" s="3"/>
      <c r="T617" s="3"/>
      <c r="V617" s="3"/>
      <c r="W617" s="3"/>
      <c r="X617" s="3"/>
      <c r="Y617" s="3"/>
      <c r="Z617" s="3"/>
      <c r="AA617" s="3"/>
      <c r="AB617" s="3"/>
      <c r="AC617" s="3"/>
      <c r="AD617" s="3"/>
      <c r="AE617" s="3"/>
      <c r="AF617" s="3"/>
      <c r="AG617" s="3"/>
      <c r="AH617" s="3"/>
      <c r="AI617" s="3"/>
      <c r="AJ617" s="3"/>
      <c r="AK617" s="3"/>
      <c r="AL617" s="3"/>
      <c r="AM617" s="3"/>
      <c r="AN617" s="3"/>
      <c r="AO617" s="3"/>
      <c r="AP617" s="3"/>
      <c r="AQ617" s="3"/>
      <c r="AR617" s="3"/>
      <c r="AS617" s="3"/>
      <c r="AT617" s="3"/>
      <c r="AU617" s="3"/>
      <c r="AV617" s="3"/>
      <c r="AW617" s="3"/>
    </row>
    <row r="618" spans="12:49" x14ac:dyDescent="0.35">
      <c r="L618" s="3"/>
      <c r="M618" s="3"/>
      <c r="N618" s="3"/>
      <c r="O618" s="65"/>
      <c r="Q618" s="3"/>
      <c r="R618" s="3"/>
      <c r="S618" s="3"/>
      <c r="T618" s="3"/>
      <c r="V618" s="3"/>
      <c r="W618" s="3"/>
      <c r="X618" s="3"/>
      <c r="Y618" s="3"/>
      <c r="Z618" s="3"/>
      <c r="AA618" s="3"/>
      <c r="AB618" s="3"/>
      <c r="AC618" s="3"/>
      <c r="AD618" s="3"/>
      <c r="AE618" s="3"/>
      <c r="AF618" s="3"/>
      <c r="AG618" s="3"/>
      <c r="AH618" s="3"/>
      <c r="AI618" s="3"/>
      <c r="AJ618" s="3"/>
      <c r="AK618" s="3"/>
      <c r="AL618" s="3"/>
      <c r="AM618" s="3"/>
      <c r="AN618" s="3"/>
      <c r="AO618" s="3"/>
      <c r="AP618" s="3"/>
      <c r="AQ618" s="3"/>
      <c r="AR618" s="3"/>
      <c r="AS618" s="3"/>
      <c r="AT618" s="3"/>
      <c r="AU618" s="3"/>
      <c r="AV618" s="3"/>
      <c r="AW618" s="3"/>
    </row>
    <row r="619" spans="12:49" x14ac:dyDescent="0.35">
      <c r="L619" s="3"/>
      <c r="M619" s="3"/>
      <c r="N619" s="3"/>
      <c r="O619" s="65"/>
      <c r="Q619" s="3"/>
      <c r="R619" s="3"/>
      <c r="S619" s="3"/>
      <c r="T619" s="3"/>
      <c r="V619" s="3"/>
      <c r="W619" s="3"/>
      <c r="X619" s="3"/>
      <c r="Y619" s="3"/>
      <c r="Z619" s="3"/>
      <c r="AA619" s="3"/>
      <c r="AB619" s="3"/>
      <c r="AC619" s="3"/>
      <c r="AD619" s="3"/>
      <c r="AE619" s="3"/>
      <c r="AF619" s="3"/>
      <c r="AG619" s="3"/>
      <c r="AH619" s="3"/>
      <c r="AI619" s="3"/>
      <c r="AJ619" s="3"/>
      <c r="AK619" s="3"/>
      <c r="AL619" s="3"/>
      <c r="AM619" s="3"/>
      <c r="AN619" s="3"/>
      <c r="AO619" s="3"/>
      <c r="AP619" s="3"/>
      <c r="AQ619" s="3"/>
      <c r="AR619" s="3"/>
      <c r="AS619" s="3"/>
      <c r="AT619" s="3"/>
      <c r="AU619" s="3"/>
      <c r="AV619" s="3"/>
      <c r="AW619" s="3"/>
    </row>
    <row r="620" spans="12:49" x14ac:dyDescent="0.35">
      <c r="L620" s="3"/>
      <c r="M620" s="3"/>
      <c r="N620" s="3"/>
      <c r="O620" s="65"/>
      <c r="Q620" s="3"/>
      <c r="R620" s="3"/>
      <c r="S620" s="3"/>
      <c r="T620" s="3"/>
      <c r="V620" s="3"/>
      <c r="W620" s="3"/>
      <c r="X620" s="3"/>
      <c r="Y620" s="3"/>
      <c r="Z620" s="3"/>
      <c r="AA620" s="3"/>
      <c r="AB620" s="3"/>
      <c r="AC620" s="3"/>
      <c r="AD620" s="3"/>
      <c r="AE620" s="3"/>
      <c r="AF620" s="3"/>
      <c r="AG620" s="3"/>
      <c r="AH620" s="3"/>
      <c r="AI620" s="3"/>
      <c r="AJ620" s="3"/>
      <c r="AK620" s="3"/>
      <c r="AL620" s="3"/>
      <c r="AM620" s="3"/>
      <c r="AN620" s="3"/>
      <c r="AO620" s="3"/>
      <c r="AP620" s="3"/>
      <c r="AQ620" s="3"/>
      <c r="AR620" s="3"/>
      <c r="AS620" s="3"/>
      <c r="AT620" s="3"/>
      <c r="AU620" s="3"/>
      <c r="AV620" s="3"/>
      <c r="AW620" s="3"/>
    </row>
    <row r="621" spans="12:49" x14ac:dyDescent="0.35">
      <c r="L621" s="3"/>
      <c r="M621" s="3"/>
      <c r="N621" s="3"/>
      <c r="O621" s="65"/>
      <c r="Q621" s="3"/>
      <c r="R621" s="3"/>
      <c r="S621" s="3"/>
      <c r="T621" s="3"/>
      <c r="V621" s="3"/>
      <c r="W621" s="3"/>
      <c r="X621" s="3"/>
      <c r="Y621" s="3"/>
      <c r="Z621" s="3"/>
      <c r="AA621" s="3"/>
      <c r="AB621" s="3"/>
      <c r="AC621" s="3"/>
      <c r="AD621" s="3"/>
      <c r="AE621" s="3"/>
      <c r="AF621" s="3"/>
      <c r="AG621" s="3"/>
      <c r="AH621" s="3"/>
      <c r="AI621" s="3"/>
      <c r="AJ621" s="3"/>
      <c r="AK621" s="3"/>
      <c r="AL621" s="3"/>
      <c r="AM621" s="3"/>
      <c r="AN621" s="3"/>
      <c r="AO621" s="3"/>
      <c r="AP621" s="3"/>
      <c r="AQ621" s="3"/>
      <c r="AR621" s="3"/>
      <c r="AS621" s="3"/>
      <c r="AT621" s="3"/>
      <c r="AU621" s="3"/>
      <c r="AV621" s="3"/>
      <c r="AW621" s="3"/>
    </row>
    <row r="622" spans="12:49" x14ac:dyDescent="0.35">
      <c r="L622" s="3"/>
      <c r="M622" s="3"/>
      <c r="N622" s="3"/>
      <c r="O622" s="65"/>
      <c r="Q622" s="3"/>
      <c r="R622" s="3"/>
      <c r="S622" s="3"/>
      <c r="T622" s="3"/>
      <c r="V622" s="3"/>
      <c r="W622" s="3"/>
      <c r="X622" s="3"/>
      <c r="Y622" s="3"/>
      <c r="Z622" s="3"/>
      <c r="AA622" s="3"/>
      <c r="AB622" s="3"/>
      <c r="AC622" s="3"/>
      <c r="AD622" s="3"/>
      <c r="AE622" s="3"/>
      <c r="AF622" s="3"/>
      <c r="AG622" s="3"/>
      <c r="AH622" s="3"/>
      <c r="AI622" s="3"/>
      <c r="AJ622" s="3"/>
      <c r="AK622" s="3"/>
      <c r="AL622" s="3"/>
      <c r="AM622" s="3"/>
      <c r="AN622" s="3"/>
      <c r="AO622" s="3"/>
      <c r="AP622" s="3"/>
      <c r="AQ622" s="3"/>
      <c r="AR622" s="3"/>
      <c r="AS622" s="3"/>
      <c r="AT622" s="3"/>
      <c r="AU622" s="3"/>
      <c r="AV622" s="3"/>
      <c r="AW622" s="3"/>
    </row>
    <row r="623" spans="12:49" x14ac:dyDescent="0.35">
      <c r="L623" s="3"/>
      <c r="M623" s="3"/>
      <c r="N623" s="3"/>
      <c r="O623" s="65"/>
      <c r="Q623" s="3"/>
      <c r="R623" s="3"/>
      <c r="S623" s="3"/>
      <c r="T623" s="3"/>
      <c r="V623" s="3"/>
      <c r="W623" s="3"/>
      <c r="X623" s="3"/>
      <c r="Y623" s="3"/>
      <c r="Z623" s="3"/>
      <c r="AA623" s="3"/>
      <c r="AB623" s="3"/>
      <c r="AC623" s="3"/>
      <c r="AD623" s="3"/>
      <c r="AE623" s="3"/>
      <c r="AF623" s="3"/>
      <c r="AG623" s="3"/>
      <c r="AH623" s="3"/>
      <c r="AI623" s="3"/>
      <c r="AJ623" s="3"/>
      <c r="AK623" s="3"/>
      <c r="AL623" s="3"/>
      <c r="AM623" s="3"/>
      <c r="AN623" s="3"/>
      <c r="AO623" s="3"/>
      <c r="AP623" s="3"/>
      <c r="AQ623" s="3"/>
      <c r="AR623" s="3"/>
      <c r="AS623" s="3"/>
      <c r="AT623" s="3"/>
      <c r="AU623" s="3"/>
      <c r="AV623" s="3"/>
      <c r="AW623" s="3"/>
    </row>
    <row r="624" spans="12:49" x14ac:dyDescent="0.35">
      <c r="L624" s="3"/>
      <c r="M624" s="3"/>
      <c r="N624" s="3"/>
      <c r="O624" s="65"/>
      <c r="Q624" s="3"/>
      <c r="R624" s="3"/>
      <c r="S624" s="3"/>
      <c r="T624" s="3"/>
      <c r="V624" s="3"/>
      <c r="W624" s="3"/>
      <c r="X624" s="3"/>
      <c r="Y624" s="3"/>
      <c r="Z624" s="3"/>
      <c r="AA624" s="3"/>
      <c r="AB624" s="3"/>
      <c r="AC624" s="3"/>
      <c r="AD624" s="3"/>
      <c r="AE624" s="3"/>
      <c r="AF624" s="3"/>
      <c r="AG624" s="3"/>
      <c r="AH624" s="3"/>
      <c r="AI624" s="3"/>
      <c r="AJ624" s="3"/>
      <c r="AK624" s="3"/>
      <c r="AL624" s="3"/>
      <c r="AM624" s="3"/>
      <c r="AN624" s="3"/>
      <c r="AO624" s="3"/>
      <c r="AP624" s="3"/>
      <c r="AQ624" s="3"/>
      <c r="AR624" s="3"/>
      <c r="AS624" s="3"/>
      <c r="AT624" s="3"/>
      <c r="AU624" s="3"/>
      <c r="AV624" s="3"/>
      <c r="AW624" s="3"/>
    </row>
    <row r="625" spans="12:49" x14ac:dyDescent="0.35">
      <c r="L625" s="3"/>
      <c r="M625" s="3"/>
      <c r="N625" s="3"/>
      <c r="O625" s="65"/>
      <c r="Q625" s="3"/>
      <c r="R625" s="3"/>
      <c r="S625" s="3"/>
      <c r="T625" s="3"/>
      <c r="V625" s="3"/>
      <c r="W625" s="3"/>
      <c r="X625" s="3"/>
      <c r="Y625" s="3"/>
      <c r="Z625" s="3"/>
      <c r="AA625" s="3"/>
      <c r="AB625" s="3"/>
      <c r="AC625" s="3"/>
      <c r="AD625" s="3"/>
      <c r="AE625" s="3"/>
      <c r="AF625" s="3"/>
      <c r="AG625" s="3"/>
      <c r="AH625" s="3"/>
      <c r="AI625" s="3"/>
      <c r="AJ625" s="3"/>
      <c r="AK625" s="3"/>
      <c r="AL625" s="3"/>
      <c r="AM625" s="3"/>
      <c r="AN625" s="3"/>
      <c r="AO625" s="3"/>
      <c r="AP625" s="3"/>
      <c r="AQ625" s="3"/>
      <c r="AR625" s="3"/>
      <c r="AS625" s="3"/>
      <c r="AT625" s="3"/>
      <c r="AU625" s="3"/>
      <c r="AV625" s="3"/>
      <c r="AW625" s="3"/>
    </row>
    <row r="626" spans="12:49" x14ac:dyDescent="0.35">
      <c r="L626" s="3"/>
      <c r="M626" s="3"/>
      <c r="N626" s="3"/>
      <c r="O626" s="65"/>
      <c r="Q626" s="3"/>
      <c r="R626" s="3"/>
      <c r="S626" s="3"/>
      <c r="T626" s="3"/>
      <c r="V626" s="3"/>
      <c r="W626" s="3"/>
      <c r="X626" s="3"/>
      <c r="Y626" s="3"/>
      <c r="Z626" s="3"/>
      <c r="AA626" s="3"/>
      <c r="AB626" s="3"/>
      <c r="AC626" s="3"/>
      <c r="AD626" s="3"/>
      <c r="AE626" s="3"/>
      <c r="AF626" s="3"/>
      <c r="AG626" s="3"/>
      <c r="AH626" s="3"/>
      <c r="AI626" s="3"/>
      <c r="AJ626" s="3"/>
      <c r="AK626" s="3"/>
      <c r="AL626" s="3"/>
      <c r="AM626" s="3"/>
      <c r="AN626" s="3"/>
      <c r="AO626" s="3"/>
      <c r="AP626" s="3"/>
      <c r="AQ626" s="3"/>
      <c r="AR626" s="3"/>
      <c r="AS626" s="3"/>
      <c r="AT626" s="3"/>
      <c r="AU626" s="3"/>
      <c r="AV626" s="3"/>
      <c r="AW626" s="3"/>
    </row>
    <row r="627" spans="12:49" x14ac:dyDescent="0.35">
      <c r="L627" s="3"/>
      <c r="M627" s="3"/>
      <c r="N627" s="3"/>
      <c r="O627" s="65"/>
      <c r="Q627" s="3"/>
      <c r="R627" s="3"/>
      <c r="S627" s="3"/>
      <c r="T627" s="3"/>
      <c r="V627" s="3"/>
      <c r="W627" s="3"/>
      <c r="X627" s="3"/>
      <c r="Y627" s="3"/>
      <c r="Z627" s="3"/>
      <c r="AA627" s="3"/>
      <c r="AB627" s="3"/>
      <c r="AC627" s="3"/>
      <c r="AD627" s="3"/>
      <c r="AE627" s="3"/>
      <c r="AF627" s="3"/>
      <c r="AG627" s="3"/>
      <c r="AH627" s="3"/>
      <c r="AI627" s="3"/>
      <c r="AJ627" s="3"/>
      <c r="AK627" s="3"/>
      <c r="AL627" s="3"/>
      <c r="AM627" s="3"/>
      <c r="AN627" s="3"/>
      <c r="AO627" s="3"/>
      <c r="AP627" s="3"/>
      <c r="AQ627" s="3"/>
      <c r="AR627" s="3"/>
      <c r="AS627" s="3"/>
      <c r="AT627" s="3"/>
      <c r="AU627" s="3"/>
      <c r="AV627" s="3"/>
      <c r="AW627" s="3"/>
    </row>
    <row r="628" spans="12:49" x14ac:dyDescent="0.35">
      <c r="L628" s="3"/>
      <c r="M628" s="3"/>
      <c r="N628" s="3"/>
      <c r="O628" s="65"/>
      <c r="Q628" s="3"/>
      <c r="R628" s="3"/>
      <c r="S628" s="3"/>
      <c r="T628" s="3"/>
      <c r="V628" s="3"/>
      <c r="W628" s="3"/>
      <c r="X628" s="3"/>
      <c r="Y628" s="3"/>
      <c r="Z628" s="3"/>
      <c r="AA628" s="3"/>
      <c r="AB628" s="3"/>
      <c r="AC628" s="3"/>
      <c r="AD628" s="3"/>
      <c r="AE628" s="3"/>
      <c r="AF628" s="3"/>
      <c r="AG628" s="3"/>
      <c r="AH628" s="3"/>
      <c r="AI628" s="3"/>
      <c r="AJ628" s="3"/>
      <c r="AK628" s="3"/>
      <c r="AL628" s="3"/>
      <c r="AM628" s="3"/>
      <c r="AN628" s="3"/>
      <c r="AO628" s="3"/>
      <c r="AP628" s="3"/>
      <c r="AQ628" s="3"/>
      <c r="AR628" s="3"/>
      <c r="AS628" s="3"/>
      <c r="AT628" s="3"/>
      <c r="AU628" s="3"/>
      <c r="AV628" s="3"/>
      <c r="AW628" s="3"/>
    </row>
    <row r="629" spans="12:49" x14ac:dyDescent="0.35">
      <c r="L629" s="3"/>
      <c r="M629" s="3"/>
      <c r="N629" s="3"/>
      <c r="O629" s="65"/>
      <c r="Q629" s="3"/>
      <c r="R629" s="3"/>
      <c r="S629" s="3"/>
      <c r="T629" s="3"/>
      <c r="V629" s="3"/>
      <c r="W629" s="3"/>
      <c r="X629" s="3"/>
      <c r="Y629" s="3"/>
      <c r="Z629" s="3"/>
      <c r="AA629" s="3"/>
      <c r="AB629" s="3"/>
      <c r="AC629" s="3"/>
      <c r="AD629" s="3"/>
      <c r="AE629" s="3"/>
      <c r="AF629" s="3"/>
      <c r="AG629" s="3"/>
      <c r="AH629" s="3"/>
      <c r="AI629" s="3"/>
      <c r="AJ629" s="3"/>
      <c r="AK629" s="3"/>
      <c r="AL629" s="3"/>
      <c r="AM629" s="3"/>
      <c r="AN629" s="3"/>
      <c r="AO629" s="3"/>
      <c r="AP629" s="3"/>
      <c r="AQ629" s="3"/>
      <c r="AR629" s="3"/>
      <c r="AS629" s="3"/>
      <c r="AT629" s="3"/>
      <c r="AU629" s="3"/>
      <c r="AV629" s="3"/>
      <c r="AW629" s="3"/>
    </row>
    <row r="630" spans="12:49" x14ac:dyDescent="0.35">
      <c r="L630" s="3"/>
      <c r="M630" s="3"/>
      <c r="N630" s="3"/>
      <c r="O630" s="65"/>
      <c r="Q630" s="3"/>
      <c r="R630" s="3"/>
      <c r="S630" s="3"/>
      <c r="T630" s="3"/>
      <c r="V630" s="3"/>
      <c r="W630" s="3"/>
      <c r="X630" s="3"/>
      <c r="Y630" s="3"/>
      <c r="Z630" s="3"/>
      <c r="AA630" s="3"/>
      <c r="AB630" s="3"/>
      <c r="AC630" s="3"/>
      <c r="AD630" s="3"/>
      <c r="AE630" s="3"/>
      <c r="AF630" s="3"/>
      <c r="AG630" s="3"/>
      <c r="AH630" s="3"/>
      <c r="AI630" s="3"/>
      <c r="AJ630" s="3"/>
      <c r="AK630" s="3"/>
      <c r="AL630" s="3"/>
      <c r="AM630" s="3"/>
      <c r="AN630" s="3"/>
      <c r="AO630" s="3"/>
      <c r="AP630" s="3"/>
      <c r="AQ630" s="3"/>
      <c r="AR630" s="3"/>
      <c r="AS630" s="3"/>
      <c r="AT630" s="3"/>
      <c r="AU630" s="3"/>
      <c r="AV630" s="3"/>
      <c r="AW630" s="3"/>
    </row>
    <row r="631" spans="12:49" x14ac:dyDescent="0.35">
      <c r="L631" s="3"/>
      <c r="M631" s="3"/>
      <c r="N631" s="3"/>
      <c r="O631" s="65"/>
      <c r="Q631" s="3"/>
      <c r="R631" s="3"/>
      <c r="S631" s="3"/>
      <c r="T631" s="3"/>
      <c r="V631" s="3"/>
      <c r="W631" s="3"/>
      <c r="X631" s="3"/>
      <c r="Y631" s="3"/>
      <c r="Z631" s="3"/>
      <c r="AA631" s="3"/>
      <c r="AB631" s="3"/>
      <c r="AC631" s="3"/>
      <c r="AD631" s="3"/>
      <c r="AE631" s="3"/>
      <c r="AF631" s="3"/>
      <c r="AG631" s="3"/>
      <c r="AH631" s="3"/>
      <c r="AI631" s="3"/>
      <c r="AJ631" s="3"/>
      <c r="AK631" s="3"/>
      <c r="AL631" s="3"/>
      <c r="AM631" s="3"/>
      <c r="AN631" s="3"/>
      <c r="AO631" s="3"/>
      <c r="AP631" s="3"/>
      <c r="AQ631" s="3"/>
      <c r="AR631" s="3"/>
      <c r="AS631" s="3"/>
      <c r="AT631" s="3"/>
      <c r="AU631" s="3"/>
      <c r="AV631" s="3"/>
      <c r="AW631" s="3"/>
    </row>
    <row r="632" spans="12:49" x14ac:dyDescent="0.35">
      <c r="L632" s="3"/>
      <c r="M632" s="3"/>
      <c r="N632" s="3"/>
      <c r="O632" s="65"/>
      <c r="Q632" s="3"/>
      <c r="R632" s="3"/>
      <c r="S632" s="3"/>
      <c r="T632" s="3"/>
      <c r="V632" s="3"/>
      <c r="W632" s="3"/>
      <c r="X632" s="3"/>
      <c r="Y632" s="3"/>
      <c r="Z632" s="3"/>
      <c r="AA632" s="3"/>
      <c r="AB632" s="3"/>
      <c r="AC632" s="3"/>
      <c r="AD632" s="3"/>
      <c r="AE632" s="3"/>
      <c r="AF632" s="3"/>
      <c r="AG632" s="3"/>
      <c r="AH632" s="3"/>
      <c r="AI632" s="3"/>
      <c r="AJ632" s="3"/>
      <c r="AK632" s="3"/>
      <c r="AL632" s="3"/>
      <c r="AM632" s="3"/>
      <c r="AN632" s="3"/>
      <c r="AO632" s="3"/>
      <c r="AP632" s="3"/>
      <c r="AQ632" s="3"/>
      <c r="AR632" s="3"/>
      <c r="AS632" s="3"/>
      <c r="AT632" s="3"/>
      <c r="AU632" s="3"/>
      <c r="AV632" s="3"/>
      <c r="AW632" s="3"/>
    </row>
    <row r="633" spans="12:49" x14ac:dyDescent="0.35">
      <c r="L633" s="3"/>
      <c r="M633" s="3"/>
      <c r="N633" s="3"/>
      <c r="O633" s="65"/>
      <c r="Q633" s="3"/>
      <c r="R633" s="3"/>
      <c r="S633" s="3"/>
      <c r="T633" s="3"/>
      <c r="V633" s="3"/>
      <c r="W633" s="3"/>
      <c r="X633" s="3"/>
      <c r="Y633" s="3"/>
      <c r="Z633" s="3"/>
      <c r="AA633" s="3"/>
      <c r="AB633" s="3"/>
      <c r="AC633" s="3"/>
      <c r="AD633" s="3"/>
      <c r="AE633" s="3"/>
      <c r="AF633" s="3"/>
      <c r="AG633" s="3"/>
      <c r="AH633" s="3"/>
      <c r="AI633" s="3"/>
      <c r="AJ633" s="3"/>
      <c r="AK633" s="3"/>
      <c r="AL633" s="3"/>
      <c r="AM633" s="3"/>
      <c r="AN633" s="3"/>
      <c r="AO633" s="3"/>
      <c r="AP633" s="3"/>
      <c r="AQ633" s="3"/>
      <c r="AR633" s="3"/>
      <c r="AS633" s="3"/>
      <c r="AT633" s="3"/>
      <c r="AU633" s="3"/>
      <c r="AV633" s="3"/>
      <c r="AW633" s="3"/>
    </row>
    <row r="634" spans="12:49" x14ac:dyDescent="0.35">
      <c r="L634" s="3"/>
      <c r="M634" s="3"/>
      <c r="N634" s="3"/>
      <c r="O634" s="65"/>
      <c r="Q634" s="3"/>
      <c r="R634" s="3"/>
      <c r="S634" s="3"/>
      <c r="T634" s="3"/>
      <c r="V634" s="3"/>
      <c r="W634" s="3"/>
      <c r="X634" s="3"/>
      <c r="Y634" s="3"/>
      <c r="Z634" s="3"/>
      <c r="AA634" s="3"/>
      <c r="AB634" s="3"/>
      <c r="AC634" s="3"/>
      <c r="AD634" s="3"/>
      <c r="AE634" s="3"/>
      <c r="AF634" s="3"/>
      <c r="AG634" s="3"/>
      <c r="AH634" s="3"/>
      <c r="AI634" s="3"/>
      <c r="AJ634" s="3"/>
      <c r="AK634" s="3"/>
      <c r="AL634" s="3"/>
      <c r="AM634" s="3"/>
      <c r="AN634" s="3"/>
      <c r="AO634" s="3"/>
      <c r="AP634" s="3"/>
      <c r="AQ634" s="3"/>
      <c r="AR634" s="3"/>
      <c r="AS634" s="3"/>
      <c r="AT634" s="3"/>
      <c r="AU634" s="3"/>
      <c r="AV634" s="3"/>
      <c r="AW634" s="3"/>
    </row>
    <row r="635" spans="12:49" x14ac:dyDescent="0.35">
      <c r="L635" s="3"/>
      <c r="M635" s="3"/>
      <c r="N635" s="3"/>
      <c r="O635" s="65"/>
      <c r="Q635" s="3"/>
      <c r="R635" s="3"/>
      <c r="S635" s="3"/>
      <c r="T635" s="3"/>
      <c r="V635" s="3"/>
      <c r="W635" s="3"/>
      <c r="X635" s="3"/>
      <c r="Y635" s="3"/>
      <c r="Z635" s="3"/>
      <c r="AA635" s="3"/>
      <c r="AB635" s="3"/>
      <c r="AC635" s="3"/>
      <c r="AD635" s="3"/>
      <c r="AE635" s="3"/>
      <c r="AF635" s="3"/>
      <c r="AG635" s="3"/>
      <c r="AH635" s="3"/>
      <c r="AI635" s="3"/>
      <c r="AJ635" s="3"/>
      <c r="AK635" s="3"/>
      <c r="AL635" s="3"/>
      <c r="AM635" s="3"/>
      <c r="AN635" s="3"/>
      <c r="AO635" s="3"/>
      <c r="AP635" s="3"/>
      <c r="AQ635" s="3"/>
      <c r="AR635" s="3"/>
      <c r="AS635" s="3"/>
      <c r="AT635" s="3"/>
      <c r="AU635" s="3"/>
      <c r="AV635" s="3"/>
      <c r="AW635" s="3"/>
    </row>
    <row r="636" spans="12:49" x14ac:dyDescent="0.35">
      <c r="L636" s="3"/>
      <c r="M636" s="3"/>
      <c r="N636" s="3"/>
      <c r="O636" s="65"/>
      <c r="Q636" s="3"/>
      <c r="R636" s="3"/>
      <c r="S636" s="3"/>
      <c r="T636" s="3"/>
      <c r="V636" s="3"/>
      <c r="W636" s="3"/>
      <c r="X636" s="3"/>
      <c r="Y636" s="3"/>
      <c r="Z636" s="3"/>
      <c r="AA636" s="3"/>
      <c r="AB636" s="3"/>
      <c r="AC636" s="3"/>
      <c r="AD636" s="3"/>
      <c r="AE636" s="3"/>
      <c r="AF636" s="3"/>
      <c r="AG636" s="3"/>
      <c r="AH636" s="3"/>
      <c r="AI636" s="3"/>
      <c r="AJ636" s="3"/>
      <c r="AK636" s="3"/>
      <c r="AL636" s="3"/>
      <c r="AM636" s="3"/>
      <c r="AN636" s="3"/>
      <c r="AO636" s="3"/>
      <c r="AP636" s="3"/>
      <c r="AQ636" s="3"/>
      <c r="AR636" s="3"/>
      <c r="AS636" s="3"/>
      <c r="AT636" s="3"/>
      <c r="AU636" s="3"/>
      <c r="AV636" s="3"/>
      <c r="AW636" s="3"/>
    </row>
    <row r="637" spans="12:49" x14ac:dyDescent="0.35">
      <c r="L637" s="3"/>
      <c r="M637" s="3"/>
      <c r="N637" s="3"/>
      <c r="O637" s="65"/>
      <c r="Q637" s="3"/>
      <c r="R637" s="3"/>
      <c r="S637" s="3"/>
      <c r="T637" s="3"/>
      <c r="V637" s="3"/>
      <c r="W637" s="3"/>
      <c r="X637" s="3"/>
      <c r="Y637" s="3"/>
      <c r="Z637" s="3"/>
      <c r="AA637" s="3"/>
      <c r="AB637" s="3"/>
      <c r="AC637" s="3"/>
      <c r="AD637" s="3"/>
      <c r="AE637" s="3"/>
      <c r="AF637" s="3"/>
      <c r="AG637" s="3"/>
      <c r="AH637" s="3"/>
      <c r="AI637" s="3"/>
      <c r="AJ637" s="3"/>
      <c r="AK637" s="3"/>
      <c r="AL637" s="3"/>
      <c r="AM637" s="3"/>
      <c r="AN637" s="3"/>
      <c r="AO637" s="3"/>
      <c r="AP637" s="3"/>
      <c r="AQ637" s="3"/>
      <c r="AR637" s="3"/>
      <c r="AS637" s="3"/>
      <c r="AT637" s="3"/>
      <c r="AU637" s="3"/>
      <c r="AV637" s="3"/>
      <c r="AW637" s="3"/>
    </row>
    <row r="638" spans="12:49" x14ac:dyDescent="0.35">
      <c r="L638" s="3"/>
      <c r="M638" s="3"/>
      <c r="N638" s="3"/>
      <c r="O638" s="65"/>
      <c r="Q638" s="3"/>
      <c r="R638" s="3"/>
      <c r="S638" s="3"/>
      <c r="T638" s="3"/>
      <c r="V638" s="3"/>
      <c r="W638" s="3"/>
      <c r="X638" s="3"/>
      <c r="Y638" s="3"/>
      <c r="Z638" s="3"/>
      <c r="AA638" s="3"/>
      <c r="AB638" s="3"/>
      <c r="AC638" s="3"/>
      <c r="AD638" s="3"/>
      <c r="AE638" s="3"/>
      <c r="AF638" s="3"/>
      <c r="AG638" s="3"/>
      <c r="AH638" s="3"/>
      <c r="AI638" s="3"/>
      <c r="AJ638" s="3"/>
      <c r="AK638" s="3"/>
      <c r="AL638" s="3"/>
      <c r="AM638" s="3"/>
      <c r="AN638" s="3"/>
      <c r="AO638" s="3"/>
      <c r="AP638" s="3"/>
      <c r="AQ638" s="3"/>
      <c r="AR638" s="3"/>
      <c r="AS638" s="3"/>
      <c r="AT638" s="3"/>
      <c r="AU638" s="3"/>
      <c r="AV638" s="3"/>
      <c r="AW638" s="3"/>
    </row>
    <row r="639" spans="12:49" x14ac:dyDescent="0.35">
      <c r="L639" s="3"/>
      <c r="M639" s="3"/>
      <c r="N639" s="3"/>
      <c r="O639" s="65"/>
      <c r="Q639" s="3"/>
      <c r="R639" s="3"/>
      <c r="S639" s="3"/>
      <c r="T639" s="3"/>
      <c r="V639" s="3"/>
      <c r="W639" s="3"/>
      <c r="X639" s="3"/>
      <c r="Y639" s="3"/>
      <c r="Z639" s="3"/>
      <c r="AA639" s="3"/>
      <c r="AB639" s="3"/>
      <c r="AC639" s="3"/>
      <c r="AD639" s="3"/>
      <c r="AE639" s="3"/>
      <c r="AF639" s="3"/>
      <c r="AG639" s="3"/>
      <c r="AH639" s="3"/>
      <c r="AI639" s="3"/>
      <c r="AJ639" s="3"/>
      <c r="AK639" s="3"/>
      <c r="AL639" s="3"/>
      <c r="AM639" s="3"/>
      <c r="AN639" s="3"/>
      <c r="AO639" s="3"/>
      <c r="AP639" s="3"/>
      <c r="AQ639" s="3"/>
      <c r="AR639" s="3"/>
      <c r="AS639" s="3"/>
      <c r="AT639" s="3"/>
      <c r="AU639" s="3"/>
      <c r="AV639" s="3"/>
      <c r="AW639" s="3"/>
    </row>
    <row r="640" spans="12:49" x14ac:dyDescent="0.35">
      <c r="L640" s="3"/>
      <c r="M640" s="3"/>
      <c r="N640" s="3"/>
      <c r="O640" s="65"/>
      <c r="Q640" s="3"/>
      <c r="R640" s="3"/>
      <c r="S640" s="3"/>
      <c r="T640" s="3"/>
      <c r="V640" s="3"/>
      <c r="W640" s="3"/>
      <c r="X640" s="3"/>
      <c r="Y640" s="3"/>
      <c r="Z640" s="3"/>
      <c r="AA640" s="3"/>
      <c r="AB640" s="3"/>
      <c r="AC640" s="3"/>
      <c r="AD640" s="3"/>
      <c r="AE640" s="3"/>
      <c r="AF640" s="3"/>
      <c r="AG640" s="3"/>
      <c r="AH640" s="3"/>
      <c r="AI640" s="3"/>
      <c r="AJ640" s="3"/>
      <c r="AK640" s="3"/>
      <c r="AL640" s="3"/>
      <c r="AM640" s="3"/>
      <c r="AN640" s="3"/>
      <c r="AO640" s="3"/>
      <c r="AP640" s="3"/>
      <c r="AQ640" s="3"/>
      <c r="AR640" s="3"/>
      <c r="AS640" s="3"/>
      <c r="AT640" s="3"/>
      <c r="AU640" s="3"/>
      <c r="AV640" s="3"/>
      <c r="AW640" s="3"/>
    </row>
    <row r="641" spans="12:49" x14ac:dyDescent="0.35">
      <c r="L641" s="3"/>
      <c r="M641" s="3"/>
      <c r="N641" s="3"/>
      <c r="O641" s="65"/>
      <c r="Q641" s="3"/>
      <c r="R641" s="3"/>
      <c r="S641" s="3"/>
      <c r="T641" s="3"/>
      <c r="V641" s="3"/>
      <c r="W641" s="3"/>
      <c r="X641" s="3"/>
      <c r="Y641" s="3"/>
      <c r="Z641" s="3"/>
      <c r="AA641" s="3"/>
      <c r="AB641" s="3"/>
      <c r="AC641" s="3"/>
      <c r="AD641" s="3"/>
      <c r="AE641" s="3"/>
      <c r="AF641" s="3"/>
      <c r="AG641" s="3"/>
      <c r="AH641" s="3"/>
      <c r="AI641" s="3"/>
      <c r="AJ641" s="3"/>
      <c r="AK641" s="3"/>
      <c r="AL641" s="3"/>
      <c r="AM641" s="3"/>
      <c r="AN641" s="3"/>
      <c r="AO641" s="3"/>
      <c r="AP641" s="3"/>
      <c r="AQ641" s="3"/>
      <c r="AR641" s="3"/>
      <c r="AS641" s="3"/>
      <c r="AT641" s="3"/>
      <c r="AU641" s="3"/>
      <c r="AV641" s="3"/>
      <c r="AW641" s="3"/>
    </row>
    <row r="642" spans="12:49" x14ac:dyDescent="0.35">
      <c r="L642" s="3"/>
      <c r="M642" s="3"/>
      <c r="N642" s="3"/>
      <c r="O642" s="65"/>
      <c r="Q642" s="3"/>
      <c r="R642" s="3"/>
      <c r="S642" s="3"/>
      <c r="T642" s="3"/>
      <c r="V642" s="3"/>
      <c r="W642" s="3"/>
      <c r="X642" s="3"/>
      <c r="Y642" s="3"/>
      <c r="Z642" s="3"/>
      <c r="AA642" s="3"/>
      <c r="AB642" s="3"/>
      <c r="AC642" s="3"/>
      <c r="AD642" s="3"/>
      <c r="AE642" s="3"/>
      <c r="AF642" s="3"/>
      <c r="AG642" s="3"/>
      <c r="AH642" s="3"/>
      <c r="AI642" s="3"/>
      <c r="AJ642" s="3"/>
      <c r="AK642" s="3"/>
      <c r="AL642" s="3"/>
      <c r="AM642" s="3"/>
      <c r="AN642" s="3"/>
      <c r="AO642" s="3"/>
      <c r="AP642" s="3"/>
      <c r="AQ642" s="3"/>
      <c r="AR642" s="3"/>
      <c r="AS642" s="3"/>
      <c r="AT642" s="3"/>
      <c r="AU642" s="3"/>
      <c r="AV642" s="3"/>
      <c r="AW642" s="3"/>
    </row>
    <row r="643" spans="12:49" x14ac:dyDescent="0.35">
      <c r="L643" s="3"/>
      <c r="M643" s="3"/>
      <c r="N643" s="3"/>
      <c r="O643" s="65"/>
      <c r="Q643" s="3"/>
      <c r="R643" s="3"/>
      <c r="S643" s="3"/>
      <c r="T643" s="3"/>
      <c r="V643" s="3"/>
      <c r="W643" s="3"/>
      <c r="X643" s="3"/>
      <c r="Y643" s="3"/>
      <c r="Z643" s="3"/>
      <c r="AA643" s="3"/>
      <c r="AB643" s="3"/>
      <c r="AC643" s="3"/>
      <c r="AD643" s="3"/>
      <c r="AE643" s="3"/>
      <c r="AF643" s="3"/>
      <c r="AG643" s="3"/>
      <c r="AH643" s="3"/>
      <c r="AI643" s="3"/>
      <c r="AJ643" s="3"/>
      <c r="AK643" s="3"/>
      <c r="AL643" s="3"/>
      <c r="AM643" s="3"/>
      <c r="AN643" s="3"/>
      <c r="AO643" s="3"/>
      <c r="AP643" s="3"/>
      <c r="AQ643" s="3"/>
      <c r="AR643" s="3"/>
      <c r="AS643" s="3"/>
      <c r="AT643" s="3"/>
      <c r="AU643" s="3"/>
      <c r="AV643" s="3"/>
      <c r="AW643" s="3"/>
    </row>
    <row r="644" spans="12:49" x14ac:dyDescent="0.35">
      <c r="L644" s="3"/>
      <c r="M644" s="3"/>
      <c r="N644" s="3"/>
      <c r="O644" s="65"/>
      <c r="Q644" s="3"/>
      <c r="R644" s="3"/>
      <c r="S644" s="3"/>
      <c r="T644" s="3"/>
      <c r="V644" s="3"/>
      <c r="W644" s="3"/>
      <c r="X644" s="3"/>
      <c r="Y644" s="3"/>
      <c r="Z644" s="3"/>
      <c r="AA644" s="3"/>
      <c r="AB644" s="3"/>
      <c r="AC644" s="3"/>
      <c r="AD644" s="3"/>
      <c r="AE644" s="3"/>
      <c r="AF644" s="3"/>
      <c r="AG644" s="3"/>
      <c r="AH644" s="3"/>
      <c r="AI644" s="3"/>
      <c r="AJ644" s="3"/>
      <c r="AK644" s="3"/>
      <c r="AL644" s="3"/>
      <c r="AM644" s="3"/>
      <c r="AN644" s="3"/>
      <c r="AO644" s="3"/>
      <c r="AP644" s="3"/>
      <c r="AQ644" s="3"/>
      <c r="AR644" s="3"/>
      <c r="AS644" s="3"/>
      <c r="AT644" s="3"/>
      <c r="AU644" s="3"/>
      <c r="AV644" s="3"/>
      <c r="AW644" s="3"/>
    </row>
    <row r="645" spans="12:49" x14ac:dyDescent="0.35">
      <c r="L645" s="3"/>
      <c r="M645" s="3"/>
      <c r="N645" s="3"/>
      <c r="O645" s="65"/>
      <c r="Q645" s="3"/>
      <c r="R645" s="3"/>
      <c r="S645" s="3"/>
      <c r="T645" s="3"/>
      <c r="V645" s="3"/>
      <c r="W645" s="3"/>
      <c r="X645" s="3"/>
      <c r="Y645" s="3"/>
      <c r="Z645" s="3"/>
      <c r="AA645" s="3"/>
      <c r="AB645" s="3"/>
      <c r="AC645" s="3"/>
      <c r="AD645" s="3"/>
      <c r="AE645" s="3"/>
      <c r="AF645" s="3"/>
      <c r="AG645" s="3"/>
      <c r="AH645" s="3"/>
      <c r="AI645" s="3"/>
      <c r="AJ645" s="3"/>
      <c r="AK645" s="3"/>
      <c r="AL645" s="3"/>
      <c r="AM645" s="3"/>
      <c r="AN645" s="3"/>
      <c r="AO645" s="3"/>
      <c r="AP645" s="3"/>
      <c r="AQ645" s="3"/>
      <c r="AR645" s="3"/>
      <c r="AS645" s="3"/>
      <c r="AT645" s="3"/>
      <c r="AU645" s="3"/>
      <c r="AV645" s="3"/>
      <c r="AW645" s="3"/>
    </row>
    <row r="646" spans="12:49" x14ac:dyDescent="0.35">
      <c r="L646" s="3"/>
      <c r="M646" s="3"/>
      <c r="N646" s="3"/>
      <c r="O646" s="65"/>
      <c r="Q646" s="3"/>
      <c r="R646" s="3"/>
      <c r="S646" s="3"/>
      <c r="T646" s="3"/>
      <c r="V646" s="3"/>
      <c r="W646" s="3"/>
      <c r="X646" s="3"/>
      <c r="Y646" s="3"/>
      <c r="Z646" s="3"/>
      <c r="AA646" s="3"/>
      <c r="AB646" s="3"/>
      <c r="AC646" s="3"/>
      <c r="AD646" s="3"/>
      <c r="AE646" s="3"/>
      <c r="AF646" s="3"/>
      <c r="AG646" s="3"/>
      <c r="AH646" s="3"/>
      <c r="AI646" s="3"/>
      <c r="AJ646" s="3"/>
      <c r="AK646" s="3"/>
      <c r="AL646" s="3"/>
      <c r="AM646" s="3"/>
      <c r="AN646" s="3"/>
      <c r="AO646" s="3"/>
      <c r="AP646" s="3"/>
      <c r="AQ646" s="3"/>
      <c r="AR646" s="3"/>
      <c r="AS646" s="3"/>
      <c r="AT646" s="3"/>
      <c r="AU646" s="3"/>
      <c r="AV646" s="3"/>
      <c r="AW646" s="3"/>
    </row>
    <row r="647" spans="12:49" x14ac:dyDescent="0.35">
      <c r="L647" s="3"/>
      <c r="M647" s="3"/>
      <c r="N647" s="3"/>
      <c r="O647" s="65"/>
      <c r="Q647" s="3"/>
      <c r="R647" s="3"/>
      <c r="S647" s="3"/>
      <c r="T647" s="3"/>
      <c r="V647" s="3"/>
      <c r="W647" s="3"/>
      <c r="X647" s="3"/>
      <c r="Y647" s="3"/>
      <c r="Z647" s="3"/>
      <c r="AA647" s="3"/>
      <c r="AB647" s="3"/>
      <c r="AC647" s="3"/>
      <c r="AD647" s="3"/>
      <c r="AE647" s="3"/>
      <c r="AF647" s="3"/>
      <c r="AG647" s="3"/>
      <c r="AH647" s="3"/>
      <c r="AI647" s="3"/>
      <c r="AJ647" s="3"/>
      <c r="AK647" s="3"/>
      <c r="AL647" s="3"/>
      <c r="AM647" s="3"/>
      <c r="AN647" s="3"/>
      <c r="AO647" s="3"/>
      <c r="AP647" s="3"/>
      <c r="AQ647" s="3"/>
      <c r="AR647" s="3"/>
      <c r="AS647" s="3"/>
      <c r="AT647" s="3"/>
      <c r="AU647" s="3"/>
      <c r="AV647" s="3"/>
      <c r="AW647" s="3"/>
    </row>
    <row r="648" spans="12:49" x14ac:dyDescent="0.35">
      <c r="L648" s="3"/>
      <c r="M648" s="3"/>
      <c r="N648" s="3"/>
      <c r="O648" s="65"/>
      <c r="Q648" s="3"/>
      <c r="R648" s="3"/>
      <c r="S648" s="3"/>
      <c r="T648" s="3"/>
      <c r="V648" s="3"/>
      <c r="W648" s="3"/>
      <c r="X648" s="3"/>
      <c r="Y648" s="3"/>
      <c r="Z648" s="3"/>
      <c r="AA648" s="3"/>
      <c r="AB648" s="3"/>
      <c r="AC648" s="3"/>
      <c r="AD648" s="3"/>
      <c r="AE648" s="3"/>
      <c r="AF648" s="3"/>
      <c r="AG648" s="3"/>
      <c r="AH648" s="3"/>
      <c r="AI648" s="3"/>
      <c r="AJ648" s="3"/>
      <c r="AK648" s="3"/>
      <c r="AL648" s="3"/>
      <c r="AM648" s="3"/>
      <c r="AN648" s="3"/>
      <c r="AO648" s="3"/>
      <c r="AP648" s="3"/>
      <c r="AQ648" s="3"/>
      <c r="AR648" s="3"/>
      <c r="AS648" s="3"/>
      <c r="AT648" s="3"/>
      <c r="AU648" s="3"/>
      <c r="AV648" s="3"/>
      <c r="AW648" s="3"/>
    </row>
    <row r="649" spans="12:49" x14ac:dyDescent="0.35">
      <c r="L649" s="3"/>
      <c r="M649" s="3"/>
      <c r="N649" s="3"/>
      <c r="O649" s="65"/>
      <c r="Q649" s="3"/>
      <c r="R649" s="3"/>
      <c r="S649" s="3"/>
      <c r="T649" s="3"/>
      <c r="V649" s="3"/>
      <c r="W649" s="3"/>
      <c r="X649" s="3"/>
      <c r="Y649" s="3"/>
      <c r="Z649" s="3"/>
      <c r="AA649" s="3"/>
      <c r="AB649" s="3"/>
      <c r="AC649" s="3"/>
      <c r="AD649" s="3"/>
      <c r="AE649" s="3"/>
      <c r="AF649" s="3"/>
      <c r="AG649" s="3"/>
      <c r="AH649" s="3"/>
      <c r="AI649" s="3"/>
      <c r="AJ649" s="3"/>
      <c r="AK649" s="3"/>
      <c r="AL649" s="3"/>
      <c r="AM649" s="3"/>
      <c r="AN649" s="3"/>
      <c r="AO649" s="3"/>
      <c r="AP649" s="3"/>
      <c r="AQ649" s="3"/>
      <c r="AR649" s="3"/>
      <c r="AS649" s="3"/>
      <c r="AT649" s="3"/>
      <c r="AU649" s="3"/>
      <c r="AV649" s="3"/>
      <c r="AW649" s="3"/>
    </row>
    <row r="650" spans="12:49" x14ac:dyDescent="0.35">
      <c r="L650" s="3"/>
      <c r="M650" s="3"/>
      <c r="N650" s="3"/>
      <c r="O650" s="65"/>
      <c r="Q650" s="3"/>
      <c r="R650" s="3"/>
      <c r="S650" s="3"/>
      <c r="T650" s="3"/>
      <c r="V650" s="3"/>
      <c r="W650" s="3"/>
      <c r="X650" s="3"/>
      <c r="Y650" s="3"/>
      <c r="Z650" s="3"/>
      <c r="AA650" s="3"/>
      <c r="AB650" s="3"/>
      <c r="AC650" s="3"/>
      <c r="AD650" s="3"/>
      <c r="AE650" s="3"/>
      <c r="AF650" s="3"/>
      <c r="AG650" s="3"/>
      <c r="AH650" s="3"/>
      <c r="AI650" s="3"/>
      <c r="AJ650" s="3"/>
      <c r="AK650" s="3"/>
      <c r="AL650" s="3"/>
      <c r="AM650" s="3"/>
      <c r="AN650" s="3"/>
      <c r="AO650" s="3"/>
      <c r="AP650" s="3"/>
      <c r="AQ650" s="3"/>
      <c r="AR650" s="3"/>
      <c r="AS650" s="3"/>
      <c r="AT650" s="3"/>
      <c r="AU650" s="3"/>
      <c r="AV650" s="3"/>
      <c r="AW650" s="3"/>
    </row>
    <row r="651" spans="12:49" x14ac:dyDescent="0.35">
      <c r="L651" s="3"/>
      <c r="M651" s="3"/>
      <c r="N651" s="3"/>
      <c r="O651" s="65"/>
      <c r="Q651" s="3"/>
      <c r="R651" s="3"/>
      <c r="S651" s="3"/>
      <c r="T651" s="3"/>
      <c r="V651" s="3"/>
      <c r="W651" s="3"/>
      <c r="X651" s="3"/>
      <c r="Y651" s="3"/>
      <c r="Z651" s="3"/>
      <c r="AA651" s="3"/>
      <c r="AB651" s="3"/>
      <c r="AC651" s="3"/>
      <c r="AD651" s="3"/>
      <c r="AE651" s="3"/>
      <c r="AF651" s="3"/>
      <c r="AG651" s="3"/>
      <c r="AH651" s="3"/>
      <c r="AI651" s="3"/>
      <c r="AJ651" s="3"/>
      <c r="AK651" s="3"/>
      <c r="AL651" s="3"/>
      <c r="AM651" s="3"/>
      <c r="AN651" s="3"/>
      <c r="AO651" s="3"/>
      <c r="AP651" s="3"/>
      <c r="AQ651" s="3"/>
      <c r="AR651" s="3"/>
      <c r="AS651" s="3"/>
      <c r="AT651" s="3"/>
      <c r="AU651" s="3"/>
      <c r="AV651" s="3"/>
      <c r="AW651" s="3"/>
    </row>
    <row r="652" spans="12:49" x14ac:dyDescent="0.35">
      <c r="L652" s="3"/>
      <c r="M652" s="3"/>
      <c r="N652" s="3"/>
      <c r="O652" s="65"/>
      <c r="Q652" s="3"/>
      <c r="R652" s="3"/>
      <c r="S652" s="3"/>
      <c r="T652" s="3"/>
      <c r="V652" s="3"/>
      <c r="W652" s="3"/>
      <c r="X652" s="3"/>
      <c r="Y652" s="3"/>
      <c r="Z652" s="3"/>
      <c r="AA652" s="3"/>
      <c r="AB652" s="3"/>
      <c r="AC652" s="3"/>
      <c r="AD652" s="3"/>
      <c r="AE652" s="3"/>
      <c r="AF652" s="3"/>
      <c r="AG652" s="3"/>
      <c r="AH652" s="3"/>
      <c r="AI652" s="3"/>
      <c r="AJ652" s="3"/>
      <c r="AK652" s="3"/>
      <c r="AL652" s="3"/>
      <c r="AM652" s="3"/>
      <c r="AN652" s="3"/>
      <c r="AO652" s="3"/>
      <c r="AP652" s="3"/>
      <c r="AQ652" s="3"/>
      <c r="AR652" s="3"/>
      <c r="AS652" s="3"/>
      <c r="AT652" s="3"/>
      <c r="AU652" s="3"/>
      <c r="AV652" s="3"/>
      <c r="AW652" s="3"/>
    </row>
    <row r="653" spans="12:49" x14ac:dyDescent="0.35">
      <c r="L653" s="3"/>
      <c r="M653" s="3"/>
      <c r="N653" s="3"/>
      <c r="O653" s="65"/>
      <c r="Q653" s="3"/>
      <c r="R653" s="3"/>
      <c r="S653" s="3"/>
      <c r="T653" s="3"/>
      <c r="V653" s="3"/>
      <c r="W653" s="3"/>
      <c r="X653" s="3"/>
      <c r="Y653" s="3"/>
      <c r="Z653" s="3"/>
      <c r="AA653" s="3"/>
      <c r="AB653" s="3"/>
      <c r="AC653" s="3"/>
      <c r="AD653" s="3"/>
      <c r="AE653" s="3"/>
      <c r="AF653" s="3"/>
      <c r="AG653" s="3"/>
      <c r="AH653" s="3"/>
      <c r="AI653" s="3"/>
      <c r="AJ653" s="3"/>
      <c r="AK653" s="3"/>
      <c r="AL653" s="3"/>
      <c r="AM653" s="3"/>
      <c r="AN653" s="3"/>
      <c r="AO653" s="3"/>
      <c r="AP653" s="3"/>
      <c r="AQ653" s="3"/>
      <c r="AR653" s="3"/>
      <c r="AS653" s="3"/>
      <c r="AT653" s="3"/>
      <c r="AU653" s="3"/>
      <c r="AV653" s="3"/>
      <c r="AW653" s="3"/>
    </row>
    <row r="654" spans="12:49" x14ac:dyDescent="0.35">
      <c r="L654" s="3"/>
      <c r="M654" s="3"/>
      <c r="N654" s="3"/>
      <c r="O654" s="65"/>
      <c r="Q654" s="3"/>
      <c r="R654" s="3"/>
      <c r="S654" s="3"/>
      <c r="T654" s="3"/>
      <c r="V654" s="3"/>
      <c r="W654" s="3"/>
      <c r="X654" s="3"/>
      <c r="Y654" s="3"/>
      <c r="Z654" s="3"/>
      <c r="AA654" s="3"/>
      <c r="AB654" s="3"/>
      <c r="AC654" s="3"/>
      <c r="AD654" s="3"/>
      <c r="AE654" s="3"/>
      <c r="AF654" s="3"/>
      <c r="AG654" s="3"/>
      <c r="AH654" s="3"/>
      <c r="AI654" s="3"/>
      <c r="AJ654" s="3"/>
      <c r="AK654" s="3"/>
      <c r="AL654" s="3"/>
      <c r="AM654" s="3"/>
      <c r="AN654" s="3"/>
      <c r="AO654" s="3"/>
      <c r="AP654" s="3"/>
      <c r="AQ654" s="3"/>
      <c r="AR654" s="3"/>
      <c r="AS654" s="3"/>
      <c r="AT654" s="3"/>
      <c r="AU654" s="3"/>
      <c r="AV654" s="3"/>
      <c r="AW654" s="3"/>
    </row>
    <row r="655" spans="12:49" x14ac:dyDescent="0.35">
      <c r="L655" s="3"/>
      <c r="M655" s="3"/>
      <c r="N655" s="3"/>
      <c r="O655" s="65"/>
      <c r="Q655" s="3"/>
      <c r="R655" s="3"/>
      <c r="S655" s="3"/>
      <c r="T655" s="3"/>
      <c r="V655" s="3"/>
      <c r="W655" s="3"/>
      <c r="X655" s="3"/>
      <c r="Y655" s="3"/>
      <c r="Z655" s="3"/>
      <c r="AA655" s="3"/>
      <c r="AB655" s="3"/>
      <c r="AC655" s="3"/>
      <c r="AD655" s="3"/>
      <c r="AE655" s="3"/>
      <c r="AF655" s="3"/>
      <c r="AG655" s="3"/>
      <c r="AH655" s="3"/>
      <c r="AI655" s="3"/>
      <c r="AJ655" s="3"/>
      <c r="AK655" s="3"/>
      <c r="AL655" s="3"/>
      <c r="AM655" s="3"/>
      <c r="AN655" s="3"/>
      <c r="AO655" s="3"/>
      <c r="AP655" s="3"/>
      <c r="AQ655" s="3"/>
      <c r="AR655" s="3"/>
      <c r="AS655" s="3"/>
      <c r="AT655" s="3"/>
      <c r="AU655" s="3"/>
      <c r="AV655" s="3"/>
      <c r="AW655" s="3"/>
    </row>
    <row r="656" spans="12:49" x14ac:dyDescent="0.35">
      <c r="L656" s="3"/>
      <c r="M656" s="3"/>
      <c r="N656" s="3"/>
      <c r="O656" s="65"/>
      <c r="Q656" s="3"/>
      <c r="R656" s="3"/>
      <c r="S656" s="3"/>
      <c r="T656" s="3"/>
      <c r="V656" s="3"/>
      <c r="W656" s="3"/>
      <c r="X656" s="3"/>
      <c r="Y656" s="3"/>
      <c r="Z656" s="3"/>
      <c r="AA656" s="3"/>
      <c r="AB656" s="3"/>
      <c r="AC656" s="3"/>
      <c r="AD656" s="3"/>
      <c r="AE656" s="3"/>
      <c r="AF656" s="3"/>
      <c r="AG656" s="3"/>
      <c r="AH656" s="3"/>
      <c r="AI656" s="3"/>
      <c r="AJ656" s="3"/>
      <c r="AK656" s="3"/>
      <c r="AL656" s="3"/>
      <c r="AM656" s="3"/>
      <c r="AN656" s="3"/>
      <c r="AO656" s="3"/>
      <c r="AP656" s="3"/>
      <c r="AQ656" s="3"/>
      <c r="AR656" s="3"/>
      <c r="AS656" s="3"/>
      <c r="AT656" s="3"/>
      <c r="AU656" s="3"/>
      <c r="AV656" s="3"/>
      <c r="AW656" s="3"/>
    </row>
    <row r="657" spans="12:49" x14ac:dyDescent="0.35">
      <c r="L657" s="3"/>
      <c r="M657" s="3"/>
      <c r="N657" s="3"/>
      <c r="O657" s="65"/>
      <c r="Q657" s="3"/>
      <c r="R657" s="3"/>
      <c r="S657" s="3"/>
      <c r="T657" s="3"/>
      <c r="V657" s="3"/>
      <c r="W657" s="3"/>
      <c r="X657" s="3"/>
      <c r="Y657" s="3"/>
      <c r="Z657" s="3"/>
      <c r="AA657" s="3"/>
      <c r="AB657" s="3"/>
      <c r="AC657" s="3"/>
      <c r="AD657" s="3"/>
      <c r="AE657" s="3"/>
      <c r="AF657" s="3"/>
      <c r="AG657" s="3"/>
      <c r="AH657" s="3"/>
      <c r="AI657" s="3"/>
      <c r="AJ657" s="3"/>
      <c r="AK657" s="3"/>
      <c r="AL657" s="3"/>
      <c r="AM657" s="3"/>
      <c r="AN657" s="3"/>
      <c r="AO657" s="3"/>
      <c r="AP657" s="3"/>
      <c r="AQ657" s="3"/>
      <c r="AR657" s="3"/>
      <c r="AS657" s="3"/>
      <c r="AT657" s="3"/>
      <c r="AU657" s="3"/>
      <c r="AV657" s="3"/>
      <c r="AW657" s="3"/>
    </row>
    <row r="658" spans="12:49" x14ac:dyDescent="0.35">
      <c r="L658" s="3"/>
      <c r="M658" s="3"/>
      <c r="N658" s="3"/>
      <c r="O658" s="65"/>
      <c r="Q658" s="3"/>
      <c r="R658" s="3"/>
      <c r="S658" s="3"/>
      <c r="T658" s="3"/>
      <c r="V658" s="3"/>
      <c r="W658" s="3"/>
      <c r="X658" s="3"/>
      <c r="Y658" s="3"/>
      <c r="Z658" s="3"/>
      <c r="AA658" s="3"/>
      <c r="AB658" s="3"/>
      <c r="AC658" s="3"/>
      <c r="AD658" s="3"/>
      <c r="AE658" s="3"/>
      <c r="AF658" s="3"/>
      <c r="AG658" s="3"/>
      <c r="AH658" s="3"/>
      <c r="AI658" s="3"/>
      <c r="AJ658" s="3"/>
      <c r="AK658" s="3"/>
      <c r="AL658" s="3"/>
      <c r="AM658" s="3"/>
      <c r="AN658" s="3"/>
      <c r="AO658" s="3"/>
      <c r="AP658" s="3"/>
      <c r="AQ658" s="3"/>
      <c r="AR658" s="3"/>
      <c r="AS658" s="3"/>
      <c r="AT658" s="3"/>
      <c r="AU658" s="3"/>
      <c r="AV658" s="3"/>
      <c r="AW658" s="3"/>
    </row>
    <row r="659" spans="12:49" x14ac:dyDescent="0.35">
      <c r="L659" s="3"/>
      <c r="M659" s="3"/>
      <c r="N659" s="3"/>
      <c r="O659" s="65"/>
      <c r="Q659" s="3"/>
      <c r="R659" s="3"/>
      <c r="S659" s="3"/>
      <c r="T659" s="3"/>
      <c r="V659" s="3"/>
      <c r="W659" s="3"/>
      <c r="X659" s="3"/>
      <c r="Y659" s="3"/>
      <c r="Z659" s="3"/>
      <c r="AA659" s="3"/>
      <c r="AB659" s="3"/>
      <c r="AC659" s="3"/>
      <c r="AD659" s="3"/>
      <c r="AE659" s="3"/>
      <c r="AF659" s="3"/>
      <c r="AG659" s="3"/>
      <c r="AH659" s="3"/>
      <c r="AI659" s="3"/>
      <c r="AJ659" s="3"/>
      <c r="AK659" s="3"/>
      <c r="AL659" s="3"/>
      <c r="AM659" s="3"/>
      <c r="AN659" s="3"/>
      <c r="AO659" s="3"/>
      <c r="AP659" s="3"/>
      <c r="AQ659" s="3"/>
      <c r="AR659" s="3"/>
      <c r="AS659" s="3"/>
      <c r="AT659" s="3"/>
      <c r="AU659" s="3"/>
      <c r="AV659" s="3"/>
      <c r="AW659" s="3"/>
    </row>
    <row r="660" spans="12:49" x14ac:dyDescent="0.35">
      <c r="L660" s="3"/>
      <c r="M660" s="3"/>
      <c r="N660" s="3"/>
      <c r="O660" s="65"/>
      <c r="Q660" s="3"/>
      <c r="R660" s="3"/>
      <c r="S660" s="3"/>
      <c r="T660" s="3"/>
      <c r="V660" s="3"/>
      <c r="W660" s="3"/>
      <c r="X660" s="3"/>
      <c r="Y660" s="3"/>
      <c r="Z660" s="3"/>
      <c r="AA660" s="3"/>
      <c r="AB660" s="3"/>
      <c r="AC660" s="3"/>
      <c r="AD660" s="3"/>
      <c r="AE660" s="3"/>
      <c r="AF660" s="3"/>
      <c r="AG660" s="3"/>
      <c r="AH660" s="3"/>
      <c r="AI660" s="3"/>
      <c r="AJ660" s="3"/>
      <c r="AK660" s="3"/>
      <c r="AL660" s="3"/>
      <c r="AM660" s="3"/>
      <c r="AN660" s="3"/>
      <c r="AO660" s="3"/>
      <c r="AP660" s="3"/>
      <c r="AQ660" s="3"/>
      <c r="AR660" s="3"/>
      <c r="AS660" s="3"/>
      <c r="AT660" s="3"/>
      <c r="AU660" s="3"/>
      <c r="AV660" s="3"/>
      <c r="AW660" s="3"/>
    </row>
    <row r="661" spans="12:49" x14ac:dyDescent="0.35">
      <c r="L661" s="3"/>
      <c r="M661" s="3"/>
      <c r="N661" s="3"/>
      <c r="O661" s="65"/>
      <c r="Q661" s="3"/>
      <c r="R661" s="3"/>
      <c r="S661" s="3"/>
      <c r="T661" s="3"/>
      <c r="V661" s="3"/>
      <c r="W661" s="3"/>
      <c r="X661" s="3"/>
      <c r="Y661" s="3"/>
      <c r="Z661" s="3"/>
      <c r="AA661" s="3"/>
      <c r="AB661" s="3"/>
      <c r="AC661" s="3"/>
      <c r="AD661" s="3"/>
      <c r="AE661" s="3"/>
      <c r="AF661" s="3"/>
      <c r="AG661" s="3"/>
      <c r="AH661" s="3"/>
      <c r="AI661" s="3"/>
      <c r="AJ661" s="3"/>
      <c r="AK661" s="3"/>
      <c r="AL661" s="3"/>
      <c r="AM661" s="3"/>
      <c r="AN661" s="3"/>
      <c r="AO661" s="3"/>
      <c r="AP661" s="3"/>
      <c r="AQ661" s="3"/>
      <c r="AR661" s="3"/>
      <c r="AS661" s="3"/>
      <c r="AT661" s="3"/>
      <c r="AU661" s="3"/>
      <c r="AV661" s="3"/>
      <c r="AW661" s="3"/>
    </row>
    <row r="662" spans="12:49" x14ac:dyDescent="0.35">
      <c r="L662" s="3"/>
      <c r="M662" s="3"/>
      <c r="N662" s="3"/>
      <c r="O662" s="65"/>
      <c r="Q662" s="3"/>
      <c r="R662" s="3"/>
      <c r="S662" s="3"/>
      <c r="T662" s="3"/>
      <c r="V662" s="3"/>
      <c r="W662" s="3"/>
      <c r="X662" s="3"/>
      <c r="Y662" s="3"/>
      <c r="Z662" s="3"/>
      <c r="AA662" s="3"/>
      <c r="AB662" s="3"/>
      <c r="AC662" s="3"/>
      <c r="AD662" s="3"/>
      <c r="AE662" s="3"/>
      <c r="AF662" s="3"/>
      <c r="AG662" s="3"/>
      <c r="AH662" s="3"/>
      <c r="AI662" s="3"/>
      <c r="AJ662" s="3"/>
      <c r="AK662" s="3"/>
      <c r="AL662" s="3"/>
      <c r="AM662" s="3"/>
      <c r="AN662" s="3"/>
      <c r="AO662" s="3"/>
      <c r="AP662" s="3"/>
      <c r="AQ662" s="3"/>
      <c r="AR662" s="3"/>
      <c r="AS662" s="3"/>
      <c r="AT662" s="3"/>
      <c r="AU662" s="3"/>
      <c r="AV662" s="3"/>
      <c r="AW662" s="3"/>
    </row>
    <row r="663" spans="12:49" x14ac:dyDescent="0.35">
      <c r="L663" s="3"/>
      <c r="M663" s="3"/>
      <c r="N663" s="3"/>
      <c r="O663" s="65"/>
      <c r="Q663" s="3"/>
      <c r="R663" s="3"/>
      <c r="S663" s="3"/>
      <c r="T663" s="3"/>
      <c r="V663" s="3"/>
      <c r="W663" s="3"/>
      <c r="X663" s="3"/>
      <c r="Y663" s="3"/>
      <c r="Z663" s="3"/>
      <c r="AA663" s="3"/>
      <c r="AB663" s="3"/>
      <c r="AC663" s="3"/>
      <c r="AD663" s="3"/>
      <c r="AE663" s="3"/>
      <c r="AF663" s="3"/>
      <c r="AG663" s="3"/>
      <c r="AH663" s="3"/>
      <c r="AI663" s="3"/>
      <c r="AJ663" s="3"/>
      <c r="AK663" s="3"/>
      <c r="AL663" s="3"/>
      <c r="AM663" s="3"/>
      <c r="AN663" s="3"/>
      <c r="AO663" s="3"/>
      <c r="AP663" s="3"/>
      <c r="AQ663" s="3"/>
      <c r="AR663" s="3"/>
      <c r="AS663" s="3"/>
      <c r="AT663" s="3"/>
      <c r="AU663" s="3"/>
      <c r="AV663" s="3"/>
      <c r="AW663" s="3"/>
    </row>
    <row r="664" spans="12:49" x14ac:dyDescent="0.35">
      <c r="L664" s="3"/>
      <c r="M664" s="3"/>
      <c r="N664" s="3"/>
      <c r="O664" s="65"/>
      <c r="Q664" s="3"/>
      <c r="R664" s="3"/>
      <c r="S664" s="3"/>
      <c r="T664" s="3"/>
      <c r="V664" s="3"/>
      <c r="W664" s="3"/>
      <c r="X664" s="3"/>
      <c r="Y664" s="3"/>
      <c r="Z664" s="3"/>
      <c r="AA664" s="3"/>
      <c r="AB664" s="3"/>
      <c r="AC664" s="3"/>
      <c r="AD664" s="3"/>
      <c r="AE664" s="3"/>
      <c r="AF664" s="3"/>
      <c r="AG664" s="3"/>
      <c r="AH664" s="3"/>
      <c r="AI664" s="3"/>
      <c r="AJ664" s="3"/>
      <c r="AK664" s="3"/>
      <c r="AL664" s="3"/>
      <c r="AM664" s="3"/>
      <c r="AN664" s="3"/>
      <c r="AO664" s="3"/>
      <c r="AP664" s="3"/>
      <c r="AQ664" s="3"/>
      <c r="AR664" s="3"/>
      <c r="AS664" s="3"/>
      <c r="AT664" s="3"/>
      <c r="AU664" s="3"/>
      <c r="AV664" s="3"/>
      <c r="AW664" s="3"/>
    </row>
    <row r="665" spans="12:49" x14ac:dyDescent="0.35">
      <c r="L665" s="3"/>
      <c r="M665" s="3"/>
      <c r="N665" s="3"/>
      <c r="O665" s="65"/>
      <c r="Q665" s="3"/>
      <c r="R665" s="3"/>
      <c r="S665" s="3"/>
      <c r="T665" s="3"/>
      <c r="V665" s="3"/>
      <c r="W665" s="3"/>
      <c r="X665" s="3"/>
      <c r="Y665" s="3"/>
      <c r="Z665" s="3"/>
      <c r="AA665" s="3"/>
      <c r="AB665" s="3"/>
      <c r="AC665" s="3"/>
      <c r="AD665" s="3"/>
      <c r="AE665" s="3"/>
      <c r="AF665" s="3"/>
      <c r="AG665" s="3"/>
      <c r="AH665" s="3"/>
      <c r="AI665" s="3"/>
      <c r="AJ665" s="3"/>
      <c r="AK665" s="3"/>
      <c r="AL665" s="3"/>
      <c r="AM665" s="3"/>
      <c r="AN665" s="3"/>
      <c r="AO665" s="3"/>
      <c r="AP665" s="3"/>
      <c r="AQ665" s="3"/>
      <c r="AR665" s="3"/>
      <c r="AS665" s="3"/>
      <c r="AT665" s="3"/>
      <c r="AU665" s="3"/>
      <c r="AV665" s="3"/>
      <c r="AW665" s="3"/>
    </row>
    <row r="666" spans="12:49" x14ac:dyDescent="0.35">
      <c r="L666" s="3"/>
      <c r="M666" s="3"/>
      <c r="N666" s="3"/>
      <c r="O666" s="65"/>
      <c r="Q666" s="3"/>
      <c r="R666" s="3"/>
      <c r="S666" s="3"/>
      <c r="T666" s="3"/>
      <c r="V666" s="3"/>
      <c r="W666" s="3"/>
      <c r="X666" s="3"/>
      <c r="Y666" s="3"/>
      <c r="Z666" s="3"/>
      <c r="AA666" s="3"/>
      <c r="AB666" s="3"/>
      <c r="AC666" s="3"/>
      <c r="AD666" s="3"/>
      <c r="AE666" s="3"/>
      <c r="AF666" s="3"/>
      <c r="AG666" s="3"/>
      <c r="AH666" s="3"/>
      <c r="AI666" s="3"/>
      <c r="AJ666" s="3"/>
      <c r="AK666" s="3"/>
      <c r="AL666" s="3"/>
      <c r="AM666" s="3"/>
      <c r="AN666" s="3"/>
      <c r="AO666" s="3"/>
      <c r="AP666" s="3"/>
      <c r="AQ666" s="3"/>
      <c r="AR666" s="3"/>
      <c r="AS666" s="3"/>
      <c r="AT666" s="3"/>
      <c r="AU666" s="3"/>
      <c r="AV666" s="3"/>
      <c r="AW666" s="3"/>
    </row>
    <row r="667" spans="12:49" x14ac:dyDescent="0.35">
      <c r="L667" s="3"/>
      <c r="M667" s="3"/>
      <c r="N667" s="3"/>
      <c r="O667" s="65"/>
      <c r="Q667" s="3"/>
      <c r="R667" s="3"/>
      <c r="S667" s="3"/>
      <c r="T667" s="3"/>
      <c r="V667" s="3"/>
      <c r="W667" s="3"/>
      <c r="X667" s="3"/>
      <c r="Y667" s="3"/>
      <c r="Z667" s="3"/>
      <c r="AA667" s="3"/>
      <c r="AB667" s="3"/>
      <c r="AC667" s="3"/>
      <c r="AD667" s="3"/>
      <c r="AE667" s="3"/>
      <c r="AF667" s="3"/>
      <c r="AG667" s="3"/>
      <c r="AH667" s="3"/>
      <c r="AI667" s="3"/>
      <c r="AJ667" s="3"/>
      <c r="AK667" s="3"/>
      <c r="AL667" s="3"/>
      <c r="AM667" s="3"/>
      <c r="AN667" s="3"/>
      <c r="AO667" s="3"/>
      <c r="AP667" s="3"/>
      <c r="AQ667" s="3"/>
      <c r="AR667" s="3"/>
      <c r="AS667" s="3"/>
      <c r="AT667" s="3"/>
      <c r="AU667" s="3"/>
      <c r="AV667" s="3"/>
      <c r="AW667" s="3"/>
    </row>
    <row r="668" spans="12:49" x14ac:dyDescent="0.35">
      <c r="L668" s="3"/>
      <c r="M668" s="3"/>
      <c r="N668" s="3"/>
      <c r="O668" s="65"/>
      <c r="Q668" s="3"/>
      <c r="R668" s="3"/>
      <c r="S668" s="3"/>
      <c r="T668" s="3"/>
      <c r="V668" s="3"/>
      <c r="W668" s="3"/>
      <c r="X668" s="3"/>
      <c r="Y668" s="3"/>
      <c r="Z668" s="3"/>
      <c r="AA668" s="3"/>
      <c r="AB668" s="3"/>
      <c r="AC668" s="3"/>
      <c r="AD668" s="3"/>
      <c r="AE668" s="3"/>
      <c r="AF668" s="3"/>
      <c r="AG668" s="3"/>
      <c r="AH668" s="3"/>
      <c r="AI668" s="3"/>
      <c r="AJ668" s="3"/>
      <c r="AK668" s="3"/>
      <c r="AL668" s="3"/>
      <c r="AM668" s="3"/>
      <c r="AN668" s="3"/>
      <c r="AO668" s="3"/>
      <c r="AP668" s="3"/>
      <c r="AQ668" s="3"/>
      <c r="AR668" s="3"/>
      <c r="AS668" s="3"/>
      <c r="AT668" s="3"/>
      <c r="AU668" s="3"/>
      <c r="AV668" s="3"/>
      <c r="AW668" s="3"/>
    </row>
    <row r="669" spans="12:49" x14ac:dyDescent="0.35">
      <c r="L669" s="3"/>
      <c r="M669" s="3"/>
      <c r="N669" s="3"/>
      <c r="O669" s="65"/>
      <c r="Q669" s="3"/>
      <c r="R669" s="3"/>
      <c r="S669" s="3"/>
      <c r="T669" s="3"/>
      <c r="V669" s="3"/>
      <c r="W669" s="3"/>
      <c r="X669" s="3"/>
      <c r="Y669" s="3"/>
      <c r="Z669" s="3"/>
      <c r="AA669" s="3"/>
      <c r="AB669" s="3"/>
      <c r="AC669" s="3"/>
      <c r="AD669" s="3"/>
      <c r="AE669" s="3"/>
      <c r="AF669" s="3"/>
      <c r="AG669" s="3"/>
      <c r="AH669" s="3"/>
      <c r="AI669" s="3"/>
      <c r="AJ669" s="3"/>
      <c r="AK669" s="3"/>
      <c r="AL669" s="3"/>
      <c r="AM669" s="3"/>
      <c r="AN669" s="3"/>
      <c r="AO669" s="3"/>
      <c r="AP669" s="3"/>
      <c r="AQ669" s="3"/>
      <c r="AR669" s="3"/>
      <c r="AS669" s="3"/>
      <c r="AT669" s="3"/>
      <c r="AU669" s="3"/>
      <c r="AV669" s="3"/>
      <c r="AW669" s="3"/>
    </row>
    <row r="670" spans="12:49" x14ac:dyDescent="0.35">
      <c r="L670" s="3"/>
      <c r="M670" s="3"/>
      <c r="N670" s="3"/>
      <c r="O670" s="65"/>
      <c r="Q670" s="3"/>
      <c r="R670" s="3"/>
      <c r="S670" s="3"/>
      <c r="T670" s="3"/>
      <c r="V670" s="3"/>
      <c r="W670" s="3"/>
      <c r="X670" s="3"/>
      <c r="Y670" s="3"/>
      <c r="Z670" s="3"/>
      <c r="AA670" s="3"/>
      <c r="AB670" s="3"/>
      <c r="AC670" s="3"/>
      <c r="AD670" s="3"/>
      <c r="AE670" s="3"/>
      <c r="AF670" s="3"/>
      <c r="AG670" s="3"/>
      <c r="AH670" s="3"/>
      <c r="AI670" s="3"/>
      <c r="AJ670" s="3"/>
      <c r="AK670" s="3"/>
      <c r="AL670" s="3"/>
      <c r="AM670" s="3"/>
      <c r="AN670" s="3"/>
      <c r="AO670" s="3"/>
      <c r="AP670" s="3"/>
      <c r="AQ670" s="3"/>
      <c r="AR670" s="3"/>
      <c r="AS670" s="3"/>
      <c r="AT670" s="3"/>
      <c r="AU670" s="3"/>
      <c r="AV670" s="3"/>
      <c r="AW670" s="3"/>
    </row>
    <row r="671" spans="12:49" x14ac:dyDescent="0.35">
      <c r="L671" s="3"/>
      <c r="M671" s="3"/>
      <c r="N671" s="3"/>
      <c r="O671" s="65"/>
      <c r="Q671" s="3"/>
      <c r="R671" s="3"/>
      <c r="S671" s="3"/>
      <c r="T671" s="3"/>
      <c r="V671" s="3"/>
      <c r="W671" s="3"/>
      <c r="X671" s="3"/>
      <c r="Y671" s="3"/>
      <c r="Z671" s="3"/>
      <c r="AA671" s="3"/>
      <c r="AB671" s="3"/>
      <c r="AC671" s="3"/>
      <c r="AD671" s="3"/>
      <c r="AE671" s="3"/>
      <c r="AF671" s="3"/>
      <c r="AG671" s="3"/>
      <c r="AH671" s="3"/>
      <c r="AI671" s="3"/>
      <c r="AJ671" s="3"/>
      <c r="AK671" s="3"/>
      <c r="AL671" s="3"/>
      <c r="AM671" s="3"/>
      <c r="AN671" s="3"/>
      <c r="AO671" s="3"/>
      <c r="AP671" s="3"/>
      <c r="AQ671" s="3"/>
      <c r="AR671" s="3"/>
      <c r="AS671" s="3"/>
      <c r="AT671" s="3"/>
      <c r="AU671" s="3"/>
      <c r="AV671" s="3"/>
      <c r="AW671" s="3"/>
    </row>
    <row r="672" spans="12:49" x14ac:dyDescent="0.35">
      <c r="L672" s="3"/>
      <c r="M672" s="3"/>
      <c r="N672" s="3"/>
      <c r="O672" s="65"/>
      <c r="Q672" s="3"/>
      <c r="R672" s="3"/>
      <c r="S672" s="3"/>
      <c r="T672" s="3"/>
      <c r="V672" s="3"/>
      <c r="W672" s="3"/>
      <c r="X672" s="3"/>
      <c r="Y672" s="3"/>
      <c r="Z672" s="3"/>
      <c r="AA672" s="3"/>
      <c r="AB672" s="3"/>
      <c r="AC672" s="3"/>
      <c r="AD672" s="3"/>
      <c r="AE672" s="3"/>
      <c r="AF672" s="3"/>
      <c r="AG672" s="3"/>
      <c r="AH672" s="3"/>
      <c r="AI672" s="3"/>
      <c r="AJ672" s="3"/>
      <c r="AK672" s="3"/>
      <c r="AL672" s="3"/>
      <c r="AM672" s="3"/>
      <c r="AN672" s="3"/>
      <c r="AO672" s="3"/>
      <c r="AP672" s="3"/>
      <c r="AQ672" s="3"/>
      <c r="AR672" s="3"/>
      <c r="AS672" s="3"/>
      <c r="AT672" s="3"/>
      <c r="AU672" s="3"/>
      <c r="AV672" s="3"/>
      <c r="AW672" s="3"/>
    </row>
    <row r="673" spans="12:49" x14ac:dyDescent="0.35">
      <c r="L673" s="3"/>
      <c r="M673" s="3"/>
      <c r="N673" s="3"/>
      <c r="O673" s="65"/>
      <c r="Q673" s="3"/>
      <c r="R673" s="3"/>
      <c r="S673" s="3"/>
      <c r="T673" s="3"/>
      <c r="V673" s="3"/>
      <c r="W673" s="3"/>
      <c r="X673" s="3"/>
      <c r="Y673" s="3"/>
      <c r="Z673" s="3"/>
      <c r="AA673" s="3"/>
      <c r="AB673" s="3"/>
      <c r="AC673" s="3"/>
      <c r="AD673" s="3"/>
      <c r="AE673" s="3"/>
      <c r="AF673" s="3"/>
      <c r="AG673" s="3"/>
      <c r="AH673" s="3"/>
      <c r="AI673" s="3"/>
      <c r="AJ673" s="3"/>
      <c r="AK673" s="3"/>
      <c r="AL673" s="3"/>
      <c r="AM673" s="3"/>
      <c r="AN673" s="3"/>
      <c r="AO673" s="3"/>
      <c r="AP673" s="3"/>
      <c r="AQ673" s="3"/>
      <c r="AR673" s="3"/>
      <c r="AS673" s="3"/>
      <c r="AT673" s="3"/>
      <c r="AU673" s="3"/>
      <c r="AV673" s="3"/>
      <c r="AW673" s="3"/>
    </row>
    <row r="674" spans="12:49" x14ac:dyDescent="0.35">
      <c r="L674" s="3"/>
      <c r="M674" s="3"/>
      <c r="N674" s="3"/>
      <c r="O674" s="65"/>
      <c r="Q674" s="3"/>
      <c r="R674" s="3"/>
      <c r="S674" s="3"/>
      <c r="T674" s="3"/>
      <c r="V674" s="3"/>
      <c r="W674" s="3"/>
      <c r="X674" s="3"/>
      <c r="Y674" s="3"/>
      <c r="Z674" s="3"/>
      <c r="AA674" s="3"/>
      <c r="AB674" s="3"/>
      <c r="AC674" s="3"/>
      <c r="AD674" s="3"/>
      <c r="AE674" s="3"/>
      <c r="AF674" s="3"/>
      <c r="AG674" s="3"/>
      <c r="AH674" s="3"/>
      <c r="AI674" s="3"/>
      <c r="AJ674" s="3"/>
      <c r="AK674" s="3"/>
      <c r="AL674" s="3"/>
      <c r="AM674" s="3"/>
      <c r="AN674" s="3"/>
      <c r="AO674" s="3"/>
      <c r="AP674" s="3"/>
      <c r="AQ674" s="3"/>
      <c r="AR674" s="3"/>
      <c r="AS674" s="3"/>
      <c r="AT674" s="3"/>
      <c r="AU674" s="3"/>
      <c r="AV674" s="3"/>
      <c r="AW674" s="3"/>
    </row>
    <row r="675" spans="12:49" x14ac:dyDescent="0.35">
      <c r="L675" s="3"/>
      <c r="M675" s="3"/>
      <c r="N675" s="3"/>
      <c r="O675" s="65"/>
      <c r="Q675" s="3"/>
      <c r="R675" s="3"/>
      <c r="S675" s="3"/>
      <c r="T675" s="3"/>
      <c r="V675" s="3"/>
      <c r="W675" s="3"/>
      <c r="X675" s="3"/>
      <c r="Y675" s="3"/>
      <c r="Z675" s="3"/>
      <c r="AA675" s="3"/>
      <c r="AB675" s="3"/>
      <c r="AC675" s="3"/>
      <c r="AD675" s="3"/>
      <c r="AE675" s="3"/>
      <c r="AF675" s="3"/>
      <c r="AG675" s="3"/>
      <c r="AH675" s="3"/>
      <c r="AI675" s="3"/>
      <c r="AJ675" s="3"/>
      <c r="AK675" s="3"/>
      <c r="AL675" s="3"/>
      <c r="AM675" s="3"/>
      <c r="AN675" s="3"/>
      <c r="AO675" s="3"/>
      <c r="AP675" s="3"/>
      <c r="AQ675" s="3"/>
      <c r="AR675" s="3"/>
      <c r="AS675" s="3"/>
      <c r="AT675" s="3"/>
      <c r="AU675" s="3"/>
      <c r="AV675" s="3"/>
      <c r="AW675" s="3"/>
    </row>
    <row r="676" spans="12:49" x14ac:dyDescent="0.35">
      <c r="L676" s="3"/>
      <c r="M676" s="3"/>
      <c r="N676" s="3"/>
      <c r="O676" s="65"/>
      <c r="Q676" s="3"/>
      <c r="R676" s="3"/>
      <c r="S676" s="3"/>
      <c r="T676" s="3"/>
      <c r="V676" s="3"/>
      <c r="W676" s="3"/>
      <c r="X676" s="3"/>
      <c r="Y676" s="3"/>
      <c r="Z676" s="3"/>
      <c r="AA676" s="3"/>
      <c r="AB676" s="3"/>
      <c r="AC676" s="3"/>
      <c r="AD676" s="3"/>
      <c r="AE676" s="3"/>
      <c r="AF676" s="3"/>
      <c r="AG676" s="3"/>
      <c r="AH676" s="3"/>
      <c r="AI676" s="3"/>
      <c r="AJ676" s="3"/>
      <c r="AK676" s="3"/>
      <c r="AL676" s="3"/>
      <c r="AM676" s="3"/>
      <c r="AN676" s="3"/>
      <c r="AO676" s="3"/>
      <c r="AP676" s="3"/>
      <c r="AQ676" s="3"/>
      <c r="AR676" s="3"/>
      <c r="AS676" s="3"/>
      <c r="AT676" s="3"/>
      <c r="AU676" s="3"/>
      <c r="AV676" s="3"/>
      <c r="AW676" s="3"/>
    </row>
    <row r="677" spans="12:49" x14ac:dyDescent="0.35">
      <c r="L677" s="3"/>
      <c r="M677" s="3"/>
      <c r="N677" s="3"/>
      <c r="O677" s="65"/>
      <c r="Q677" s="3"/>
      <c r="R677" s="3"/>
      <c r="S677" s="3"/>
      <c r="T677" s="3"/>
      <c r="V677" s="3"/>
      <c r="W677" s="3"/>
      <c r="X677" s="3"/>
      <c r="Y677" s="3"/>
      <c r="Z677" s="3"/>
      <c r="AA677" s="3"/>
      <c r="AB677" s="3"/>
      <c r="AC677" s="3"/>
      <c r="AD677" s="3"/>
      <c r="AE677" s="3"/>
      <c r="AF677" s="3"/>
      <c r="AG677" s="3"/>
      <c r="AH677" s="3"/>
      <c r="AI677" s="3"/>
      <c r="AJ677" s="3"/>
      <c r="AK677" s="3"/>
      <c r="AL677" s="3"/>
      <c r="AM677" s="3"/>
      <c r="AN677" s="3"/>
      <c r="AO677" s="3"/>
      <c r="AP677" s="3"/>
      <c r="AQ677" s="3"/>
      <c r="AR677" s="3"/>
      <c r="AS677" s="3"/>
      <c r="AT677" s="3"/>
      <c r="AU677" s="3"/>
      <c r="AV677" s="3"/>
      <c r="AW677" s="3"/>
    </row>
    <row r="678" spans="12:49" x14ac:dyDescent="0.35">
      <c r="L678" s="3"/>
      <c r="M678" s="3"/>
      <c r="N678" s="3"/>
      <c r="O678" s="65"/>
      <c r="Q678" s="3"/>
      <c r="R678" s="3"/>
      <c r="S678" s="3"/>
      <c r="T678" s="3"/>
      <c r="V678" s="3"/>
      <c r="W678" s="3"/>
      <c r="X678" s="3"/>
      <c r="Y678" s="3"/>
      <c r="Z678" s="3"/>
      <c r="AA678" s="3"/>
      <c r="AB678" s="3"/>
      <c r="AC678" s="3"/>
      <c r="AD678" s="3"/>
      <c r="AE678" s="3"/>
      <c r="AF678" s="3"/>
      <c r="AG678" s="3"/>
      <c r="AH678" s="3"/>
      <c r="AI678" s="3"/>
      <c r="AJ678" s="3"/>
      <c r="AK678" s="3"/>
      <c r="AL678" s="3"/>
      <c r="AM678" s="3"/>
      <c r="AN678" s="3"/>
      <c r="AO678" s="3"/>
      <c r="AP678" s="3"/>
      <c r="AQ678" s="3"/>
      <c r="AR678" s="3"/>
      <c r="AS678" s="3"/>
      <c r="AT678" s="3"/>
      <c r="AU678" s="3"/>
      <c r="AV678" s="3"/>
      <c r="AW678" s="3"/>
    </row>
    <row r="679" spans="12:49" x14ac:dyDescent="0.35">
      <c r="L679" s="3"/>
      <c r="M679" s="3"/>
      <c r="N679" s="3"/>
      <c r="O679" s="65"/>
      <c r="Q679" s="3"/>
      <c r="R679" s="3"/>
      <c r="S679" s="3"/>
      <c r="T679" s="3"/>
      <c r="V679" s="3"/>
      <c r="W679" s="3"/>
      <c r="X679" s="3"/>
      <c r="Y679" s="3"/>
      <c r="Z679" s="3"/>
      <c r="AA679" s="3"/>
      <c r="AB679" s="3"/>
      <c r="AC679" s="3"/>
      <c r="AD679" s="3"/>
      <c r="AE679" s="3"/>
      <c r="AF679" s="3"/>
      <c r="AG679" s="3"/>
      <c r="AH679" s="3"/>
      <c r="AI679" s="3"/>
      <c r="AJ679" s="3"/>
      <c r="AK679" s="3"/>
      <c r="AL679" s="3"/>
      <c r="AM679" s="3"/>
      <c r="AN679" s="3"/>
      <c r="AO679" s="3"/>
      <c r="AP679" s="3"/>
      <c r="AQ679" s="3"/>
      <c r="AR679" s="3"/>
      <c r="AS679" s="3"/>
      <c r="AT679" s="3"/>
      <c r="AU679" s="3"/>
      <c r="AV679" s="3"/>
      <c r="AW679" s="3"/>
    </row>
    <row r="680" spans="12:49" x14ac:dyDescent="0.35">
      <c r="L680" s="3"/>
      <c r="M680" s="3"/>
      <c r="N680" s="3"/>
      <c r="O680" s="65"/>
      <c r="Q680" s="3"/>
      <c r="R680" s="3"/>
      <c r="S680" s="3"/>
      <c r="T680" s="3"/>
      <c r="V680" s="3"/>
      <c r="W680" s="3"/>
      <c r="X680" s="3"/>
      <c r="Y680" s="3"/>
      <c r="Z680" s="3"/>
      <c r="AA680" s="3"/>
      <c r="AB680" s="3"/>
      <c r="AC680" s="3"/>
      <c r="AD680" s="3"/>
      <c r="AE680" s="3"/>
      <c r="AF680" s="3"/>
      <c r="AG680" s="3"/>
      <c r="AH680" s="3"/>
      <c r="AI680" s="3"/>
      <c r="AJ680" s="3"/>
      <c r="AK680" s="3"/>
      <c r="AL680" s="3"/>
      <c r="AM680" s="3"/>
      <c r="AN680" s="3"/>
      <c r="AO680" s="3"/>
      <c r="AP680" s="3"/>
      <c r="AQ680" s="3"/>
      <c r="AR680" s="3"/>
      <c r="AS680" s="3"/>
      <c r="AT680" s="3"/>
      <c r="AU680" s="3"/>
      <c r="AV680" s="3"/>
      <c r="AW680" s="3"/>
    </row>
    <row r="681" spans="12:49" x14ac:dyDescent="0.35">
      <c r="L681" s="3"/>
      <c r="M681" s="3"/>
      <c r="N681" s="3"/>
      <c r="O681" s="65"/>
      <c r="Q681" s="3"/>
      <c r="R681" s="3"/>
      <c r="S681" s="3"/>
      <c r="T681" s="3"/>
      <c r="V681" s="3"/>
      <c r="W681" s="3"/>
      <c r="X681" s="3"/>
      <c r="Y681" s="3"/>
      <c r="Z681" s="3"/>
      <c r="AA681" s="3"/>
      <c r="AB681" s="3"/>
      <c r="AC681" s="3"/>
      <c r="AD681" s="3"/>
      <c r="AE681" s="3"/>
      <c r="AF681" s="3"/>
      <c r="AG681" s="3"/>
      <c r="AH681" s="3"/>
      <c r="AI681" s="3"/>
      <c r="AJ681" s="3"/>
      <c r="AK681" s="3"/>
      <c r="AL681" s="3"/>
      <c r="AM681" s="3"/>
      <c r="AN681" s="3"/>
      <c r="AO681" s="3"/>
      <c r="AP681" s="3"/>
      <c r="AQ681" s="3"/>
      <c r="AR681" s="3"/>
      <c r="AS681" s="3"/>
      <c r="AT681" s="3"/>
      <c r="AU681" s="3"/>
      <c r="AV681" s="3"/>
      <c r="AW681" s="3"/>
    </row>
    <row r="682" spans="12:49" x14ac:dyDescent="0.35">
      <c r="L682" s="3"/>
      <c r="M682" s="3"/>
      <c r="N682" s="3"/>
      <c r="O682" s="65"/>
      <c r="Q682" s="3"/>
      <c r="R682" s="3"/>
      <c r="S682" s="3"/>
      <c r="T682" s="3"/>
      <c r="V682" s="3"/>
      <c r="W682" s="3"/>
      <c r="X682" s="3"/>
      <c r="Y682" s="3"/>
      <c r="Z682" s="3"/>
      <c r="AA682" s="3"/>
      <c r="AB682" s="3"/>
      <c r="AC682" s="3"/>
      <c r="AD682" s="3"/>
      <c r="AE682" s="3"/>
      <c r="AF682" s="3"/>
      <c r="AG682" s="3"/>
      <c r="AH682" s="3"/>
      <c r="AI682" s="3"/>
      <c r="AJ682" s="3"/>
      <c r="AK682" s="3"/>
      <c r="AL682" s="3"/>
      <c r="AM682" s="3"/>
      <c r="AN682" s="3"/>
      <c r="AO682" s="3"/>
      <c r="AP682" s="3"/>
      <c r="AQ682" s="3"/>
      <c r="AR682" s="3"/>
      <c r="AS682" s="3"/>
      <c r="AT682" s="3"/>
      <c r="AU682" s="3"/>
      <c r="AV682" s="3"/>
      <c r="AW682" s="3"/>
    </row>
    <row r="683" spans="12:49" x14ac:dyDescent="0.35">
      <c r="L683" s="3"/>
      <c r="M683" s="3"/>
      <c r="N683" s="3"/>
      <c r="O683" s="65"/>
      <c r="Q683" s="3"/>
      <c r="R683" s="3"/>
      <c r="S683" s="3"/>
      <c r="T683" s="3"/>
      <c r="V683" s="3"/>
      <c r="W683" s="3"/>
      <c r="X683" s="3"/>
      <c r="Y683" s="3"/>
      <c r="Z683" s="3"/>
      <c r="AA683" s="3"/>
      <c r="AB683" s="3"/>
      <c r="AC683" s="3"/>
      <c r="AD683" s="3"/>
      <c r="AE683" s="3"/>
      <c r="AF683" s="3"/>
      <c r="AG683" s="3"/>
      <c r="AH683" s="3"/>
      <c r="AI683" s="3"/>
      <c r="AJ683" s="3"/>
      <c r="AK683" s="3"/>
      <c r="AL683" s="3"/>
      <c r="AM683" s="3"/>
      <c r="AN683" s="3"/>
      <c r="AO683" s="3"/>
      <c r="AP683" s="3"/>
      <c r="AQ683" s="3"/>
      <c r="AR683" s="3"/>
      <c r="AS683" s="3"/>
      <c r="AT683" s="3"/>
      <c r="AU683" s="3"/>
      <c r="AV683" s="3"/>
      <c r="AW683" s="3"/>
    </row>
    <row r="684" spans="12:49" x14ac:dyDescent="0.35">
      <c r="L684" s="3"/>
      <c r="M684" s="3"/>
      <c r="N684" s="3"/>
      <c r="O684" s="65"/>
      <c r="Q684" s="3"/>
      <c r="R684" s="3"/>
      <c r="S684" s="3"/>
      <c r="T684" s="3"/>
      <c r="V684" s="3"/>
      <c r="W684" s="3"/>
      <c r="X684" s="3"/>
      <c r="Y684" s="3"/>
      <c r="Z684" s="3"/>
      <c r="AA684" s="3"/>
      <c r="AB684" s="3"/>
      <c r="AC684" s="3"/>
      <c r="AD684" s="3"/>
      <c r="AE684" s="3"/>
      <c r="AF684" s="3"/>
      <c r="AG684" s="3"/>
      <c r="AH684" s="3"/>
      <c r="AI684" s="3"/>
      <c r="AJ684" s="3"/>
      <c r="AK684" s="3"/>
      <c r="AL684" s="3"/>
      <c r="AM684" s="3"/>
      <c r="AN684" s="3"/>
      <c r="AO684" s="3"/>
      <c r="AP684" s="3"/>
      <c r="AQ684" s="3"/>
      <c r="AR684" s="3"/>
      <c r="AS684" s="3"/>
      <c r="AT684" s="3"/>
      <c r="AU684" s="3"/>
      <c r="AV684" s="3"/>
      <c r="AW684" s="3"/>
    </row>
    <row r="685" spans="12:49" x14ac:dyDescent="0.35">
      <c r="L685" s="3"/>
      <c r="M685" s="3"/>
      <c r="N685" s="3"/>
      <c r="O685" s="65"/>
      <c r="Q685" s="3"/>
      <c r="R685" s="3"/>
      <c r="S685" s="3"/>
      <c r="T685" s="3"/>
      <c r="V685" s="3"/>
      <c r="W685" s="3"/>
      <c r="X685" s="3"/>
      <c r="Y685" s="3"/>
      <c r="Z685" s="3"/>
      <c r="AA685" s="3"/>
      <c r="AB685" s="3"/>
      <c r="AC685" s="3"/>
      <c r="AD685" s="3"/>
      <c r="AE685" s="3"/>
      <c r="AF685" s="3"/>
      <c r="AG685" s="3"/>
      <c r="AH685" s="3"/>
      <c r="AI685" s="3"/>
      <c r="AJ685" s="3"/>
      <c r="AK685" s="3"/>
      <c r="AL685" s="3"/>
      <c r="AM685" s="3"/>
      <c r="AN685" s="3"/>
      <c r="AO685" s="3"/>
      <c r="AP685" s="3"/>
      <c r="AQ685" s="3"/>
      <c r="AR685" s="3"/>
      <c r="AS685" s="3"/>
      <c r="AT685" s="3"/>
      <c r="AU685" s="3"/>
      <c r="AV685" s="3"/>
      <c r="AW685" s="3"/>
    </row>
    <row r="686" spans="12:49" x14ac:dyDescent="0.35">
      <c r="L686" s="3"/>
      <c r="M686" s="3"/>
      <c r="N686" s="3"/>
      <c r="O686" s="65"/>
      <c r="Q686" s="3"/>
      <c r="R686" s="3"/>
      <c r="S686" s="3"/>
      <c r="T686" s="3"/>
      <c r="V686" s="3"/>
      <c r="W686" s="3"/>
      <c r="X686" s="3"/>
      <c r="Y686" s="3"/>
      <c r="Z686" s="3"/>
      <c r="AA686" s="3"/>
      <c r="AB686" s="3"/>
      <c r="AC686" s="3"/>
      <c r="AD686" s="3"/>
      <c r="AE686" s="3"/>
      <c r="AF686" s="3"/>
      <c r="AG686" s="3"/>
      <c r="AH686" s="3"/>
      <c r="AI686" s="3"/>
      <c r="AJ686" s="3"/>
      <c r="AK686" s="3"/>
      <c r="AL686" s="3"/>
      <c r="AM686" s="3"/>
      <c r="AN686" s="3"/>
      <c r="AO686" s="3"/>
      <c r="AP686" s="3"/>
      <c r="AQ686" s="3"/>
      <c r="AR686" s="3"/>
      <c r="AS686" s="3"/>
      <c r="AT686" s="3"/>
      <c r="AU686" s="3"/>
      <c r="AV686" s="3"/>
      <c r="AW686" s="3"/>
    </row>
    <row r="687" spans="12:49" x14ac:dyDescent="0.35">
      <c r="L687" s="3"/>
      <c r="M687" s="3"/>
      <c r="N687" s="3"/>
      <c r="O687" s="65"/>
      <c r="Q687" s="3"/>
      <c r="R687" s="3"/>
      <c r="S687" s="3"/>
      <c r="T687" s="3"/>
      <c r="V687" s="3"/>
      <c r="W687" s="3"/>
      <c r="X687" s="3"/>
      <c r="Y687" s="3"/>
      <c r="Z687" s="3"/>
      <c r="AA687" s="3"/>
      <c r="AB687" s="3"/>
      <c r="AC687" s="3"/>
      <c r="AD687" s="3"/>
      <c r="AE687" s="3"/>
      <c r="AF687" s="3"/>
      <c r="AG687" s="3"/>
      <c r="AH687" s="3"/>
      <c r="AI687" s="3"/>
      <c r="AJ687" s="3"/>
      <c r="AK687" s="3"/>
      <c r="AL687" s="3"/>
      <c r="AM687" s="3"/>
      <c r="AN687" s="3"/>
      <c r="AO687" s="3"/>
      <c r="AP687" s="3"/>
      <c r="AQ687" s="3"/>
      <c r="AR687" s="3"/>
      <c r="AS687" s="3"/>
      <c r="AT687" s="3"/>
      <c r="AU687" s="3"/>
      <c r="AV687" s="3"/>
      <c r="AW687" s="3"/>
    </row>
    <row r="688" spans="12:49" x14ac:dyDescent="0.35">
      <c r="L688" s="3"/>
      <c r="M688" s="3"/>
      <c r="N688" s="3"/>
      <c r="O688" s="65"/>
      <c r="Q688" s="3"/>
      <c r="R688" s="3"/>
      <c r="S688" s="3"/>
      <c r="T688" s="3"/>
      <c r="V688" s="3"/>
      <c r="W688" s="3"/>
      <c r="X688" s="3"/>
      <c r="Y688" s="3"/>
      <c r="Z688" s="3"/>
      <c r="AA688" s="3"/>
      <c r="AB688" s="3"/>
      <c r="AC688" s="3"/>
      <c r="AD688" s="3"/>
      <c r="AE688" s="3"/>
      <c r="AF688" s="3"/>
      <c r="AG688" s="3"/>
      <c r="AH688" s="3"/>
      <c r="AI688" s="3"/>
      <c r="AJ688" s="3"/>
      <c r="AK688" s="3"/>
      <c r="AL688" s="3"/>
      <c r="AM688" s="3"/>
      <c r="AN688" s="3"/>
      <c r="AO688" s="3"/>
      <c r="AP688" s="3"/>
      <c r="AQ688" s="3"/>
      <c r="AR688" s="3"/>
      <c r="AS688" s="3"/>
      <c r="AT688" s="3"/>
      <c r="AU688" s="3"/>
      <c r="AV688" s="3"/>
      <c r="AW688" s="3"/>
    </row>
    <row r="689" spans="12:49" x14ac:dyDescent="0.35">
      <c r="L689" s="3"/>
      <c r="M689" s="3"/>
      <c r="N689" s="3"/>
      <c r="O689" s="65"/>
      <c r="Q689" s="3"/>
      <c r="R689" s="3"/>
      <c r="S689" s="3"/>
      <c r="T689" s="3"/>
      <c r="V689" s="3"/>
      <c r="W689" s="3"/>
      <c r="X689" s="3"/>
      <c r="Y689" s="3"/>
      <c r="Z689" s="3"/>
      <c r="AA689" s="3"/>
      <c r="AB689" s="3"/>
      <c r="AC689" s="3"/>
      <c r="AD689" s="3"/>
      <c r="AE689" s="3"/>
      <c r="AF689" s="3"/>
      <c r="AG689" s="3"/>
      <c r="AH689" s="3"/>
      <c r="AI689" s="3"/>
      <c r="AJ689" s="3"/>
      <c r="AK689" s="3"/>
      <c r="AL689" s="3"/>
      <c r="AM689" s="3"/>
      <c r="AN689" s="3"/>
      <c r="AO689" s="3"/>
      <c r="AP689" s="3"/>
      <c r="AQ689" s="3"/>
      <c r="AR689" s="3"/>
      <c r="AS689" s="3"/>
      <c r="AT689" s="3"/>
      <c r="AU689" s="3"/>
      <c r="AV689" s="3"/>
      <c r="AW689" s="3"/>
    </row>
    <row r="690" spans="12:49" x14ac:dyDescent="0.35">
      <c r="L690" s="3"/>
      <c r="M690" s="3"/>
      <c r="N690" s="3"/>
      <c r="O690" s="65"/>
      <c r="Q690" s="3"/>
      <c r="R690" s="3"/>
      <c r="S690" s="3"/>
      <c r="T690" s="3"/>
      <c r="V690" s="3"/>
      <c r="W690" s="3"/>
      <c r="X690" s="3"/>
      <c r="Y690" s="3"/>
      <c r="Z690" s="3"/>
      <c r="AA690" s="3"/>
      <c r="AB690" s="3"/>
      <c r="AC690" s="3"/>
      <c r="AD690" s="3"/>
      <c r="AE690" s="3"/>
      <c r="AF690" s="3"/>
      <c r="AG690" s="3"/>
      <c r="AH690" s="3"/>
      <c r="AI690" s="3"/>
      <c r="AJ690" s="3"/>
      <c r="AK690" s="3"/>
      <c r="AL690" s="3"/>
      <c r="AM690" s="3"/>
      <c r="AN690" s="3"/>
      <c r="AO690" s="3"/>
      <c r="AP690" s="3"/>
      <c r="AQ690" s="3"/>
      <c r="AR690" s="3"/>
      <c r="AS690" s="3"/>
      <c r="AT690" s="3"/>
      <c r="AU690" s="3"/>
      <c r="AV690" s="3"/>
      <c r="AW690" s="3"/>
    </row>
    <row r="691" spans="12:49" x14ac:dyDescent="0.35">
      <c r="L691" s="3"/>
      <c r="M691" s="3"/>
      <c r="N691" s="3"/>
      <c r="O691" s="65"/>
      <c r="Q691" s="3"/>
      <c r="R691" s="3"/>
      <c r="S691" s="3"/>
      <c r="T691" s="3"/>
      <c r="V691" s="3"/>
      <c r="W691" s="3"/>
      <c r="X691" s="3"/>
      <c r="Y691" s="3"/>
      <c r="Z691" s="3"/>
      <c r="AA691" s="3"/>
      <c r="AB691" s="3"/>
      <c r="AC691" s="3"/>
      <c r="AD691" s="3"/>
      <c r="AE691" s="3"/>
      <c r="AF691" s="3"/>
      <c r="AG691" s="3"/>
      <c r="AH691" s="3"/>
      <c r="AI691" s="3"/>
      <c r="AJ691" s="3"/>
      <c r="AK691" s="3"/>
      <c r="AL691" s="3"/>
      <c r="AM691" s="3"/>
      <c r="AN691" s="3"/>
      <c r="AO691" s="3"/>
      <c r="AP691" s="3"/>
      <c r="AQ691" s="3"/>
      <c r="AR691" s="3"/>
      <c r="AS691" s="3"/>
      <c r="AT691" s="3"/>
      <c r="AU691" s="3"/>
      <c r="AV691" s="3"/>
      <c r="AW691" s="3"/>
    </row>
    <row r="692" spans="12:49" x14ac:dyDescent="0.35">
      <c r="L692" s="3"/>
      <c r="M692" s="3"/>
      <c r="N692" s="3"/>
      <c r="O692" s="65"/>
      <c r="Q692" s="3"/>
      <c r="R692" s="3"/>
      <c r="S692" s="3"/>
      <c r="T692" s="3"/>
      <c r="V692" s="3"/>
      <c r="W692" s="3"/>
      <c r="X692" s="3"/>
      <c r="Y692" s="3"/>
      <c r="Z692" s="3"/>
      <c r="AA692" s="3"/>
      <c r="AB692" s="3"/>
      <c r="AC692" s="3"/>
      <c r="AD692" s="3"/>
      <c r="AE692" s="3"/>
      <c r="AF692" s="3"/>
      <c r="AG692" s="3"/>
      <c r="AH692" s="3"/>
      <c r="AI692" s="3"/>
      <c r="AJ692" s="3"/>
      <c r="AK692" s="3"/>
      <c r="AL692" s="3"/>
      <c r="AM692" s="3"/>
      <c r="AN692" s="3"/>
      <c r="AO692" s="3"/>
      <c r="AP692" s="3"/>
      <c r="AQ692" s="3"/>
      <c r="AR692" s="3"/>
      <c r="AS692" s="3"/>
      <c r="AT692" s="3"/>
      <c r="AU692" s="3"/>
      <c r="AV692" s="3"/>
      <c r="AW692" s="3"/>
    </row>
    <row r="693" spans="12:49" x14ac:dyDescent="0.35">
      <c r="L693" s="3"/>
      <c r="M693" s="3"/>
      <c r="N693" s="3"/>
      <c r="O693" s="65"/>
      <c r="Q693" s="3"/>
      <c r="R693" s="3"/>
      <c r="S693" s="3"/>
      <c r="T693" s="3"/>
      <c r="V693" s="3"/>
      <c r="W693" s="3"/>
      <c r="X693" s="3"/>
      <c r="Y693" s="3"/>
      <c r="Z693" s="3"/>
      <c r="AA693" s="3"/>
      <c r="AB693" s="3"/>
      <c r="AC693" s="3"/>
      <c r="AD693" s="3"/>
      <c r="AE693" s="3"/>
      <c r="AF693" s="3"/>
      <c r="AG693" s="3"/>
      <c r="AH693" s="3"/>
      <c r="AI693" s="3"/>
      <c r="AJ693" s="3"/>
      <c r="AK693" s="3"/>
      <c r="AL693" s="3"/>
      <c r="AM693" s="3"/>
      <c r="AN693" s="3"/>
      <c r="AO693" s="3"/>
      <c r="AP693" s="3"/>
      <c r="AQ693" s="3"/>
      <c r="AR693" s="3"/>
      <c r="AS693" s="3"/>
      <c r="AT693" s="3"/>
      <c r="AU693" s="3"/>
      <c r="AV693" s="3"/>
      <c r="AW693" s="3"/>
    </row>
    <row r="694" spans="12:49" x14ac:dyDescent="0.35">
      <c r="L694" s="3"/>
      <c r="M694" s="3"/>
      <c r="N694" s="3"/>
      <c r="O694" s="65"/>
      <c r="Q694" s="3"/>
      <c r="R694" s="3"/>
      <c r="S694" s="3"/>
      <c r="T694" s="3"/>
      <c r="V694" s="3"/>
      <c r="W694" s="3"/>
      <c r="X694" s="3"/>
      <c r="Y694" s="3"/>
      <c r="Z694" s="3"/>
      <c r="AA694" s="3"/>
      <c r="AB694" s="3"/>
      <c r="AC694" s="3"/>
      <c r="AD694" s="3"/>
      <c r="AE694" s="3"/>
      <c r="AF694" s="3"/>
      <c r="AG694" s="3"/>
      <c r="AH694" s="3"/>
      <c r="AI694" s="3"/>
      <c r="AJ694" s="3"/>
      <c r="AK694" s="3"/>
      <c r="AL694" s="3"/>
      <c r="AM694" s="3"/>
      <c r="AN694" s="3"/>
      <c r="AO694" s="3"/>
      <c r="AP694" s="3"/>
      <c r="AQ694" s="3"/>
      <c r="AR694" s="3"/>
      <c r="AS694" s="3"/>
      <c r="AT694" s="3"/>
      <c r="AU694" s="3"/>
      <c r="AV694" s="3"/>
      <c r="AW694" s="3"/>
    </row>
    <row r="695" spans="12:49" x14ac:dyDescent="0.35">
      <c r="L695" s="3"/>
      <c r="M695" s="3"/>
      <c r="N695" s="3"/>
      <c r="O695" s="65"/>
      <c r="Q695" s="3"/>
      <c r="R695" s="3"/>
      <c r="S695" s="3"/>
      <c r="T695" s="3"/>
      <c r="V695" s="3"/>
      <c r="W695" s="3"/>
      <c r="X695" s="3"/>
      <c r="Y695" s="3"/>
      <c r="Z695" s="3"/>
      <c r="AA695" s="3"/>
      <c r="AB695" s="3"/>
      <c r="AC695" s="3"/>
      <c r="AD695" s="3"/>
      <c r="AE695" s="3"/>
      <c r="AF695" s="3"/>
      <c r="AG695" s="3"/>
      <c r="AH695" s="3"/>
      <c r="AI695" s="3"/>
      <c r="AJ695" s="3"/>
      <c r="AK695" s="3"/>
      <c r="AL695" s="3"/>
      <c r="AM695" s="3"/>
      <c r="AN695" s="3"/>
      <c r="AO695" s="3"/>
      <c r="AP695" s="3"/>
      <c r="AQ695" s="3"/>
      <c r="AR695" s="3"/>
      <c r="AS695" s="3"/>
      <c r="AT695" s="3"/>
      <c r="AU695" s="3"/>
      <c r="AV695" s="3"/>
      <c r="AW695" s="3"/>
    </row>
    <row r="696" spans="12:49" x14ac:dyDescent="0.35">
      <c r="L696" s="3"/>
      <c r="M696" s="3"/>
      <c r="N696" s="3"/>
      <c r="O696" s="65"/>
      <c r="Q696" s="3"/>
      <c r="R696" s="3"/>
      <c r="S696" s="3"/>
      <c r="T696" s="3"/>
      <c r="V696" s="3"/>
      <c r="W696" s="3"/>
      <c r="X696" s="3"/>
      <c r="Y696" s="3"/>
      <c r="Z696" s="3"/>
      <c r="AA696" s="3"/>
      <c r="AB696" s="3"/>
      <c r="AC696" s="3"/>
      <c r="AD696" s="3"/>
      <c r="AE696" s="3"/>
      <c r="AF696" s="3"/>
      <c r="AG696" s="3"/>
      <c r="AH696" s="3"/>
      <c r="AI696" s="3"/>
      <c r="AJ696" s="3"/>
      <c r="AK696" s="3"/>
      <c r="AL696" s="3"/>
      <c r="AM696" s="3"/>
      <c r="AN696" s="3"/>
      <c r="AO696" s="3"/>
      <c r="AP696" s="3"/>
      <c r="AQ696" s="3"/>
      <c r="AR696" s="3"/>
      <c r="AS696" s="3"/>
      <c r="AT696" s="3"/>
      <c r="AU696" s="3"/>
      <c r="AV696" s="3"/>
      <c r="AW696" s="3"/>
    </row>
    <row r="697" spans="12:49" x14ac:dyDescent="0.35">
      <c r="L697" s="3"/>
      <c r="M697" s="3"/>
      <c r="N697" s="3"/>
      <c r="O697" s="65"/>
      <c r="Q697" s="3"/>
      <c r="R697" s="3"/>
      <c r="S697" s="3"/>
      <c r="T697" s="3"/>
      <c r="V697" s="3"/>
      <c r="W697" s="3"/>
      <c r="X697" s="3"/>
      <c r="Y697" s="3"/>
      <c r="Z697" s="3"/>
      <c r="AA697" s="3"/>
      <c r="AB697" s="3"/>
      <c r="AC697" s="3"/>
      <c r="AD697" s="3"/>
      <c r="AE697" s="3"/>
      <c r="AF697" s="3"/>
      <c r="AG697" s="3"/>
      <c r="AH697" s="3"/>
      <c r="AI697" s="3"/>
      <c r="AJ697" s="3"/>
      <c r="AK697" s="3"/>
      <c r="AL697" s="3"/>
      <c r="AM697" s="3"/>
      <c r="AN697" s="3"/>
      <c r="AO697" s="3"/>
      <c r="AP697" s="3"/>
      <c r="AQ697" s="3"/>
      <c r="AR697" s="3"/>
      <c r="AS697" s="3"/>
      <c r="AT697" s="3"/>
      <c r="AU697" s="3"/>
      <c r="AV697" s="3"/>
      <c r="AW697" s="3"/>
    </row>
    <row r="698" spans="12:49" x14ac:dyDescent="0.35">
      <c r="L698" s="3"/>
      <c r="M698" s="3"/>
      <c r="N698" s="3"/>
      <c r="O698" s="65"/>
      <c r="Q698" s="3"/>
      <c r="R698" s="3"/>
      <c r="S698" s="3"/>
      <c r="T698" s="3"/>
      <c r="V698" s="3"/>
      <c r="W698" s="3"/>
      <c r="X698" s="3"/>
      <c r="Y698" s="3"/>
      <c r="Z698" s="3"/>
      <c r="AA698" s="3"/>
      <c r="AB698" s="3"/>
      <c r="AC698" s="3"/>
      <c r="AD698" s="3"/>
      <c r="AE698" s="3"/>
      <c r="AF698" s="3"/>
      <c r="AG698" s="3"/>
      <c r="AH698" s="3"/>
      <c r="AI698" s="3"/>
      <c r="AJ698" s="3"/>
      <c r="AK698" s="3"/>
      <c r="AL698" s="3"/>
      <c r="AM698" s="3"/>
      <c r="AN698" s="3"/>
      <c r="AO698" s="3"/>
      <c r="AP698" s="3"/>
      <c r="AQ698" s="3"/>
      <c r="AR698" s="3"/>
      <c r="AS698" s="3"/>
      <c r="AT698" s="3"/>
      <c r="AU698" s="3"/>
      <c r="AV698" s="3"/>
      <c r="AW698" s="3"/>
    </row>
    <row r="699" spans="12:49" x14ac:dyDescent="0.35">
      <c r="L699" s="3"/>
      <c r="M699" s="3"/>
      <c r="N699" s="3"/>
      <c r="O699" s="65"/>
      <c r="Q699" s="3"/>
      <c r="R699" s="3"/>
      <c r="S699" s="3"/>
      <c r="T699" s="3"/>
      <c r="V699" s="3"/>
      <c r="W699" s="3"/>
      <c r="X699" s="3"/>
      <c r="Y699" s="3"/>
      <c r="Z699" s="3"/>
      <c r="AA699" s="3"/>
      <c r="AB699" s="3"/>
      <c r="AC699" s="3"/>
      <c r="AD699" s="3"/>
      <c r="AE699" s="3"/>
      <c r="AF699" s="3"/>
      <c r="AG699" s="3"/>
      <c r="AH699" s="3"/>
      <c r="AI699" s="3"/>
      <c r="AJ699" s="3"/>
      <c r="AK699" s="3"/>
      <c r="AL699" s="3"/>
      <c r="AM699" s="3"/>
      <c r="AN699" s="3"/>
      <c r="AO699" s="3"/>
      <c r="AP699" s="3"/>
      <c r="AQ699" s="3"/>
      <c r="AR699" s="3"/>
      <c r="AS699" s="3"/>
      <c r="AT699" s="3"/>
      <c r="AU699" s="3"/>
      <c r="AV699" s="3"/>
      <c r="AW699" s="3"/>
    </row>
    <row r="700" spans="12:49" x14ac:dyDescent="0.35">
      <c r="L700" s="3"/>
      <c r="M700" s="3"/>
      <c r="N700" s="3"/>
      <c r="O700" s="65"/>
      <c r="Q700" s="3"/>
      <c r="R700" s="3"/>
      <c r="S700" s="3"/>
      <c r="T700" s="3"/>
      <c r="V700" s="3"/>
      <c r="W700" s="3"/>
      <c r="X700" s="3"/>
      <c r="Y700" s="3"/>
      <c r="Z700" s="3"/>
      <c r="AA700" s="3"/>
      <c r="AB700" s="3"/>
      <c r="AC700" s="3"/>
      <c r="AD700" s="3"/>
      <c r="AE700" s="3"/>
      <c r="AF700" s="3"/>
      <c r="AG700" s="3"/>
      <c r="AH700" s="3"/>
      <c r="AI700" s="3"/>
      <c r="AJ700" s="3"/>
      <c r="AK700" s="3"/>
      <c r="AL700" s="3"/>
      <c r="AM700" s="3"/>
      <c r="AN700" s="3"/>
      <c r="AO700" s="3"/>
      <c r="AP700" s="3"/>
      <c r="AQ700" s="3"/>
      <c r="AR700" s="3"/>
      <c r="AS700" s="3"/>
      <c r="AT700" s="3"/>
      <c r="AU700" s="3"/>
      <c r="AV700" s="3"/>
      <c r="AW700" s="3"/>
    </row>
    <row r="701" spans="12:49" x14ac:dyDescent="0.35">
      <c r="L701" s="3"/>
      <c r="M701" s="3"/>
      <c r="N701" s="3"/>
      <c r="O701" s="65"/>
      <c r="Q701" s="3"/>
      <c r="R701" s="3"/>
      <c r="S701" s="3"/>
      <c r="T701" s="3"/>
      <c r="V701" s="3"/>
      <c r="W701" s="3"/>
      <c r="X701" s="3"/>
      <c r="Y701" s="3"/>
      <c r="Z701" s="3"/>
      <c r="AA701" s="3"/>
      <c r="AB701" s="3"/>
      <c r="AC701" s="3"/>
      <c r="AD701" s="3"/>
      <c r="AE701" s="3"/>
      <c r="AF701" s="3"/>
      <c r="AG701" s="3"/>
      <c r="AH701" s="3"/>
      <c r="AI701" s="3"/>
      <c r="AJ701" s="3"/>
      <c r="AK701" s="3"/>
      <c r="AL701" s="3"/>
      <c r="AM701" s="3"/>
      <c r="AN701" s="3"/>
      <c r="AO701" s="3"/>
      <c r="AP701" s="3"/>
      <c r="AQ701" s="3"/>
      <c r="AR701" s="3"/>
      <c r="AS701" s="3"/>
      <c r="AT701" s="3"/>
      <c r="AU701" s="3"/>
      <c r="AV701" s="3"/>
      <c r="AW701" s="3"/>
    </row>
    <row r="702" spans="12:49" x14ac:dyDescent="0.35">
      <c r="L702" s="3"/>
      <c r="M702" s="3"/>
      <c r="N702" s="3"/>
      <c r="O702" s="65"/>
      <c r="Q702" s="3"/>
      <c r="R702" s="3"/>
      <c r="S702" s="3"/>
      <c r="T702" s="3"/>
      <c r="V702" s="3"/>
      <c r="W702" s="3"/>
      <c r="X702" s="3"/>
      <c r="Y702" s="3"/>
      <c r="Z702" s="3"/>
      <c r="AA702" s="3"/>
      <c r="AB702" s="3"/>
      <c r="AC702" s="3"/>
      <c r="AD702" s="3"/>
      <c r="AE702" s="3"/>
      <c r="AF702" s="3"/>
      <c r="AG702" s="3"/>
      <c r="AH702" s="3"/>
      <c r="AI702" s="3"/>
      <c r="AJ702" s="3"/>
      <c r="AK702" s="3"/>
      <c r="AL702" s="3"/>
      <c r="AM702" s="3"/>
      <c r="AN702" s="3"/>
      <c r="AO702" s="3"/>
      <c r="AP702" s="3"/>
      <c r="AQ702" s="3"/>
      <c r="AR702" s="3"/>
      <c r="AS702" s="3"/>
      <c r="AT702" s="3"/>
      <c r="AU702" s="3"/>
      <c r="AV702" s="3"/>
      <c r="AW702" s="3"/>
    </row>
    <row r="703" spans="12:49" x14ac:dyDescent="0.35">
      <c r="L703" s="3"/>
      <c r="M703" s="3"/>
      <c r="N703" s="3"/>
      <c r="O703" s="65"/>
      <c r="Q703" s="3"/>
      <c r="R703" s="3"/>
      <c r="S703" s="3"/>
      <c r="T703" s="3"/>
      <c r="V703" s="3"/>
      <c r="W703" s="3"/>
      <c r="X703" s="3"/>
      <c r="Y703" s="3"/>
      <c r="Z703" s="3"/>
      <c r="AA703" s="3"/>
      <c r="AB703" s="3"/>
      <c r="AC703" s="3"/>
      <c r="AD703" s="3"/>
      <c r="AE703" s="3"/>
      <c r="AF703" s="3"/>
      <c r="AG703" s="3"/>
      <c r="AH703" s="3"/>
      <c r="AI703" s="3"/>
      <c r="AJ703" s="3"/>
      <c r="AK703" s="3"/>
      <c r="AL703" s="3"/>
      <c r="AM703" s="3"/>
      <c r="AN703" s="3"/>
      <c r="AO703" s="3"/>
      <c r="AP703" s="3"/>
      <c r="AQ703" s="3"/>
      <c r="AR703" s="3"/>
      <c r="AS703" s="3"/>
      <c r="AT703" s="3"/>
      <c r="AU703" s="3"/>
      <c r="AV703" s="3"/>
      <c r="AW703" s="3"/>
    </row>
    <row r="704" spans="12:49" x14ac:dyDescent="0.35">
      <c r="L704" s="3"/>
      <c r="M704" s="3"/>
      <c r="N704" s="3"/>
      <c r="O704" s="65"/>
      <c r="Q704" s="3"/>
      <c r="R704" s="3"/>
      <c r="S704" s="3"/>
      <c r="T704" s="3"/>
      <c r="V704" s="3"/>
      <c r="W704" s="3"/>
      <c r="X704" s="3"/>
      <c r="Y704" s="3"/>
      <c r="Z704" s="3"/>
      <c r="AA704" s="3"/>
      <c r="AB704" s="3"/>
      <c r="AC704" s="3"/>
      <c r="AD704" s="3"/>
      <c r="AE704" s="3"/>
      <c r="AF704" s="3"/>
      <c r="AG704" s="3"/>
      <c r="AH704" s="3"/>
      <c r="AI704" s="3"/>
      <c r="AJ704" s="3"/>
      <c r="AK704" s="3"/>
      <c r="AL704" s="3"/>
      <c r="AM704" s="3"/>
      <c r="AN704" s="3"/>
      <c r="AO704" s="3"/>
      <c r="AP704" s="3"/>
      <c r="AQ704" s="3"/>
      <c r="AR704" s="3"/>
      <c r="AS704" s="3"/>
      <c r="AT704" s="3"/>
      <c r="AU704" s="3"/>
      <c r="AV704" s="3"/>
      <c r="AW704" s="3"/>
    </row>
    <row r="705" spans="12:49" x14ac:dyDescent="0.35">
      <c r="L705" s="3"/>
      <c r="M705" s="3"/>
      <c r="N705" s="3"/>
      <c r="O705" s="65"/>
      <c r="Q705" s="3"/>
      <c r="R705" s="3"/>
      <c r="S705" s="3"/>
      <c r="T705" s="3"/>
      <c r="V705" s="3"/>
      <c r="W705" s="3"/>
      <c r="X705" s="3"/>
      <c r="Y705" s="3"/>
      <c r="Z705" s="3"/>
      <c r="AA705" s="3"/>
      <c r="AB705" s="3"/>
      <c r="AC705" s="3"/>
      <c r="AD705" s="3"/>
      <c r="AE705" s="3"/>
      <c r="AF705" s="3"/>
      <c r="AG705" s="3"/>
      <c r="AH705" s="3"/>
      <c r="AI705" s="3"/>
      <c r="AJ705" s="3"/>
      <c r="AK705" s="3"/>
      <c r="AL705" s="3"/>
      <c r="AM705" s="3"/>
      <c r="AN705" s="3"/>
      <c r="AO705" s="3"/>
      <c r="AP705" s="3"/>
      <c r="AQ705" s="3"/>
      <c r="AR705" s="3"/>
      <c r="AS705" s="3"/>
      <c r="AT705" s="3"/>
      <c r="AU705" s="3"/>
      <c r="AV705" s="3"/>
      <c r="AW705" s="3"/>
    </row>
    <row r="706" spans="12:49" x14ac:dyDescent="0.35">
      <c r="L706" s="3"/>
      <c r="M706" s="3"/>
      <c r="N706" s="3"/>
      <c r="O706" s="65"/>
      <c r="Q706" s="3"/>
      <c r="R706" s="3"/>
      <c r="S706" s="3"/>
      <c r="T706" s="3"/>
      <c r="V706" s="3"/>
      <c r="W706" s="3"/>
      <c r="X706" s="3"/>
      <c r="Y706" s="3"/>
      <c r="Z706" s="3"/>
      <c r="AA706" s="3"/>
      <c r="AB706" s="3"/>
      <c r="AC706" s="3"/>
      <c r="AD706" s="3"/>
      <c r="AE706" s="3"/>
      <c r="AF706" s="3"/>
      <c r="AG706" s="3"/>
      <c r="AH706" s="3"/>
      <c r="AI706" s="3"/>
      <c r="AJ706" s="3"/>
      <c r="AK706" s="3"/>
      <c r="AL706" s="3"/>
      <c r="AM706" s="3"/>
      <c r="AN706" s="3"/>
      <c r="AO706" s="3"/>
      <c r="AP706" s="3"/>
      <c r="AQ706" s="3"/>
      <c r="AR706" s="3"/>
      <c r="AS706" s="3"/>
      <c r="AT706" s="3"/>
      <c r="AU706" s="3"/>
      <c r="AV706" s="3"/>
      <c r="AW706" s="3"/>
    </row>
    <row r="707" spans="12:49" x14ac:dyDescent="0.35">
      <c r="L707" s="3"/>
      <c r="M707" s="3"/>
      <c r="N707" s="3"/>
      <c r="O707" s="65"/>
      <c r="Q707" s="3"/>
      <c r="R707" s="3"/>
      <c r="S707" s="3"/>
      <c r="T707" s="3"/>
      <c r="V707" s="3"/>
      <c r="W707" s="3"/>
      <c r="X707" s="3"/>
      <c r="Y707" s="3"/>
      <c r="Z707" s="3"/>
      <c r="AA707" s="3"/>
      <c r="AB707" s="3"/>
      <c r="AC707" s="3"/>
      <c r="AD707" s="3"/>
      <c r="AE707" s="3"/>
      <c r="AF707" s="3"/>
      <c r="AG707" s="3"/>
      <c r="AH707" s="3"/>
      <c r="AI707" s="3"/>
      <c r="AJ707" s="3"/>
      <c r="AK707" s="3"/>
      <c r="AL707" s="3"/>
      <c r="AM707" s="3"/>
      <c r="AN707" s="3"/>
      <c r="AO707" s="3"/>
      <c r="AP707" s="3"/>
      <c r="AQ707" s="3"/>
      <c r="AR707" s="3"/>
      <c r="AS707" s="3"/>
      <c r="AT707" s="3"/>
      <c r="AU707" s="3"/>
      <c r="AV707" s="3"/>
      <c r="AW707" s="3"/>
    </row>
    <row r="708" spans="12:49" x14ac:dyDescent="0.35">
      <c r="L708" s="3"/>
      <c r="M708" s="3"/>
      <c r="N708" s="3"/>
      <c r="O708" s="65"/>
      <c r="Q708" s="3"/>
      <c r="R708" s="3"/>
      <c r="S708" s="3"/>
      <c r="T708" s="3"/>
      <c r="V708" s="3"/>
      <c r="W708" s="3"/>
      <c r="X708" s="3"/>
      <c r="Y708" s="3"/>
      <c r="Z708" s="3"/>
      <c r="AA708" s="3"/>
      <c r="AB708" s="3"/>
      <c r="AC708" s="3"/>
      <c r="AD708" s="3"/>
      <c r="AE708" s="3"/>
      <c r="AF708" s="3"/>
      <c r="AG708" s="3"/>
      <c r="AH708" s="3"/>
      <c r="AI708" s="3"/>
      <c r="AJ708" s="3"/>
      <c r="AK708" s="3"/>
      <c r="AL708" s="3"/>
      <c r="AM708" s="3"/>
      <c r="AN708" s="3"/>
      <c r="AO708" s="3"/>
      <c r="AP708" s="3"/>
      <c r="AQ708" s="3"/>
      <c r="AR708" s="3"/>
      <c r="AS708" s="3"/>
      <c r="AT708" s="3"/>
      <c r="AU708" s="3"/>
      <c r="AV708" s="3"/>
      <c r="AW708" s="3"/>
    </row>
    <row r="709" spans="12:49" x14ac:dyDescent="0.35">
      <c r="L709" s="3"/>
      <c r="M709" s="3"/>
      <c r="N709" s="3"/>
      <c r="O709" s="65"/>
      <c r="Q709" s="3"/>
      <c r="R709" s="3"/>
      <c r="S709" s="3"/>
      <c r="T709" s="3"/>
      <c r="V709" s="3"/>
      <c r="W709" s="3"/>
      <c r="X709" s="3"/>
      <c r="Y709" s="3"/>
      <c r="Z709" s="3"/>
      <c r="AA709" s="3"/>
      <c r="AB709" s="3"/>
      <c r="AC709" s="3"/>
      <c r="AD709" s="3"/>
      <c r="AE709" s="3"/>
      <c r="AF709" s="3"/>
      <c r="AG709" s="3"/>
      <c r="AH709" s="3"/>
      <c r="AI709" s="3"/>
      <c r="AJ709" s="3"/>
      <c r="AK709" s="3"/>
      <c r="AL709" s="3"/>
      <c r="AM709" s="3"/>
      <c r="AN709" s="3"/>
      <c r="AO709" s="3"/>
      <c r="AP709" s="3"/>
      <c r="AQ709" s="3"/>
      <c r="AR709" s="3"/>
      <c r="AS709" s="3"/>
      <c r="AT709" s="3"/>
      <c r="AU709" s="3"/>
      <c r="AV709" s="3"/>
      <c r="AW709" s="3"/>
    </row>
    <row r="710" spans="12:49" x14ac:dyDescent="0.35">
      <c r="L710" s="3"/>
      <c r="M710" s="3"/>
      <c r="N710" s="3"/>
      <c r="O710" s="65"/>
      <c r="Q710" s="3"/>
      <c r="R710" s="3"/>
      <c r="S710" s="3"/>
      <c r="T710" s="3"/>
      <c r="V710" s="3"/>
      <c r="W710" s="3"/>
      <c r="X710" s="3"/>
      <c r="Y710" s="3"/>
      <c r="Z710" s="3"/>
      <c r="AA710" s="3"/>
      <c r="AB710" s="3"/>
      <c r="AC710" s="3"/>
      <c r="AD710" s="3"/>
      <c r="AE710" s="3"/>
      <c r="AF710" s="3"/>
      <c r="AG710" s="3"/>
      <c r="AH710" s="3"/>
      <c r="AI710" s="3"/>
      <c r="AJ710" s="3"/>
      <c r="AK710" s="3"/>
      <c r="AL710" s="3"/>
      <c r="AM710" s="3"/>
      <c r="AN710" s="3"/>
      <c r="AO710" s="3"/>
      <c r="AP710" s="3"/>
      <c r="AQ710" s="3"/>
      <c r="AR710" s="3"/>
      <c r="AS710" s="3"/>
      <c r="AT710" s="3"/>
      <c r="AU710" s="3"/>
      <c r="AV710" s="3"/>
      <c r="AW710" s="3"/>
    </row>
    <row r="711" spans="12:49" x14ac:dyDescent="0.35">
      <c r="L711" s="3"/>
      <c r="M711" s="3"/>
      <c r="N711" s="3"/>
      <c r="O711" s="65"/>
      <c r="Q711" s="3"/>
      <c r="R711" s="3"/>
      <c r="S711" s="3"/>
      <c r="T711" s="3"/>
      <c r="V711" s="3"/>
      <c r="W711" s="3"/>
      <c r="X711" s="3"/>
      <c r="Y711" s="3"/>
      <c r="Z711" s="3"/>
      <c r="AA711" s="3"/>
      <c r="AB711" s="3"/>
      <c r="AC711" s="3"/>
      <c r="AD711" s="3"/>
      <c r="AE711" s="3"/>
      <c r="AF711" s="3"/>
      <c r="AG711" s="3"/>
      <c r="AH711" s="3"/>
      <c r="AI711" s="3"/>
      <c r="AJ711" s="3"/>
      <c r="AK711" s="3"/>
      <c r="AL711" s="3"/>
      <c r="AM711" s="3"/>
      <c r="AN711" s="3"/>
      <c r="AO711" s="3"/>
      <c r="AP711" s="3"/>
      <c r="AQ711" s="3"/>
      <c r="AR711" s="3"/>
      <c r="AS711" s="3"/>
      <c r="AT711" s="3"/>
      <c r="AU711" s="3"/>
      <c r="AV711" s="3"/>
      <c r="AW711" s="3"/>
    </row>
    <row r="712" spans="12:49" x14ac:dyDescent="0.35">
      <c r="L712" s="3"/>
      <c r="M712" s="3"/>
      <c r="N712" s="3"/>
      <c r="O712" s="65"/>
      <c r="Q712" s="3"/>
      <c r="R712" s="3"/>
      <c r="S712" s="3"/>
      <c r="T712" s="3"/>
      <c r="V712" s="3"/>
      <c r="W712" s="3"/>
      <c r="X712" s="3"/>
      <c r="Y712" s="3"/>
      <c r="Z712" s="3"/>
      <c r="AA712" s="3"/>
      <c r="AB712" s="3"/>
      <c r="AC712" s="3"/>
      <c r="AD712" s="3"/>
      <c r="AE712" s="3"/>
      <c r="AF712" s="3"/>
      <c r="AG712" s="3"/>
      <c r="AH712" s="3"/>
      <c r="AI712" s="3"/>
      <c r="AJ712" s="3"/>
      <c r="AK712" s="3"/>
      <c r="AL712" s="3"/>
      <c r="AM712" s="3"/>
      <c r="AN712" s="3"/>
      <c r="AO712" s="3"/>
      <c r="AP712" s="3"/>
      <c r="AQ712" s="3"/>
      <c r="AR712" s="3"/>
      <c r="AS712" s="3"/>
      <c r="AT712" s="3"/>
      <c r="AU712" s="3"/>
      <c r="AV712" s="3"/>
      <c r="AW712" s="3"/>
    </row>
    <row r="713" spans="12:49" x14ac:dyDescent="0.35">
      <c r="L713" s="3"/>
      <c r="M713" s="3"/>
      <c r="N713" s="3"/>
      <c r="O713" s="65"/>
      <c r="Q713" s="3"/>
      <c r="R713" s="3"/>
      <c r="S713" s="3"/>
      <c r="T713" s="3"/>
      <c r="V713" s="3"/>
      <c r="W713" s="3"/>
      <c r="X713" s="3"/>
      <c r="Y713" s="3"/>
      <c r="Z713" s="3"/>
      <c r="AA713" s="3"/>
      <c r="AB713" s="3"/>
      <c r="AC713" s="3"/>
      <c r="AD713" s="3"/>
      <c r="AE713" s="3"/>
      <c r="AF713" s="3"/>
      <c r="AG713" s="3"/>
      <c r="AH713" s="3"/>
      <c r="AI713" s="3"/>
      <c r="AJ713" s="3"/>
      <c r="AK713" s="3"/>
      <c r="AL713" s="3"/>
      <c r="AM713" s="3"/>
      <c r="AN713" s="3"/>
      <c r="AO713" s="3"/>
      <c r="AP713" s="3"/>
      <c r="AQ713" s="3"/>
      <c r="AR713" s="3"/>
      <c r="AS713" s="3"/>
      <c r="AT713" s="3"/>
      <c r="AU713" s="3"/>
      <c r="AV713" s="3"/>
      <c r="AW713" s="3"/>
    </row>
    <row r="714" spans="12:49" x14ac:dyDescent="0.35">
      <c r="L714" s="3"/>
      <c r="M714" s="3"/>
      <c r="N714" s="3"/>
      <c r="O714" s="65"/>
      <c r="Q714" s="3"/>
      <c r="R714" s="3"/>
      <c r="S714" s="3"/>
      <c r="T714" s="3"/>
      <c r="V714" s="3"/>
      <c r="W714" s="3"/>
      <c r="X714" s="3"/>
      <c r="Y714" s="3"/>
      <c r="Z714" s="3"/>
      <c r="AA714" s="3"/>
      <c r="AB714" s="3"/>
      <c r="AC714" s="3"/>
      <c r="AD714" s="3"/>
      <c r="AE714" s="3"/>
      <c r="AF714" s="3"/>
      <c r="AG714" s="3"/>
      <c r="AH714" s="3"/>
      <c r="AI714" s="3"/>
      <c r="AJ714" s="3"/>
      <c r="AK714" s="3"/>
      <c r="AL714" s="3"/>
      <c r="AM714" s="3"/>
      <c r="AN714" s="3"/>
      <c r="AO714" s="3"/>
      <c r="AP714" s="3"/>
      <c r="AQ714" s="3"/>
      <c r="AR714" s="3"/>
      <c r="AS714" s="3"/>
      <c r="AT714" s="3"/>
      <c r="AU714" s="3"/>
      <c r="AV714" s="3"/>
      <c r="AW714" s="3"/>
    </row>
    <row r="715" spans="12:49" x14ac:dyDescent="0.35">
      <c r="L715" s="3"/>
      <c r="M715" s="3"/>
      <c r="N715" s="3"/>
      <c r="O715" s="65"/>
      <c r="Q715" s="3"/>
      <c r="R715" s="3"/>
      <c r="S715" s="3"/>
      <c r="T715" s="3"/>
      <c r="V715" s="3"/>
      <c r="W715" s="3"/>
      <c r="X715" s="3"/>
      <c r="Y715" s="3"/>
      <c r="Z715" s="3"/>
      <c r="AA715" s="3"/>
      <c r="AB715" s="3"/>
      <c r="AC715" s="3"/>
      <c r="AD715" s="3"/>
      <c r="AE715" s="3"/>
      <c r="AF715" s="3"/>
      <c r="AG715" s="3"/>
      <c r="AH715" s="3"/>
      <c r="AI715" s="3"/>
      <c r="AJ715" s="3"/>
      <c r="AK715" s="3"/>
      <c r="AL715" s="3"/>
      <c r="AM715" s="3"/>
      <c r="AN715" s="3"/>
      <c r="AO715" s="3"/>
      <c r="AP715" s="3"/>
      <c r="AQ715" s="3"/>
      <c r="AR715" s="3"/>
      <c r="AS715" s="3"/>
      <c r="AT715" s="3"/>
      <c r="AU715" s="3"/>
      <c r="AV715" s="3"/>
      <c r="AW715" s="3"/>
    </row>
    <row r="716" spans="12:49" x14ac:dyDescent="0.35">
      <c r="L716" s="3"/>
      <c r="M716" s="3"/>
      <c r="N716" s="3"/>
      <c r="O716" s="65"/>
      <c r="Q716" s="3"/>
      <c r="R716" s="3"/>
      <c r="S716" s="3"/>
      <c r="T716" s="3"/>
      <c r="V716" s="3"/>
      <c r="W716" s="3"/>
      <c r="X716" s="3"/>
      <c r="Y716" s="3"/>
      <c r="Z716" s="3"/>
      <c r="AA716" s="3"/>
      <c r="AB716" s="3"/>
      <c r="AC716" s="3"/>
      <c r="AD716" s="3"/>
      <c r="AE716" s="3"/>
      <c r="AF716" s="3"/>
      <c r="AG716" s="3"/>
      <c r="AH716" s="3"/>
      <c r="AI716" s="3"/>
      <c r="AJ716" s="3"/>
      <c r="AK716" s="3"/>
      <c r="AL716" s="3"/>
      <c r="AM716" s="3"/>
      <c r="AN716" s="3"/>
      <c r="AO716" s="3"/>
      <c r="AP716" s="3"/>
      <c r="AQ716" s="3"/>
      <c r="AR716" s="3"/>
      <c r="AS716" s="3"/>
      <c r="AT716" s="3"/>
      <c r="AU716" s="3"/>
      <c r="AV716" s="3"/>
      <c r="AW716" s="3"/>
    </row>
    <row r="717" spans="12:49" x14ac:dyDescent="0.35">
      <c r="L717" s="3"/>
      <c r="M717" s="3"/>
      <c r="N717" s="3"/>
      <c r="O717" s="65"/>
      <c r="Q717" s="3"/>
      <c r="R717" s="3"/>
      <c r="S717" s="3"/>
      <c r="T717" s="3"/>
      <c r="V717" s="3"/>
      <c r="W717" s="3"/>
      <c r="X717" s="3"/>
      <c r="Y717" s="3"/>
      <c r="Z717" s="3"/>
      <c r="AA717" s="3"/>
      <c r="AB717" s="3"/>
      <c r="AC717" s="3"/>
      <c r="AD717" s="3"/>
      <c r="AE717" s="3"/>
      <c r="AF717" s="3"/>
      <c r="AG717" s="3"/>
      <c r="AH717" s="3"/>
      <c r="AI717" s="3"/>
      <c r="AJ717" s="3"/>
      <c r="AK717" s="3"/>
      <c r="AL717" s="3"/>
      <c r="AM717" s="3"/>
      <c r="AN717" s="3"/>
      <c r="AO717" s="3"/>
      <c r="AP717" s="3"/>
      <c r="AQ717" s="3"/>
      <c r="AR717" s="3"/>
      <c r="AS717" s="3"/>
      <c r="AT717" s="3"/>
      <c r="AU717" s="3"/>
      <c r="AV717" s="3"/>
      <c r="AW717" s="3"/>
    </row>
    <row r="718" spans="12:49" x14ac:dyDescent="0.35">
      <c r="L718" s="3"/>
      <c r="M718" s="3"/>
      <c r="N718" s="3"/>
      <c r="O718" s="65"/>
      <c r="Q718" s="3"/>
      <c r="R718" s="3"/>
      <c r="S718" s="3"/>
      <c r="T718" s="3"/>
      <c r="V718" s="3"/>
      <c r="W718" s="3"/>
      <c r="X718" s="3"/>
      <c r="Y718" s="3"/>
      <c r="Z718" s="3"/>
      <c r="AA718" s="3"/>
      <c r="AB718" s="3"/>
      <c r="AC718" s="3"/>
      <c r="AD718" s="3"/>
      <c r="AE718" s="3"/>
      <c r="AF718" s="3"/>
      <c r="AG718" s="3"/>
      <c r="AH718" s="3"/>
      <c r="AI718" s="3"/>
      <c r="AJ718" s="3"/>
      <c r="AK718" s="3"/>
      <c r="AL718" s="3"/>
      <c r="AM718" s="3"/>
      <c r="AN718" s="3"/>
      <c r="AO718" s="3"/>
      <c r="AP718" s="3"/>
      <c r="AQ718" s="3"/>
      <c r="AR718" s="3"/>
      <c r="AS718" s="3"/>
      <c r="AT718" s="3"/>
      <c r="AU718" s="3"/>
      <c r="AV718" s="3"/>
      <c r="AW718" s="3"/>
    </row>
    <row r="719" spans="12:49" x14ac:dyDescent="0.35">
      <c r="L719" s="3"/>
      <c r="M719" s="3"/>
      <c r="N719" s="3"/>
      <c r="O719" s="65"/>
      <c r="Q719" s="3"/>
      <c r="R719" s="3"/>
      <c r="S719" s="3"/>
      <c r="T719" s="3"/>
      <c r="V719" s="3"/>
      <c r="W719" s="3"/>
      <c r="X719" s="3"/>
      <c r="Y719" s="3"/>
      <c r="Z719" s="3"/>
      <c r="AA719" s="3"/>
      <c r="AB719" s="3"/>
      <c r="AC719" s="3"/>
      <c r="AD719" s="3"/>
      <c r="AE719" s="3"/>
      <c r="AF719" s="3"/>
      <c r="AG719" s="3"/>
      <c r="AH719" s="3"/>
      <c r="AI719" s="3"/>
      <c r="AJ719" s="3"/>
      <c r="AK719" s="3"/>
      <c r="AL719" s="3"/>
      <c r="AM719" s="3"/>
      <c r="AN719" s="3"/>
      <c r="AO719" s="3"/>
      <c r="AP719" s="3"/>
      <c r="AQ719" s="3"/>
      <c r="AR719" s="3"/>
      <c r="AS719" s="3"/>
      <c r="AT719" s="3"/>
      <c r="AU719" s="3"/>
      <c r="AV719" s="3"/>
      <c r="AW719" s="3"/>
    </row>
    <row r="720" spans="12:49" x14ac:dyDescent="0.35">
      <c r="L720" s="3"/>
      <c r="M720" s="3"/>
      <c r="N720" s="3"/>
      <c r="O720" s="65"/>
      <c r="Q720" s="3"/>
      <c r="R720" s="3"/>
      <c r="S720" s="3"/>
      <c r="T720" s="3"/>
      <c r="V720" s="3"/>
      <c r="W720" s="3"/>
      <c r="X720" s="3"/>
      <c r="Y720" s="3"/>
      <c r="Z720" s="3"/>
      <c r="AA720" s="3"/>
      <c r="AB720" s="3"/>
      <c r="AC720" s="3"/>
      <c r="AD720" s="3"/>
      <c r="AE720" s="3"/>
      <c r="AF720" s="3"/>
      <c r="AG720" s="3"/>
      <c r="AH720" s="3"/>
      <c r="AI720" s="3"/>
      <c r="AJ720" s="3"/>
      <c r="AK720" s="3"/>
      <c r="AL720" s="3"/>
      <c r="AM720" s="3"/>
      <c r="AN720" s="3"/>
      <c r="AO720" s="3"/>
      <c r="AP720" s="3"/>
      <c r="AQ720" s="3"/>
      <c r="AR720" s="3"/>
      <c r="AS720" s="3"/>
      <c r="AT720" s="3"/>
      <c r="AU720" s="3"/>
      <c r="AV720" s="3"/>
      <c r="AW720" s="3"/>
    </row>
    <row r="721" spans="12:49" x14ac:dyDescent="0.35">
      <c r="L721" s="3"/>
      <c r="M721" s="3"/>
      <c r="N721" s="3"/>
      <c r="O721" s="65"/>
      <c r="Q721" s="3"/>
      <c r="R721" s="3"/>
      <c r="S721" s="3"/>
      <c r="T721" s="3"/>
      <c r="V721" s="3"/>
      <c r="W721" s="3"/>
      <c r="X721" s="3"/>
      <c r="Y721" s="3"/>
      <c r="Z721" s="3"/>
      <c r="AA721" s="3"/>
      <c r="AB721" s="3"/>
      <c r="AC721" s="3"/>
      <c r="AD721" s="3"/>
      <c r="AE721" s="3"/>
      <c r="AF721" s="3"/>
      <c r="AG721" s="3"/>
      <c r="AH721" s="3"/>
      <c r="AI721" s="3"/>
      <c r="AJ721" s="3"/>
      <c r="AK721" s="3"/>
      <c r="AL721" s="3"/>
      <c r="AM721" s="3"/>
      <c r="AN721" s="3"/>
      <c r="AO721" s="3"/>
      <c r="AP721" s="3"/>
      <c r="AQ721" s="3"/>
      <c r="AR721" s="3"/>
      <c r="AS721" s="3"/>
      <c r="AT721" s="3"/>
      <c r="AU721" s="3"/>
      <c r="AV721" s="3"/>
      <c r="AW721" s="3"/>
    </row>
    <row r="722" spans="12:49" x14ac:dyDescent="0.35">
      <c r="L722" s="3"/>
      <c r="M722" s="3"/>
      <c r="N722" s="3"/>
      <c r="O722" s="65"/>
      <c r="Q722" s="3"/>
      <c r="R722" s="3"/>
      <c r="S722" s="3"/>
      <c r="T722" s="3"/>
      <c r="V722" s="3"/>
      <c r="W722" s="3"/>
      <c r="X722" s="3"/>
      <c r="Y722" s="3"/>
      <c r="Z722" s="3"/>
      <c r="AA722" s="3"/>
      <c r="AB722" s="3"/>
      <c r="AC722" s="3"/>
      <c r="AD722" s="3"/>
      <c r="AE722" s="3"/>
      <c r="AF722" s="3"/>
      <c r="AG722" s="3"/>
      <c r="AH722" s="3"/>
      <c r="AI722" s="3"/>
      <c r="AJ722" s="3"/>
      <c r="AK722" s="3"/>
      <c r="AL722" s="3"/>
      <c r="AM722" s="3"/>
      <c r="AN722" s="3"/>
      <c r="AO722" s="3"/>
      <c r="AP722" s="3"/>
      <c r="AQ722" s="3"/>
      <c r="AR722" s="3"/>
      <c r="AS722" s="3"/>
      <c r="AT722" s="3"/>
      <c r="AU722" s="3"/>
      <c r="AV722" s="3"/>
      <c r="AW722" s="3"/>
    </row>
    <row r="723" spans="12:49" x14ac:dyDescent="0.35">
      <c r="L723" s="3"/>
      <c r="M723" s="3"/>
      <c r="N723" s="3"/>
      <c r="O723" s="65"/>
      <c r="Q723" s="3"/>
      <c r="R723" s="3"/>
      <c r="S723" s="3"/>
      <c r="T723" s="3"/>
      <c r="V723" s="3"/>
      <c r="W723" s="3"/>
      <c r="X723" s="3"/>
      <c r="Y723" s="3"/>
      <c r="Z723" s="3"/>
      <c r="AA723" s="3"/>
      <c r="AB723" s="3"/>
      <c r="AC723" s="3"/>
      <c r="AD723" s="3"/>
      <c r="AE723" s="3"/>
      <c r="AF723" s="3"/>
      <c r="AG723" s="3"/>
      <c r="AH723" s="3"/>
      <c r="AI723" s="3"/>
      <c r="AJ723" s="3"/>
      <c r="AK723" s="3"/>
      <c r="AL723" s="3"/>
      <c r="AM723" s="3"/>
      <c r="AN723" s="3"/>
      <c r="AO723" s="3"/>
      <c r="AP723" s="3"/>
      <c r="AQ723" s="3"/>
      <c r="AR723" s="3"/>
      <c r="AS723" s="3"/>
      <c r="AT723" s="3"/>
      <c r="AU723" s="3"/>
      <c r="AV723" s="3"/>
      <c r="AW723" s="3"/>
    </row>
    <row r="724" spans="12:49" x14ac:dyDescent="0.35">
      <c r="L724" s="3"/>
      <c r="M724" s="3"/>
      <c r="N724" s="3"/>
      <c r="O724" s="65"/>
      <c r="Q724" s="3"/>
      <c r="R724" s="3"/>
      <c r="S724" s="3"/>
      <c r="T724" s="3"/>
      <c r="V724" s="3"/>
      <c r="W724" s="3"/>
      <c r="X724" s="3"/>
      <c r="Y724" s="3"/>
      <c r="Z724" s="3"/>
      <c r="AA724" s="3"/>
      <c r="AB724" s="3"/>
      <c r="AC724" s="3"/>
      <c r="AD724" s="3"/>
      <c r="AE724" s="3"/>
      <c r="AF724" s="3"/>
      <c r="AG724" s="3"/>
      <c r="AH724" s="3"/>
      <c r="AI724" s="3"/>
      <c r="AJ724" s="3"/>
      <c r="AK724" s="3"/>
      <c r="AL724" s="3"/>
      <c r="AM724" s="3"/>
      <c r="AN724" s="3"/>
      <c r="AO724" s="3"/>
      <c r="AP724" s="3"/>
      <c r="AQ724" s="3"/>
      <c r="AR724" s="3"/>
      <c r="AS724" s="3"/>
      <c r="AT724" s="3"/>
      <c r="AU724" s="3"/>
      <c r="AV724" s="3"/>
      <c r="AW724" s="3"/>
    </row>
    <row r="725" spans="12:49" x14ac:dyDescent="0.35">
      <c r="L725" s="3"/>
      <c r="M725" s="3"/>
      <c r="N725" s="3"/>
      <c r="O725" s="65"/>
      <c r="Q725" s="3"/>
      <c r="R725" s="3"/>
      <c r="S725" s="3"/>
      <c r="T725" s="3"/>
      <c r="V725" s="3"/>
      <c r="W725" s="3"/>
      <c r="X725" s="3"/>
      <c r="Y725" s="3"/>
      <c r="Z725" s="3"/>
      <c r="AA725" s="3"/>
      <c r="AB725" s="3"/>
      <c r="AC725" s="3"/>
      <c r="AD725" s="3"/>
      <c r="AE725" s="3"/>
      <c r="AF725" s="3"/>
      <c r="AG725" s="3"/>
      <c r="AH725" s="3"/>
      <c r="AI725" s="3"/>
      <c r="AJ725" s="3"/>
      <c r="AK725" s="3"/>
      <c r="AL725" s="3"/>
      <c r="AM725" s="3"/>
      <c r="AN725" s="3"/>
      <c r="AO725" s="3"/>
      <c r="AP725" s="3"/>
      <c r="AQ725" s="3"/>
      <c r="AR725" s="3"/>
      <c r="AS725" s="3"/>
      <c r="AT725" s="3"/>
      <c r="AU725" s="3"/>
      <c r="AV725" s="3"/>
      <c r="AW725" s="3"/>
    </row>
    <row r="726" spans="12:49" x14ac:dyDescent="0.35">
      <c r="L726" s="3"/>
      <c r="M726" s="3"/>
      <c r="N726" s="3"/>
      <c r="O726" s="65"/>
      <c r="Q726" s="3"/>
      <c r="R726" s="3"/>
      <c r="S726" s="3"/>
      <c r="T726" s="3"/>
      <c r="V726" s="3"/>
      <c r="W726" s="3"/>
      <c r="X726" s="3"/>
      <c r="Y726" s="3"/>
      <c r="Z726" s="3"/>
      <c r="AA726" s="3"/>
      <c r="AB726" s="3"/>
      <c r="AC726" s="3"/>
      <c r="AD726" s="3"/>
      <c r="AE726" s="3"/>
      <c r="AF726" s="3"/>
      <c r="AG726" s="3"/>
      <c r="AH726" s="3"/>
      <c r="AI726" s="3"/>
      <c r="AJ726" s="3"/>
      <c r="AK726" s="3"/>
      <c r="AL726" s="3"/>
      <c r="AM726" s="3"/>
      <c r="AN726" s="3"/>
      <c r="AO726" s="3"/>
      <c r="AP726" s="3"/>
      <c r="AQ726" s="3"/>
      <c r="AR726" s="3"/>
      <c r="AS726" s="3"/>
      <c r="AT726" s="3"/>
      <c r="AU726" s="3"/>
      <c r="AV726" s="3"/>
      <c r="AW726" s="3"/>
    </row>
    <row r="727" spans="12:49" x14ac:dyDescent="0.35">
      <c r="L727" s="3"/>
      <c r="M727" s="3"/>
      <c r="N727" s="3"/>
      <c r="O727" s="65"/>
      <c r="Q727" s="3"/>
      <c r="R727" s="3"/>
      <c r="S727" s="3"/>
      <c r="T727" s="3"/>
      <c r="V727" s="3"/>
      <c r="W727" s="3"/>
      <c r="X727" s="3"/>
      <c r="Y727" s="3"/>
      <c r="Z727" s="3"/>
      <c r="AA727" s="3"/>
      <c r="AB727" s="3"/>
      <c r="AC727" s="3"/>
      <c r="AD727" s="3"/>
      <c r="AE727" s="3"/>
      <c r="AF727" s="3"/>
      <c r="AG727" s="3"/>
      <c r="AH727" s="3"/>
      <c r="AI727" s="3"/>
      <c r="AJ727" s="3"/>
      <c r="AK727" s="3"/>
      <c r="AL727" s="3"/>
      <c r="AM727" s="3"/>
      <c r="AN727" s="3"/>
      <c r="AO727" s="3"/>
      <c r="AP727" s="3"/>
      <c r="AQ727" s="3"/>
      <c r="AR727" s="3"/>
      <c r="AS727" s="3"/>
      <c r="AT727" s="3"/>
      <c r="AU727" s="3"/>
      <c r="AV727" s="3"/>
      <c r="AW727" s="3"/>
    </row>
    <row r="728" spans="12:49" x14ac:dyDescent="0.35">
      <c r="L728" s="3"/>
      <c r="M728" s="3"/>
      <c r="N728" s="3"/>
      <c r="O728" s="65"/>
      <c r="Q728" s="3"/>
      <c r="R728" s="3"/>
      <c r="S728" s="3"/>
      <c r="T728" s="3"/>
      <c r="V728" s="3"/>
      <c r="W728" s="3"/>
      <c r="X728" s="3"/>
      <c r="Y728" s="3"/>
      <c r="Z728" s="3"/>
      <c r="AA728" s="3"/>
      <c r="AB728" s="3"/>
      <c r="AC728" s="3"/>
      <c r="AD728" s="3"/>
      <c r="AE728" s="3"/>
      <c r="AF728" s="3"/>
      <c r="AG728" s="3"/>
      <c r="AH728" s="3"/>
      <c r="AI728" s="3"/>
      <c r="AJ728" s="3"/>
      <c r="AK728" s="3"/>
      <c r="AL728" s="3"/>
      <c r="AM728" s="3"/>
      <c r="AN728" s="3"/>
      <c r="AO728" s="3"/>
      <c r="AP728" s="3"/>
      <c r="AQ728" s="3"/>
      <c r="AR728" s="3"/>
      <c r="AS728" s="3"/>
      <c r="AT728" s="3"/>
      <c r="AU728" s="3"/>
      <c r="AV728" s="3"/>
      <c r="AW728" s="3"/>
    </row>
    <row r="729" spans="12:49" x14ac:dyDescent="0.35">
      <c r="L729" s="3"/>
      <c r="M729" s="3"/>
      <c r="N729" s="3"/>
      <c r="O729" s="65"/>
      <c r="Q729" s="3"/>
      <c r="R729" s="3"/>
      <c r="S729" s="3"/>
      <c r="T729" s="3"/>
      <c r="V729" s="3"/>
      <c r="W729" s="3"/>
      <c r="X729" s="3"/>
      <c r="Y729" s="3"/>
      <c r="Z729" s="3"/>
      <c r="AA729" s="3"/>
      <c r="AB729" s="3"/>
      <c r="AC729" s="3"/>
      <c r="AD729" s="3"/>
      <c r="AE729" s="3"/>
      <c r="AF729" s="3"/>
      <c r="AG729" s="3"/>
      <c r="AH729" s="3"/>
      <c r="AI729" s="3"/>
      <c r="AJ729" s="3"/>
      <c r="AK729" s="3"/>
      <c r="AL729" s="3"/>
      <c r="AM729" s="3"/>
      <c r="AN729" s="3"/>
      <c r="AO729" s="3"/>
      <c r="AP729" s="3"/>
      <c r="AQ729" s="3"/>
      <c r="AR729" s="3"/>
      <c r="AS729" s="3"/>
      <c r="AT729" s="3"/>
      <c r="AU729" s="3"/>
      <c r="AV729" s="3"/>
      <c r="AW729" s="3"/>
    </row>
    <row r="730" spans="12:49" x14ac:dyDescent="0.35">
      <c r="L730" s="3"/>
      <c r="M730" s="3"/>
      <c r="N730" s="3"/>
      <c r="O730" s="65"/>
      <c r="Q730" s="3"/>
      <c r="R730" s="3"/>
      <c r="S730" s="3"/>
      <c r="T730" s="3"/>
      <c r="V730" s="3"/>
      <c r="W730" s="3"/>
      <c r="X730" s="3"/>
      <c r="Y730" s="3"/>
      <c r="Z730" s="3"/>
      <c r="AA730" s="3"/>
      <c r="AB730" s="3"/>
      <c r="AC730" s="3"/>
      <c r="AD730" s="3"/>
      <c r="AE730" s="3"/>
      <c r="AF730" s="3"/>
      <c r="AG730" s="3"/>
      <c r="AH730" s="3"/>
      <c r="AI730" s="3"/>
      <c r="AJ730" s="3"/>
      <c r="AK730" s="3"/>
      <c r="AL730" s="3"/>
      <c r="AM730" s="3"/>
      <c r="AN730" s="3"/>
      <c r="AO730" s="3"/>
      <c r="AP730" s="3"/>
      <c r="AQ730" s="3"/>
      <c r="AR730" s="3"/>
      <c r="AS730" s="3"/>
      <c r="AT730" s="3"/>
      <c r="AU730" s="3"/>
      <c r="AV730" s="3"/>
      <c r="AW730" s="3"/>
    </row>
    <row r="731" spans="12:49" x14ac:dyDescent="0.35">
      <c r="L731" s="3"/>
      <c r="M731" s="3"/>
      <c r="N731" s="3"/>
      <c r="O731" s="65"/>
      <c r="Q731" s="3"/>
      <c r="R731" s="3"/>
      <c r="S731" s="3"/>
      <c r="T731" s="3"/>
      <c r="V731" s="3"/>
      <c r="W731" s="3"/>
      <c r="X731" s="3"/>
      <c r="Y731" s="3"/>
      <c r="Z731" s="3"/>
      <c r="AA731" s="3"/>
      <c r="AB731" s="3"/>
      <c r="AC731" s="3"/>
      <c r="AD731" s="3"/>
      <c r="AE731" s="3"/>
      <c r="AF731" s="3"/>
      <c r="AG731" s="3"/>
      <c r="AH731" s="3"/>
      <c r="AI731" s="3"/>
      <c r="AJ731" s="3"/>
      <c r="AK731" s="3"/>
      <c r="AL731" s="3"/>
      <c r="AM731" s="3"/>
      <c r="AN731" s="3"/>
      <c r="AO731" s="3"/>
      <c r="AP731" s="3"/>
      <c r="AQ731" s="3"/>
      <c r="AR731" s="3"/>
      <c r="AS731" s="3"/>
      <c r="AT731" s="3"/>
      <c r="AU731" s="3"/>
      <c r="AV731" s="3"/>
      <c r="AW731" s="3"/>
    </row>
    <row r="732" spans="12:49" x14ac:dyDescent="0.35">
      <c r="L732" s="3"/>
      <c r="M732" s="3"/>
      <c r="N732" s="3"/>
      <c r="O732" s="65"/>
      <c r="Q732" s="3"/>
      <c r="R732" s="3"/>
      <c r="S732" s="3"/>
      <c r="T732" s="3"/>
      <c r="V732" s="3"/>
      <c r="W732" s="3"/>
      <c r="X732" s="3"/>
      <c r="Y732" s="3"/>
      <c r="Z732" s="3"/>
      <c r="AA732" s="3"/>
      <c r="AB732" s="3"/>
      <c r="AC732" s="3"/>
      <c r="AD732" s="3"/>
      <c r="AE732" s="3"/>
      <c r="AF732" s="3"/>
      <c r="AG732" s="3"/>
      <c r="AH732" s="3"/>
      <c r="AI732" s="3"/>
      <c r="AJ732" s="3"/>
      <c r="AK732" s="3"/>
      <c r="AL732" s="3"/>
      <c r="AM732" s="3"/>
      <c r="AN732" s="3"/>
      <c r="AO732" s="3"/>
      <c r="AP732" s="3"/>
      <c r="AQ732" s="3"/>
      <c r="AR732" s="3"/>
      <c r="AS732" s="3"/>
      <c r="AT732" s="3"/>
      <c r="AU732" s="3"/>
      <c r="AV732" s="3"/>
      <c r="AW732" s="3"/>
    </row>
    <row r="733" spans="12:49" x14ac:dyDescent="0.35">
      <c r="L733" s="3"/>
      <c r="M733" s="3"/>
      <c r="N733" s="3"/>
      <c r="O733" s="65"/>
      <c r="Q733" s="3"/>
      <c r="R733" s="3"/>
      <c r="S733" s="3"/>
      <c r="T733" s="3"/>
      <c r="V733" s="3"/>
      <c r="W733" s="3"/>
      <c r="X733" s="3"/>
      <c r="Y733" s="3"/>
      <c r="Z733" s="3"/>
      <c r="AA733" s="3"/>
      <c r="AB733" s="3"/>
      <c r="AC733" s="3"/>
      <c r="AD733" s="3"/>
      <c r="AE733" s="3"/>
      <c r="AF733" s="3"/>
      <c r="AG733" s="3"/>
      <c r="AH733" s="3"/>
      <c r="AI733" s="3"/>
      <c r="AJ733" s="3"/>
      <c r="AK733" s="3"/>
      <c r="AL733" s="3"/>
      <c r="AM733" s="3"/>
      <c r="AN733" s="3"/>
      <c r="AO733" s="3"/>
      <c r="AP733" s="3"/>
      <c r="AQ733" s="3"/>
      <c r="AR733" s="3"/>
      <c r="AS733" s="3"/>
      <c r="AT733" s="3"/>
      <c r="AU733" s="3"/>
      <c r="AV733" s="3"/>
      <c r="AW733" s="3"/>
    </row>
    <row r="734" spans="12:49" x14ac:dyDescent="0.35">
      <c r="L734" s="3"/>
      <c r="M734" s="3"/>
      <c r="N734" s="3"/>
      <c r="O734" s="65"/>
      <c r="Q734" s="3"/>
      <c r="R734" s="3"/>
      <c r="S734" s="3"/>
      <c r="T734" s="3"/>
      <c r="V734" s="3"/>
      <c r="W734" s="3"/>
      <c r="X734" s="3"/>
      <c r="Y734" s="3"/>
      <c r="Z734" s="3"/>
      <c r="AA734" s="3"/>
      <c r="AB734" s="3"/>
      <c r="AC734" s="3"/>
      <c r="AD734" s="3"/>
      <c r="AE734" s="3"/>
      <c r="AF734" s="3"/>
      <c r="AG734" s="3"/>
      <c r="AH734" s="3"/>
      <c r="AI734" s="3"/>
      <c r="AJ734" s="3"/>
      <c r="AK734" s="3"/>
      <c r="AL734" s="3"/>
      <c r="AM734" s="3"/>
      <c r="AN734" s="3"/>
      <c r="AO734" s="3"/>
      <c r="AP734" s="3"/>
      <c r="AQ734" s="3"/>
      <c r="AR734" s="3"/>
      <c r="AS734" s="3"/>
      <c r="AT734" s="3"/>
      <c r="AU734" s="3"/>
      <c r="AV734" s="3"/>
      <c r="AW734" s="3"/>
    </row>
    <row r="735" spans="12:49" x14ac:dyDescent="0.35">
      <c r="L735" s="3"/>
      <c r="M735" s="3"/>
      <c r="N735" s="3"/>
      <c r="O735" s="65"/>
      <c r="Q735" s="3"/>
      <c r="R735" s="3"/>
      <c r="S735" s="3"/>
      <c r="T735" s="3"/>
      <c r="V735" s="3"/>
      <c r="W735" s="3"/>
      <c r="X735" s="3"/>
      <c r="Y735" s="3"/>
      <c r="Z735" s="3"/>
      <c r="AA735" s="3"/>
      <c r="AB735" s="3"/>
      <c r="AC735" s="3"/>
      <c r="AD735" s="3"/>
      <c r="AE735" s="3"/>
      <c r="AF735" s="3"/>
      <c r="AG735" s="3"/>
      <c r="AH735" s="3"/>
      <c r="AI735" s="3"/>
      <c r="AJ735" s="3"/>
      <c r="AK735" s="3"/>
      <c r="AL735" s="3"/>
      <c r="AM735" s="3"/>
      <c r="AN735" s="3"/>
      <c r="AO735" s="3"/>
      <c r="AP735" s="3"/>
      <c r="AQ735" s="3"/>
      <c r="AR735" s="3"/>
      <c r="AS735" s="3"/>
      <c r="AT735" s="3"/>
      <c r="AU735" s="3"/>
      <c r="AV735" s="3"/>
      <c r="AW735" s="3"/>
    </row>
    <row r="736" spans="12:49" x14ac:dyDescent="0.35">
      <c r="L736" s="3"/>
      <c r="M736" s="3"/>
      <c r="N736" s="3"/>
      <c r="O736" s="65"/>
      <c r="Q736" s="3"/>
      <c r="R736" s="3"/>
      <c r="S736" s="3"/>
      <c r="T736" s="3"/>
      <c r="V736" s="3"/>
      <c r="W736" s="3"/>
      <c r="X736" s="3"/>
      <c r="Y736" s="3"/>
      <c r="Z736" s="3"/>
      <c r="AA736" s="3"/>
      <c r="AB736" s="3"/>
      <c r="AC736" s="3"/>
      <c r="AD736" s="3"/>
      <c r="AE736" s="3"/>
      <c r="AF736" s="3"/>
      <c r="AG736" s="3"/>
      <c r="AH736" s="3"/>
      <c r="AI736" s="3"/>
      <c r="AJ736" s="3"/>
      <c r="AK736" s="3"/>
      <c r="AL736" s="3"/>
      <c r="AM736" s="3"/>
      <c r="AN736" s="3"/>
      <c r="AO736" s="3"/>
      <c r="AP736" s="3"/>
      <c r="AQ736" s="3"/>
      <c r="AR736" s="3"/>
      <c r="AS736" s="3"/>
      <c r="AT736" s="3"/>
      <c r="AU736" s="3"/>
      <c r="AV736" s="3"/>
      <c r="AW736" s="3"/>
    </row>
    <row r="737" spans="12:49" x14ac:dyDescent="0.35">
      <c r="L737" s="3"/>
      <c r="M737" s="3"/>
      <c r="N737" s="3"/>
      <c r="O737" s="65"/>
      <c r="Q737" s="3"/>
      <c r="R737" s="3"/>
      <c r="S737" s="3"/>
      <c r="T737" s="3"/>
      <c r="V737" s="3"/>
      <c r="W737" s="3"/>
      <c r="X737" s="3"/>
      <c r="Y737" s="3"/>
      <c r="Z737" s="3"/>
      <c r="AA737" s="3"/>
      <c r="AB737" s="3"/>
      <c r="AC737" s="3"/>
      <c r="AD737" s="3"/>
      <c r="AE737" s="3"/>
      <c r="AF737" s="3"/>
      <c r="AG737" s="3"/>
      <c r="AH737" s="3"/>
      <c r="AI737" s="3"/>
      <c r="AJ737" s="3"/>
      <c r="AK737" s="3"/>
      <c r="AL737" s="3"/>
      <c r="AM737" s="3"/>
      <c r="AN737" s="3"/>
      <c r="AO737" s="3"/>
      <c r="AP737" s="3"/>
      <c r="AQ737" s="3"/>
      <c r="AR737" s="3"/>
      <c r="AS737" s="3"/>
      <c r="AT737" s="3"/>
      <c r="AU737" s="3"/>
      <c r="AV737" s="3"/>
      <c r="AW737" s="3"/>
    </row>
    <row r="738" spans="12:49" x14ac:dyDescent="0.35">
      <c r="L738" s="3"/>
      <c r="M738" s="3"/>
      <c r="N738" s="3"/>
      <c r="O738" s="65"/>
      <c r="Q738" s="3"/>
      <c r="R738" s="3"/>
      <c r="S738" s="3"/>
      <c r="T738" s="3"/>
      <c r="V738" s="3"/>
      <c r="W738" s="3"/>
      <c r="X738" s="3"/>
      <c r="Y738" s="3"/>
      <c r="Z738" s="3"/>
      <c r="AA738" s="3"/>
      <c r="AB738" s="3"/>
      <c r="AC738" s="3"/>
      <c r="AD738" s="3"/>
      <c r="AE738" s="3"/>
      <c r="AF738" s="3"/>
      <c r="AG738" s="3"/>
      <c r="AH738" s="3"/>
      <c r="AI738" s="3"/>
      <c r="AJ738" s="3"/>
      <c r="AK738" s="3"/>
      <c r="AL738" s="3"/>
      <c r="AM738" s="3"/>
      <c r="AN738" s="3"/>
      <c r="AO738" s="3"/>
      <c r="AP738" s="3"/>
      <c r="AQ738" s="3"/>
      <c r="AR738" s="3"/>
      <c r="AS738" s="3"/>
      <c r="AT738" s="3"/>
      <c r="AU738" s="3"/>
      <c r="AV738" s="3"/>
      <c r="AW738" s="3"/>
    </row>
    <row r="739" spans="12:49" x14ac:dyDescent="0.35">
      <c r="L739" s="3"/>
      <c r="M739" s="3"/>
      <c r="N739" s="3"/>
      <c r="O739" s="65"/>
      <c r="Q739" s="3"/>
      <c r="R739" s="3"/>
      <c r="S739" s="3"/>
      <c r="T739" s="3"/>
      <c r="V739" s="3"/>
      <c r="W739" s="3"/>
      <c r="X739" s="3"/>
      <c r="Y739" s="3"/>
      <c r="Z739" s="3"/>
      <c r="AA739" s="3"/>
      <c r="AB739" s="3"/>
      <c r="AC739" s="3"/>
      <c r="AD739" s="3"/>
      <c r="AE739" s="3"/>
      <c r="AF739" s="3"/>
      <c r="AG739" s="3"/>
      <c r="AH739" s="3"/>
      <c r="AI739" s="3"/>
      <c r="AJ739" s="3"/>
      <c r="AK739" s="3"/>
      <c r="AL739" s="3"/>
      <c r="AM739" s="3"/>
      <c r="AN739" s="3"/>
      <c r="AO739" s="3"/>
      <c r="AP739" s="3"/>
      <c r="AQ739" s="3"/>
      <c r="AR739" s="3"/>
      <c r="AS739" s="3"/>
      <c r="AT739" s="3"/>
      <c r="AU739" s="3"/>
      <c r="AV739" s="3"/>
      <c r="AW739" s="3"/>
    </row>
    <row r="740" spans="12:49" x14ac:dyDescent="0.35">
      <c r="L740" s="3"/>
      <c r="M740" s="3"/>
      <c r="N740" s="3"/>
      <c r="O740" s="65"/>
      <c r="Q740" s="3"/>
      <c r="R740" s="3"/>
      <c r="S740" s="3"/>
      <c r="T740" s="3"/>
      <c r="V740" s="3"/>
      <c r="W740" s="3"/>
      <c r="X740" s="3"/>
      <c r="Y740" s="3"/>
      <c r="Z740" s="3"/>
      <c r="AA740" s="3"/>
      <c r="AB740" s="3"/>
      <c r="AC740" s="3"/>
      <c r="AD740" s="3"/>
      <c r="AE740" s="3"/>
      <c r="AF740" s="3"/>
      <c r="AG740" s="3"/>
      <c r="AH740" s="3"/>
      <c r="AI740" s="3"/>
      <c r="AJ740" s="3"/>
      <c r="AK740" s="3"/>
      <c r="AL740" s="3"/>
      <c r="AM740" s="3"/>
      <c r="AN740" s="3"/>
      <c r="AO740" s="3"/>
      <c r="AP740" s="3"/>
      <c r="AQ740" s="3"/>
      <c r="AR740" s="3"/>
      <c r="AS740" s="3"/>
      <c r="AT740" s="3"/>
      <c r="AU740" s="3"/>
      <c r="AV740" s="3"/>
      <c r="AW740" s="3"/>
    </row>
    <row r="741" spans="12:49" x14ac:dyDescent="0.35">
      <c r="L741" s="3"/>
      <c r="M741" s="3"/>
      <c r="N741" s="3"/>
      <c r="O741" s="65"/>
      <c r="Q741" s="3"/>
      <c r="R741" s="3"/>
      <c r="S741" s="3"/>
      <c r="T741" s="3"/>
      <c r="V741" s="3"/>
      <c r="W741" s="3"/>
      <c r="X741" s="3"/>
      <c r="Y741" s="3"/>
      <c r="Z741" s="3"/>
      <c r="AA741" s="3"/>
      <c r="AB741" s="3"/>
      <c r="AC741" s="3"/>
      <c r="AD741" s="3"/>
      <c r="AE741" s="3"/>
      <c r="AF741" s="3"/>
      <c r="AG741" s="3"/>
      <c r="AH741" s="3"/>
      <c r="AI741" s="3"/>
      <c r="AJ741" s="3"/>
      <c r="AK741" s="3"/>
      <c r="AL741" s="3"/>
      <c r="AM741" s="3"/>
      <c r="AN741" s="3"/>
      <c r="AO741" s="3"/>
      <c r="AP741" s="3"/>
      <c r="AQ741" s="3"/>
      <c r="AR741" s="3"/>
      <c r="AS741" s="3"/>
      <c r="AT741" s="3"/>
      <c r="AU741" s="3"/>
      <c r="AV741" s="3"/>
      <c r="AW741" s="3"/>
    </row>
    <row r="742" spans="12:49" x14ac:dyDescent="0.35">
      <c r="L742" s="3"/>
      <c r="M742" s="3"/>
      <c r="N742" s="3"/>
      <c r="O742" s="65"/>
      <c r="Q742" s="3"/>
      <c r="R742" s="3"/>
      <c r="S742" s="3"/>
      <c r="T742" s="3"/>
      <c r="V742" s="3"/>
      <c r="W742" s="3"/>
      <c r="X742" s="3"/>
      <c r="Y742" s="3"/>
      <c r="Z742" s="3"/>
      <c r="AA742" s="3"/>
      <c r="AB742" s="3"/>
      <c r="AC742" s="3"/>
      <c r="AD742" s="3"/>
      <c r="AE742" s="3"/>
      <c r="AF742" s="3"/>
      <c r="AG742" s="3"/>
      <c r="AH742" s="3"/>
      <c r="AI742" s="3"/>
      <c r="AJ742" s="3"/>
      <c r="AK742" s="3"/>
      <c r="AL742" s="3"/>
      <c r="AM742" s="3"/>
      <c r="AN742" s="3"/>
      <c r="AO742" s="3"/>
      <c r="AP742" s="3"/>
      <c r="AQ742" s="3"/>
      <c r="AR742" s="3"/>
      <c r="AS742" s="3"/>
      <c r="AT742" s="3"/>
      <c r="AU742" s="3"/>
      <c r="AV742" s="3"/>
      <c r="AW742" s="3"/>
    </row>
    <row r="743" spans="12:49" x14ac:dyDescent="0.35">
      <c r="L743" s="3"/>
      <c r="M743" s="3"/>
      <c r="N743" s="3"/>
      <c r="O743" s="65"/>
      <c r="Q743" s="3"/>
      <c r="R743" s="3"/>
      <c r="S743" s="3"/>
      <c r="T743" s="3"/>
      <c r="V743" s="3"/>
      <c r="W743" s="3"/>
      <c r="X743" s="3"/>
      <c r="Y743" s="3"/>
      <c r="Z743" s="3"/>
      <c r="AA743" s="3"/>
      <c r="AB743" s="3"/>
      <c r="AC743" s="3"/>
      <c r="AD743" s="3"/>
      <c r="AE743" s="3"/>
      <c r="AF743" s="3"/>
      <c r="AG743" s="3"/>
      <c r="AH743" s="3"/>
      <c r="AI743" s="3"/>
      <c r="AJ743" s="3"/>
      <c r="AK743" s="3"/>
      <c r="AL743" s="3"/>
      <c r="AM743" s="3"/>
      <c r="AN743" s="3"/>
      <c r="AO743" s="3"/>
      <c r="AP743" s="3"/>
      <c r="AQ743" s="3"/>
      <c r="AR743" s="3"/>
      <c r="AS743" s="3"/>
      <c r="AT743" s="3"/>
      <c r="AU743" s="3"/>
      <c r="AV743" s="3"/>
      <c r="AW743" s="3"/>
    </row>
    <row r="744" spans="12:49" x14ac:dyDescent="0.35">
      <c r="L744" s="3"/>
      <c r="M744" s="3"/>
      <c r="N744" s="3"/>
      <c r="O744" s="65"/>
      <c r="Q744" s="3"/>
      <c r="R744" s="3"/>
      <c r="S744" s="3"/>
      <c r="T744" s="3"/>
      <c r="V744" s="3"/>
      <c r="W744" s="3"/>
      <c r="X744" s="3"/>
      <c r="Y744" s="3"/>
      <c r="Z744" s="3"/>
      <c r="AA744" s="3"/>
      <c r="AB744" s="3"/>
      <c r="AC744" s="3"/>
      <c r="AD744" s="3"/>
      <c r="AE744" s="3"/>
      <c r="AF744" s="3"/>
      <c r="AG744" s="3"/>
      <c r="AH744" s="3"/>
      <c r="AI744" s="3"/>
      <c r="AJ744" s="3"/>
      <c r="AK744" s="3"/>
      <c r="AL744" s="3"/>
      <c r="AM744" s="3"/>
      <c r="AN744" s="3"/>
      <c r="AO744" s="3"/>
      <c r="AP744" s="3"/>
      <c r="AQ744" s="3"/>
      <c r="AR744" s="3"/>
      <c r="AS744" s="3"/>
      <c r="AT744" s="3"/>
      <c r="AU744" s="3"/>
      <c r="AV744" s="3"/>
      <c r="AW744" s="3"/>
    </row>
    <row r="745" spans="12:49" x14ac:dyDescent="0.35">
      <c r="L745" s="3"/>
      <c r="M745" s="3"/>
      <c r="N745" s="3"/>
      <c r="O745" s="65"/>
      <c r="Q745" s="3"/>
      <c r="R745" s="3"/>
      <c r="S745" s="3"/>
      <c r="T745" s="3"/>
      <c r="V745" s="3"/>
      <c r="W745" s="3"/>
      <c r="X745" s="3"/>
      <c r="Y745" s="3"/>
      <c r="Z745" s="3"/>
      <c r="AA745" s="3"/>
      <c r="AB745" s="3"/>
      <c r="AC745" s="3"/>
      <c r="AD745" s="3"/>
      <c r="AE745" s="3"/>
      <c r="AF745" s="3"/>
      <c r="AG745" s="3"/>
      <c r="AH745" s="3"/>
      <c r="AI745" s="3"/>
      <c r="AJ745" s="3"/>
      <c r="AK745" s="3"/>
      <c r="AL745" s="3"/>
      <c r="AM745" s="3"/>
      <c r="AN745" s="3"/>
      <c r="AO745" s="3"/>
      <c r="AP745" s="3"/>
      <c r="AQ745" s="3"/>
      <c r="AR745" s="3"/>
      <c r="AS745" s="3"/>
      <c r="AT745" s="3"/>
      <c r="AU745" s="3"/>
      <c r="AV745" s="3"/>
      <c r="AW745" s="3"/>
    </row>
    <row r="746" spans="12:49" x14ac:dyDescent="0.35">
      <c r="L746" s="3"/>
      <c r="M746" s="3"/>
      <c r="N746" s="3"/>
      <c r="O746" s="65"/>
      <c r="Q746" s="3"/>
      <c r="R746" s="3"/>
      <c r="S746" s="3"/>
      <c r="T746" s="3"/>
      <c r="V746" s="3"/>
      <c r="W746" s="3"/>
      <c r="X746" s="3"/>
      <c r="Y746" s="3"/>
      <c r="Z746" s="3"/>
      <c r="AA746" s="3"/>
      <c r="AB746" s="3"/>
      <c r="AC746" s="3"/>
      <c r="AD746" s="3"/>
      <c r="AE746" s="3"/>
      <c r="AF746" s="3"/>
      <c r="AG746" s="3"/>
      <c r="AH746" s="3"/>
      <c r="AI746" s="3"/>
      <c r="AJ746" s="3"/>
      <c r="AK746" s="3"/>
      <c r="AL746" s="3"/>
      <c r="AM746" s="3"/>
      <c r="AN746" s="3"/>
      <c r="AO746" s="3"/>
      <c r="AP746" s="3"/>
      <c r="AQ746" s="3"/>
      <c r="AR746" s="3"/>
      <c r="AS746" s="3"/>
      <c r="AT746" s="3"/>
      <c r="AU746" s="3"/>
      <c r="AV746" s="3"/>
      <c r="AW746" s="3"/>
    </row>
    <row r="747" spans="12:49" x14ac:dyDescent="0.35">
      <c r="L747" s="3"/>
      <c r="M747" s="3"/>
      <c r="N747" s="3"/>
      <c r="O747" s="65"/>
      <c r="Q747" s="3"/>
      <c r="R747" s="3"/>
      <c r="S747" s="3"/>
      <c r="T747" s="3"/>
      <c r="V747" s="3"/>
      <c r="W747" s="3"/>
      <c r="X747" s="3"/>
      <c r="Y747" s="3"/>
      <c r="Z747" s="3"/>
      <c r="AA747" s="3"/>
      <c r="AB747" s="3"/>
      <c r="AC747" s="3"/>
      <c r="AD747" s="3"/>
      <c r="AE747" s="3"/>
      <c r="AF747" s="3"/>
      <c r="AG747" s="3"/>
      <c r="AH747" s="3"/>
      <c r="AI747" s="3"/>
      <c r="AJ747" s="3"/>
      <c r="AK747" s="3"/>
      <c r="AL747" s="3"/>
      <c r="AM747" s="3"/>
      <c r="AN747" s="3"/>
      <c r="AO747" s="3"/>
      <c r="AP747" s="3"/>
      <c r="AQ747" s="3"/>
      <c r="AR747" s="3"/>
      <c r="AS747" s="3"/>
      <c r="AT747" s="3"/>
      <c r="AU747" s="3"/>
      <c r="AV747" s="3"/>
      <c r="AW747" s="3"/>
    </row>
    <row r="748" spans="12:49" x14ac:dyDescent="0.35">
      <c r="L748" s="3"/>
      <c r="M748" s="3"/>
      <c r="N748" s="3"/>
      <c r="O748" s="65"/>
      <c r="Q748" s="3"/>
      <c r="R748" s="3"/>
      <c r="S748" s="3"/>
      <c r="T748" s="3"/>
      <c r="V748" s="3"/>
      <c r="W748" s="3"/>
      <c r="X748" s="3"/>
      <c r="Y748" s="3"/>
      <c r="Z748" s="3"/>
      <c r="AA748" s="3"/>
      <c r="AB748" s="3"/>
      <c r="AC748" s="3"/>
      <c r="AD748" s="3"/>
      <c r="AE748" s="3"/>
      <c r="AF748" s="3"/>
      <c r="AG748" s="3"/>
      <c r="AH748" s="3"/>
      <c r="AI748" s="3"/>
      <c r="AJ748" s="3"/>
      <c r="AK748" s="3"/>
      <c r="AL748" s="3"/>
      <c r="AM748" s="3"/>
      <c r="AN748" s="3"/>
      <c r="AO748" s="3"/>
      <c r="AP748" s="3"/>
      <c r="AQ748" s="3"/>
      <c r="AR748" s="3"/>
      <c r="AS748" s="3"/>
      <c r="AT748" s="3"/>
      <c r="AU748" s="3"/>
      <c r="AV748" s="3"/>
      <c r="AW748" s="3"/>
    </row>
    <row r="749" spans="12:49" x14ac:dyDescent="0.35">
      <c r="L749" s="3"/>
      <c r="M749" s="3"/>
      <c r="N749" s="3"/>
      <c r="O749" s="65"/>
      <c r="Q749" s="3"/>
      <c r="R749" s="3"/>
      <c r="S749" s="3"/>
      <c r="T749" s="3"/>
      <c r="V749" s="3"/>
      <c r="W749" s="3"/>
      <c r="X749" s="3"/>
      <c r="Y749" s="3"/>
      <c r="Z749" s="3"/>
      <c r="AA749" s="3"/>
      <c r="AB749" s="3"/>
      <c r="AC749" s="3"/>
      <c r="AD749" s="3"/>
      <c r="AE749" s="3"/>
      <c r="AF749" s="3"/>
      <c r="AG749" s="3"/>
      <c r="AH749" s="3"/>
      <c r="AI749" s="3"/>
      <c r="AJ749" s="3"/>
      <c r="AK749" s="3"/>
      <c r="AL749" s="3"/>
      <c r="AM749" s="3"/>
      <c r="AN749" s="3"/>
      <c r="AO749" s="3"/>
      <c r="AP749" s="3"/>
      <c r="AQ749" s="3"/>
      <c r="AR749" s="3"/>
      <c r="AS749" s="3"/>
      <c r="AT749" s="3"/>
      <c r="AU749" s="3"/>
      <c r="AV749" s="3"/>
      <c r="AW749" s="3"/>
    </row>
    <row r="750" spans="12:49" x14ac:dyDescent="0.35">
      <c r="L750" s="3"/>
      <c r="M750" s="3"/>
      <c r="N750" s="3"/>
      <c r="O750" s="65"/>
      <c r="Q750" s="3"/>
      <c r="R750" s="3"/>
      <c r="S750" s="3"/>
      <c r="T750" s="3"/>
      <c r="V750" s="3"/>
      <c r="W750" s="3"/>
      <c r="X750" s="3"/>
      <c r="Y750" s="3"/>
      <c r="Z750" s="3"/>
      <c r="AA750" s="3"/>
      <c r="AB750" s="3"/>
      <c r="AC750" s="3"/>
      <c r="AD750" s="3"/>
      <c r="AE750" s="3"/>
      <c r="AF750" s="3"/>
      <c r="AG750" s="3"/>
      <c r="AH750" s="3"/>
      <c r="AI750" s="3"/>
      <c r="AJ750" s="3"/>
      <c r="AK750" s="3"/>
      <c r="AL750" s="3"/>
      <c r="AM750" s="3"/>
      <c r="AN750" s="3"/>
      <c r="AO750" s="3"/>
      <c r="AP750" s="3"/>
      <c r="AQ750" s="3"/>
      <c r="AR750" s="3"/>
      <c r="AS750" s="3"/>
      <c r="AT750" s="3"/>
      <c r="AU750" s="3"/>
      <c r="AV750" s="3"/>
      <c r="AW750" s="3"/>
    </row>
    <row r="751" spans="12:49" x14ac:dyDescent="0.35">
      <c r="L751" s="3"/>
      <c r="M751" s="3"/>
      <c r="N751" s="3"/>
      <c r="O751" s="65"/>
      <c r="Q751" s="3"/>
      <c r="R751" s="3"/>
      <c r="S751" s="3"/>
      <c r="T751" s="3"/>
      <c r="V751" s="3"/>
      <c r="W751" s="3"/>
      <c r="X751" s="3"/>
      <c r="Y751" s="3"/>
      <c r="Z751" s="3"/>
      <c r="AA751" s="3"/>
      <c r="AB751" s="3"/>
      <c r="AC751" s="3"/>
      <c r="AD751" s="3"/>
      <c r="AE751" s="3"/>
      <c r="AF751" s="3"/>
      <c r="AG751" s="3"/>
      <c r="AH751" s="3"/>
      <c r="AI751" s="3"/>
      <c r="AJ751" s="3"/>
      <c r="AK751" s="3"/>
      <c r="AL751" s="3"/>
      <c r="AM751" s="3"/>
      <c r="AN751" s="3"/>
      <c r="AO751" s="3"/>
      <c r="AP751" s="3"/>
      <c r="AQ751" s="3"/>
      <c r="AR751" s="3"/>
      <c r="AS751" s="3"/>
      <c r="AT751" s="3"/>
      <c r="AU751" s="3"/>
      <c r="AV751" s="3"/>
      <c r="AW751" s="3"/>
    </row>
    <row r="752" spans="12:49" x14ac:dyDescent="0.35">
      <c r="L752" s="3"/>
      <c r="M752" s="3"/>
      <c r="N752" s="3"/>
      <c r="O752" s="65"/>
      <c r="Q752" s="3"/>
      <c r="R752" s="3"/>
      <c r="S752" s="3"/>
      <c r="T752" s="3"/>
      <c r="V752" s="3"/>
      <c r="W752" s="3"/>
      <c r="X752" s="3"/>
      <c r="Y752" s="3"/>
      <c r="Z752" s="3"/>
      <c r="AA752" s="3"/>
      <c r="AB752" s="3"/>
      <c r="AC752" s="3"/>
      <c r="AD752" s="3"/>
      <c r="AE752" s="3"/>
      <c r="AF752" s="3"/>
      <c r="AG752" s="3"/>
      <c r="AH752" s="3"/>
      <c r="AI752" s="3"/>
      <c r="AJ752" s="3"/>
      <c r="AK752" s="3"/>
      <c r="AL752" s="3"/>
      <c r="AM752" s="3"/>
      <c r="AN752" s="3"/>
      <c r="AO752" s="3"/>
      <c r="AP752" s="3"/>
      <c r="AQ752" s="3"/>
      <c r="AR752" s="3"/>
      <c r="AS752" s="3"/>
      <c r="AT752" s="3"/>
      <c r="AU752" s="3"/>
      <c r="AV752" s="3"/>
      <c r="AW752" s="3"/>
    </row>
    <row r="753" spans="12:49" x14ac:dyDescent="0.35">
      <c r="L753" s="3"/>
      <c r="M753" s="3"/>
      <c r="N753" s="3"/>
      <c r="O753" s="65"/>
      <c r="Q753" s="3"/>
      <c r="R753" s="3"/>
      <c r="S753" s="3"/>
      <c r="T753" s="3"/>
      <c r="V753" s="3"/>
      <c r="W753" s="3"/>
      <c r="X753" s="3"/>
      <c r="Y753" s="3"/>
      <c r="Z753" s="3"/>
      <c r="AA753" s="3"/>
      <c r="AB753" s="3"/>
      <c r="AC753" s="3"/>
      <c r="AD753" s="3"/>
      <c r="AE753" s="3"/>
      <c r="AF753" s="3"/>
      <c r="AG753" s="3"/>
      <c r="AH753" s="3"/>
      <c r="AI753" s="3"/>
      <c r="AJ753" s="3"/>
      <c r="AK753" s="3"/>
      <c r="AL753" s="3"/>
      <c r="AM753" s="3"/>
      <c r="AN753" s="3"/>
      <c r="AO753" s="3"/>
      <c r="AP753" s="3"/>
      <c r="AQ753" s="3"/>
      <c r="AR753" s="3"/>
      <c r="AS753" s="3"/>
      <c r="AT753" s="3"/>
      <c r="AU753" s="3"/>
      <c r="AV753" s="3"/>
      <c r="AW753" s="3"/>
    </row>
    <row r="754" spans="12:49" x14ac:dyDescent="0.35">
      <c r="L754" s="3"/>
      <c r="M754" s="3"/>
      <c r="N754" s="3"/>
      <c r="O754" s="65"/>
      <c r="Q754" s="3"/>
      <c r="R754" s="3"/>
      <c r="S754" s="3"/>
      <c r="T754" s="3"/>
      <c r="V754" s="3"/>
      <c r="W754" s="3"/>
      <c r="X754" s="3"/>
      <c r="Y754" s="3"/>
      <c r="Z754" s="3"/>
      <c r="AA754" s="3"/>
      <c r="AB754" s="3"/>
      <c r="AC754" s="3"/>
      <c r="AD754" s="3"/>
      <c r="AE754" s="3"/>
      <c r="AF754" s="3"/>
      <c r="AG754" s="3"/>
      <c r="AH754" s="3"/>
      <c r="AI754" s="3"/>
      <c r="AJ754" s="3"/>
      <c r="AK754" s="3"/>
      <c r="AL754" s="3"/>
      <c r="AM754" s="3"/>
      <c r="AN754" s="3"/>
      <c r="AO754" s="3"/>
      <c r="AP754" s="3"/>
      <c r="AQ754" s="3"/>
      <c r="AR754" s="3"/>
      <c r="AS754" s="3"/>
      <c r="AT754" s="3"/>
      <c r="AU754" s="3"/>
      <c r="AV754" s="3"/>
      <c r="AW754" s="3"/>
    </row>
    <row r="755" spans="12:49" x14ac:dyDescent="0.35">
      <c r="L755" s="3"/>
      <c r="M755" s="3"/>
      <c r="N755" s="3"/>
      <c r="O755" s="65"/>
      <c r="Q755" s="3"/>
      <c r="R755" s="3"/>
      <c r="S755" s="3"/>
      <c r="T755" s="3"/>
      <c r="V755" s="3"/>
      <c r="W755" s="3"/>
      <c r="X755" s="3"/>
      <c r="Y755" s="3"/>
      <c r="Z755" s="3"/>
      <c r="AA755" s="3"/>
      <c r="AB755" s="3"/>
      <c r="AC755" s="3"/>
      <c r="AD755" s="3"/>
      <c r="AE755" s="3"/>
      <c r="AF755" s="3"/>
      <c r="AG755" s="3"/>
      <c r="AH755" s="3"/>
      <c r="AI755" s="3"/>
      <c r="AJ755" s="3"/>
      <c r="AK755" s="3"/>
      <c r="AL755" s="3"/>
      <c r="AM755" s="3"/>
      <c r="AN755" s="3"/>
      <c r="AO755" s="3"/>
      <c r="AP755" s="3"/>
      <c r="AQ755" s="3"/>
      <c r="AR755" s="3"/>
      <c r="AS755" s="3"/>
      <c r="AT755" s="3"/>
      <c r="AU755" s="3"/>
      <c r="AV755" s="3"/>
      <c r="AW755" s="3"/>
    </row>
    <row r="756" spans="12:49" x14ac:dyDescent="0.35">
      <c r="L756" s="3"/>
      <c r="M756" s="3"/>
      <c r="N756" s="3"/>
      <c r="O756" s="65"/>
      <c r="Q756" s="3"/>
      <c r="R756" s="3"/>
      <c r="S756" s="3"/>
      <c r="T756" s="3"/>
      <c r="V756" s="3"/>
      <c r="W756" s="3"/>
      <c r="X756" s="3"/>
      <c r="Y756" s="3"/>
      <c r="Z756" s="3"/>
      <c r="AA756" s="3"/>
      <c r="AB756" s="3"/>
      <c r="AC756" s="3"/>
      <c r="AD756" s="3"/>
      <c r="AE756" s="3"/>
      <c r="AF756" s="3"/>
      <c r="AG756" s="3"/>
      <c r="AH756" s="3"/>
      <c r="AI756" s="3"/>
      <c r="AJ756" s="3"/>
      <c r="AK756" s="3"/>
      <c r="AL756" s="3"/>
      <c r="AM756" s="3"/>
      <c r="AN756" s="3"/>
      <c r="AO756" s="3"/>
      <c r="AP756" s="3"/>
      <c r="AQ756" s="3"/>
      <c r="AR756" s="3"/>
      <c r="AS756" s="3"/>
      <c r="AT756" s="3"/>
      <c r="AU756" s="3"/>
      <c r="AV756" s="3"/>
      <c r="AW756" s="3"/>
    </row>
    <row r="757" spans="12:49" x14ac:dyDescent="0.35">
      <c r="L757" s="3"/>
      <c r="M757" s="3"/>
      <c r="N757" s="3"/>
      <c r="O757" s="65"/>
      <c r="Q757" s="3"/>
      <c r="R757" s="3"/>
      <c r="S757" s="3"/>
      <c r="T757" s="3"/>
      <c r="V757" s="3"/>
      <c r="W757" s="3"/>
      <c r="X757" s="3"/>
      <c r="Y757" s="3"/>
      <c r="Z757" s="3"/>
      <c r="AA757" s="3"/>
      <c r="AB757" s="3"/>
      <c r="AC757" s="3"/>
      <c r="AD757" s="3"/>
      <c r="AE757" s="3"/>
      <c r="AF757" s="3"/>
      <c r="AG757" s="3"/>
      <c r="AH757" s="3"/>
      <c r="AI757" s="3"/>
      <c r="AJ757" s="3"/>
      <c r="AK757" s="3"/>
      <c r="AL757" s="3"/>
      <c r="AM757" s="3"/>
      <c r="AN757" s="3"/>
      <c r="AO757" s="3"/>
      <c r="AP757" s="3"/>
      <c r="AQ757" s="3"/>
      <c r="AR757" s="3"/>
      <c r="AS757" s="3"/>
      <c r="AT757" s="3"/>
      <c r="AU757" s="3"/>
      <c r="AV757" s="3"/>
      <c r="AW757" s="3"/>
    </row>
    <row r="758" spans="12:49" x14ac:dyDescent="0.35">
      <c r="L758" s="3"/>
      <c r="M758" s="3"/>
      <c r="N758" s="3"/>
      <c r="O758" s="65"/>
      <c r="Q758" s="3"/>
      <c r="R758" s="3"/>
      <c r="S758" s="3"/>
      <c r="T758" s="3"/>
      <c r="V758" s="3"/>
      <c r="W758" s="3"/>
      <c r="X758" s="3"/>
      <c r="Y758" s="3"/>
      <c r="Z758" s="3"/>
      <c r="AA758" s="3"/>
      <c r="AB758" s="3"/>
      <c r="AC758" s="3"/>
      <c r="AD758" s="3"/>
      <c r="AE758" s="3"/>
      <c r="AF758" s="3"/>
      <c r="AG758" s="3"/>
      <c r="AH758" s="3"/>
      <c r="AI758" s="3"/>
      <c r="AJ758" s="3"/>
      <c r="AK758" s="3"/>
      <c r="AL758" s="3"/>
      <c r="AM758" s="3"/>
      <c r="AN758" s="3"/>
      <c r="AO758" s="3"/>
      <c r="AP758" s="3"/>
      <c r="AQ758" s="3"/>
      <c r="AR758" s="3"/>
      <c r="AS758" s="3"/>
      <c r="AT758" s="3"/>
      <c r="AU758" s="3"/>
      <c r="AV758" s="3"/>
      <c r="AW758" s="3"/>
    </row>
    <row r="759" spans="12:49" x14ac:dyDescent="0.35">
      <c r="L759" s="3"/>
      <c r="M759" s="3"/>
      <c r="N759" s="3"/>
      <c r="O759" s="65"/>
      <c r="Q759" s="3"/>
      <c r="R759" s="3"/>
      <c r="S759" s="3"/>
      <c r="T759" s="3"/>
      <c r="V759" s="3"/>
      <c r="W759" s="3"/>
      <c r="X759" s="3"/>
      <c r="Y759" s="3"/>
      <c r="Z759" s="3"/>
      <c r="AA759" s="3"/>
      <c r="AB759" s="3"/>
      <c r="AC759" s="3"/>
      <c r="AD759" s="3"/>
      <c r="AE759" s="3"/>
      <c r="AF759" s="3"/>
      <c r="AG759" s="3"/>
      <c r="AH759" s="3"/>
      <c r="AI759" s="3"/>
      <c r="AJ759" s="3"/>
      <c r="AK759" s="3"/>
      <c r="AL759" s="3"/>
      <c r="AM759" s="3"/>
      <c r="AN759" s="3"/>
      <c r="AO759" s="3"/>
      <c r="AP759" s="3"/>
      <c r="AQ759" s="3"/>
      <c r="AR759" s="3"/>
      <c r="AS759" s="3"/>
      <c r="AT759" s="3"/>
      <c r="AU759" s="3"/>
      <c r="AV759" s="3"/>
      <c r="AW759" s="3"/>
    </row>
    <row r="760" spans="12:49" x14ac:dyDescent="0.35">
      <c r="L760" s="3"/>
      <c r="M760" s="3"/>
      <c r="N760" s="3"/>
      <c r="O760" s="65"/>
      <c r="Q760" s="3"/>
      <c r="R760" s="3"/>
      <c r="S760" s="3"/>
      <c r="T760" s="3"/>
      <c r="V760" s="3"/>
      <c r="W760" s="3"/>
      <c r="X760" s="3"/>
      <c r="Y760" s="3"/>
      <c r="Z760" s="3"/>
      <c r="AA760" s="3"/>
      <c r="AB760" s="3"/>
      <c r="AC760" s="3"/>
      <c r="AD760" s="3"/>
      <c r="AE760" s="3"/>
      <c r="AF760" s="3"/>
      <c r="AG760" s="3"/>
      <c r="AH760" s="3"/>
      <c r="AI760" s="3"/>
      <c r="AJ760" s="3"/>
      <c r="AK760" s="3"/>
      <c r="AL760" s="3"/>
      <c r="AM760" s="3"/>
      <c r="AN760" s="3"/>
      <c r="AO760" s="3"/>
      <c r="AP760" s="3"/>
      <c r="AQ760" s="3"/>
      <c r="AR760" s="3"/>
      <c r="AS760" s="3"/>
      <c r="AT760" s="3"/>
      <c r="AU760" s="3"/>
      <c r="AV760" s="3"/>
      <c r="AW760" s="3"/>
    </row>
    <row r="761" spans="12:49" x14ac:dyDescent="0.35">
      <c r="L761" s="3"/>
      <c r="M761" s="3"/>
      <c r="N761" s="3"/>
      <c r="O761" s="65"/>
      <c r="Q761" s="3"/>
      <c r="R761" s="3"/>
      <c r="S761" s="3"/>
      <c r="T761" s="3"/>
      <c r="V761" s="3"/>
      <c r="W761" s="3"/>
      <c r="X761" s="3"/>
      <c r="Y761" s="3"/>
      <c r="Z761" s="3"/>
      <c r="AA761" s="3"/>
      <c r="AB761" s="3"/>
      <c r="AC761" s="3"/>
      <c r="AD761" s="3"/>
      <c r="AE761" s="3"/>
      <c r="AF761" s="3"/>
      <c r="AG761" s="3"/>
      <c r="AH761" s="3"/>
      <c r="AI761" s="3"/>
      <c r="AJ761" s="3"/>
      <c r="AK761" s="3"/>
      <c r="AL761" s="3"/>
      <c r="AM761" s="3"/>
      <c r="AN761" s="3"/>
      <c r="AO761" s="3"/>
      <c r="AP761" s="3"/>
      <c r="AQ761" s="3"/>
      <c r="AR761" s="3"/>
      <c r="AS761" s="3"/>
      <c r="AT761" s="3"/>
      <c r="AU761" s="3"/>
      <c r="AV761" s="3"/>
      <c r="AW761" s="3"/>
    </row>
    <row r="762" spans="12:49" x14ac:dyDescent="0.35">
      <c r="L762" s="3"/>
      <c r="M762" s="3"/>
      <c r="N762" s="3"/>
      <c r="O762" s="65"/>
      <c r="Q762" s="3"/>
      <c r="R762" s="3"/>
      <c r="S762" s="3"/>
      <c r="T762" s="3"/>
      <c r="V762" s="3"/>
      <c r="W762" s="3"/>
      <c r="X762" s="3"/>
      <c r="Y762" s="3"/>
      <c r="Z762" s="3"/>
      <c r="AA762" s="3"/>
      <c r="AB762" s="3"/>
      <c r="AC762" s="3"/>
      <c r="AD762" s="3"/>
      <c r="AE762" s="3"/>
      <c r="AF762" s="3"/>
      <c r="AG762" s="3"/>
      <c r="AH762" s="3"/>
      <c r="AI762" s="3"/>
      <c r="AJ762" s="3"/>
      <c r="AK762" s="3"/>
      <c r="AL762" s="3"/>
      <c r="AM762" s="3"/>
      <c r="AN762" s="3"/>
      <c r="AO762" s="3"/>
      <c r="AP762" s="3"/>
      <c r="AQ762" s="3"/>
      <c r="AR762" s="3"/>
      <c r="AS762" s="3"/>
      <c r="AT762" s="3"/>
      <c r="AU762" s="3"/>
      <c r="AV762" s="3"/>
      <c r="AW762" s="3"/>
    </row>
    <row r="763" spans="12:49" x14ac:dyDescent="0.35">
      <c r="L763" s="3"/>
      <c r="M763" s="3"/>
      <c r="N763" s="3"/>
      <c r="O763" s="65"/>
      <c r="Q763" s="3"/>
      <c r="R763" s="3"/>
      <c r="S763" s="3"/>
      <c r="T763" s="3"/>
      <c r="V763" s="3"/>
      <c r="W763" s="3"/>
      <c r="X763" s="3"/>
      <c r="Y763" s="3"/>
      <c r="Z763" s="3"/>
      <c r="AA763" s="3"/>
      <c r="AB763" s="3"/>
      <c r="AC763" s="3"/>
      <c r="AD763" s="3"/>
      <c r="AE763" s="3"/>
      <c r="AF763" s="3"/>
      <c r="AG763" s="3"/>
      <c r="AH763" s="3"/>
      <c r="AI763" s="3"/>
      <c r="AJ763" s="3"/>
      <c r="AK763" s="3"/>
      <c r="AL763" s="3"/>
      <c r="AM763" s="3"/>
      <c r="AN763" s="3"/>
      <c r="AO763" s="3"/>
      <c r="AP763" s="3"/>
      <c r="AQ763" s="3"/>
      <c r="AR763" s="3"/>
      <c r="AS763" s="3"/>
      <c r="AT763" s="3"/>
      <c r="AU763" s="3"/>
      <c r="AV763" s="3"/>
      <c r="AW763" s="3"/>
    </row>
    <row r="764" spans="12:49" x14ac:dyDescent="0.35">
      <c r="L764" s="3"/>
      <c r="M764" s="3"/>
      <c r="N764" s="3"/>
      <c r="O764" s="65"/>
      <c r="Q764" s="3"/>
      <c r="R764" s="3"/>
      <c r="S764" s="3"/>
      <c r="T764" s="3"/>
      <c r="V764" s="3"/>
      <c r="W764" s="3"/>
      <c r="X764" s="3"/>
      <c r="Y764" s="3"/>
      <c r="Z764" s="3"/>
      <c r="AA764" s="3"/>
      <c r="AB764" s="3"/>
      <c r="AC764" s="3"/>
      <c r="AD764" s="3"/>
      <c r="AE764" s="3"/>
      <c r="AF764" s="3"/>
      <c r="AG764" s="3"/>
      <c r="AH764" s="3"/>
      <c r="AI764" s="3"/>
      <c r="AJ764" s="3"/>
      <c r="AK764" s="3"/>
      <c r="AL764" s="3"/>
      <c r="AM764" s="3"/>
      <c r="AN764" s="3"/>
      <c r="AO764" s="3"/>
      <c r="AP764" s="3"/>
      <c r="AQ764" s="3"/>
      <c r="AR764" s="3"/>
      <c r="AS764" s="3"/>
      <c r="AT764" s="3"/>
      <c r="AU764" s="3"/>
      <c r="AV764" s="3"/>
      <c r="AW764" s="3"/>
    </row>
    <row r="765" spans="12:49" x14ac:dyDescent="0.35">
      <c r="L765" s="3"/>
      <c r="M765" s="3"/>
      <c r="N765" s="3"/>
      <c r="O765" s="65"/>
      <c r="Q765" s="3"/>
      <c r="R765" s="3"/>
      <c r="S765" s="3"/>
      <c r="T765" s="3"/>
      <c r="V765" s="3"/>
      <c r="W765" s="3"/>
      <c r="X765" s="3"/>
      <c r="Y765" s="3"/>
      <c r="Z765" s="3"/>
      <c r="AA765" s="3"/>
      <c r="AB765" s="3"/>
      <c r="AC765" s="3"/>
      <c r="AD765" s="3"/>
      <c r="AE765" s="3"/>
      <c r="AF765" s="3"/>
      <c r="AG765" s="3"/>
      <c r="AH765" s="3"/>
      <c r="AI765" s="3"/>
      <c r="AJ765" s="3"/>
      <c r="AK765" s="3"/>
      <c r="AL765" s="3"/>
      <c r="AM765" s="3"/>
      <c r="AN765" s="3"/>
      <c r="AO765" s="3"/>
      <c r="AP765" s="3"/>
      <c r="AQ765" s="3"/>
      <c r="AR765" s="3"/>
      <c r="AS765" s="3"/>
      <c r="AT765" s="3"/>
      <c r="AU765" s="3"/>
      <c r="AV765" s="3"/>
      <c r="AW765" s="3"/>
    </row>
    <row r="766" spans="12:49" x14ac:dyDescent="0.35">
      <c r="L766" s="3"/>
      <c r="M766" s="3"/>
      <c r="N766" s="3"/>
      <c r="O766" s="65"/>
      <c r="Q766" s="3"/>
      <c r="R766" s="3"/>
      <c r="S766" s="3"/>
      <c r="T766" s="3"/>
      <c r="V766" s="3"/>
      <c r="W766" s="3"/>
      <c r="X766" s="3"/>
      <c r="Y766" s="3"/>
      <c r="Z766" s="3"/>
      <c r="AA766" s="3"/>
      <c r="AB766" s="3"/>
      <c r="AC766" s="3"/>
      <c r="AD766" s="3"/>
      <c r="AE766" s="3"/>
      <c r="AF766" s="3"/>
      <c r="AG766" s="3"/>
      <c r="AH766" s="3"/>
      <c r="AI766" s="3"/>
      <c r="AJ766" s="3"/>
      <c r="AK766" s="3"/>
      <c r="AL766" s="3"/>
      <c r="AM766" s="3"/>
      <c r="AN766" s="3"/>
      <c r="AO766" s="3"/>
      <c r="AP766" s="3"/>
      <c r="AQ766" s="3"/>
      <c r="AR766" s="3"/>
      <c r="AS766" s="3"/>
      <c r="AT766" s="3"/>
      <c r="AU766" s="3"/>
      <c r="AV766" s="3"/>
      <c r="AW766" s="3"/>
    </row>
    <row r="767" spans="12:49" x14ac:dyDescent="0.35">
      <c r="L767" s="3"/>
      <c r="M767" s="3"/>
      <c r="N767" s="3"/>
      <c r="O767" s="65"/>
      <c r="Q767" s="3"/>
      <c r="R767" s="3"/>
      <c r="S767" s="3"/>
      <c r="T767" s="3"/>
      <c r="V767" s="3"/>
      <c r="W767" s="3"/>
      <c r="X767" s="3"/>
      <c r="Y767" s="3"/>
      <c r="Z767" s="3"/>
      <c r="AA767" s="3"/>
      <c r="AB767" s="3"/>
      <c r="AC767" s="3"/>
      <c r="AD767" s="3"/>
      <c r="AE767" s="3"/>
      <c r="AF767" s="3"/>
      <c r="AG767" s="3"/>
      <c r="AH767" s="3"/>
      <c r="AI767" s="3"/>
      <c r="AJ767" s="3"/>
      <c r="AK767" s="3"/>
      <c r="AL767" s="3"/>
      <c r="AM767" s="3"/>
      <c r="AN767" s="3"/>
      <c r="AO767" s="3"/>
      <c r="AP767" s="3"/>
      <c r="AQ767" s="3"/>
      <c r="AR767" s="3"/>
      <c r="AS767" s="3"/>
      <c r="AT767" s="3"/>
      <c r="AU767" s="3"/>
      <c r="AV767" s="3"/>
      <c r="AW767" s="3"/>
    </row>
    <row r="768" spans="12:49" x14ac:dyDescent="0.35">
      <c r="L768" s="3"/>
      <c r="M768" s="3"/>
      <c r="N768" s="3"/>
      <c r="O768" s="65"/>
      <c r="Q768" s="3"/>
      <c r="R768" s="3"/>
      <c r="S768" s="3"/>
      <c r="T768" s="3"/>
      <c r="V768" s="3"/>
      <c r="W768" s="3"/>
      <c r="X768" s="3"/>
      <c r="Y768" s="3"/>
      <c r="Z768" s="3"/>
      <c r="AA768" s="3"/>
      <c r="AB768" s="3"/>
      <c r="AC768" s="3"/>
      <c r="AD768" s="3"/>
      <c r="AE768" s="3"/>
      <c r="AF768" s="3"/>
      <c r="AG768" s="3"/>
      <c r="AH768" s="3"/>
      <c r="AI768" s="3"/>
      <c r="AJ768" s="3"/>
      <c r="AK768" s="3"/>
      <c r="AL768" s="3"/>
      <c r="AM768" s="3"/>
      <c r="AN768" s="3"/>
      <c r="AO768" s="3"/>
      <c r="AP768" s="3"/>
      <c r="AQ768" s="3"/>
      <c r="AR768" s="3"/>
      <c r="AS768" s="3"/>
      <c r="AT768" s="3"/>
      <c r="AU768" s="3"/>
      <c r="AV768" s="3"/>
      <c r="AW768" s="3"/>
    </row>
    <row r="769" spans="12:49" x14ac:dyDescent="0.35">
      <c r="L769" s="3"/>
      <c r="M769" s="3"/>
      <c r="N769" s="3"/>
      <c r="O769" s="65"/>
      <c r="Q769" s="3"/>
      <c r="R769" s="3"/>
      <c r="S769" s="3"/>
      <c r="T769" s="3"/>
      <c r="V769" s="3"/>
      <c r="W769" s="3"/>
      <c r="X769" s="3"/>
      <c r="Y769" s="3"/>
      <c r="Z769" s="3"/>
      <c r="AA769" s="3"/>
      <c r="AB769" s="3"/>
      <c r="AC769" s="3"/>
      <c r="AD769" s="3"/>
      <c r="AE769" s="3"/>
      <c r="AF769" s="3"/>
      <c r="AG769" s="3"/>
      <c r="AH769" s="3"/>
      <c r="AI769" s="3"/>
      <c r="AJ769" s="3"/>
      <c r="AK769" s="3"/>
      <c r="AL769" s="3"/>
      <c r="AM769" s="3"/>
      <c r="AN769" s="3"/>
      <c r="AO769" s="3"/>
      <c r="AP769" s="3"/>
      <c r="AQ769" s="3"/>
      <c r="AR769" s="3"/>
      <c r="AS769" s="3"/>
      <c r="AT769" s="3"/>
      <c r="AU769" s="3"/>
      <c r="AV769" s="3"/>
      <c r="AW769" s="3"/>
    </row>
    <row r="770" spans="12:49" x14ac:dyDescent="0.35">
      <c r="L770" s="3"/>
      <c r="M770" s="3"/>
      <c r="N770" s="3"/>
      <c r="O770" s="65"/>
      <c r="Q770" s="3"/>
      <c r="R770" s="3"/>
      <c r="S770" s="3"/>
      <c r="T770" s="3"/>
      <c r="V770" s="3"/>
      <c r="W770" s="3"/>
      <c r="X770" s="3"/>
      <c r="Y770" s="3"/>
      <c r="Z770" s="3"/>
      <c r="AA770" s="3"/>
      <c r="AB770" s="3"/>
      <c r="AC770" s="3"/>
      <c r="AD770" s="3"/>
      <c r="AE770" s="3"/>
      <c r="AF770" s="3"/>
      <c r="AG770" s="3"/>
      <c r="AH770" s="3"/>
      <c r="AI770" s="3"/>
      <c r="AJ770" s="3"/>
      <c r="AK770" s="3"/>
      <c r="AL770" s="3"/>
      <c r="AM770" s="3"/>
      <c r="AN770" s="3"/>
      <c r="AO770" s="3"/>
      <c r="AP770" s="3"/>
      <c r="AQ770" s="3"/>
      <c r="AR770" s="3"/>
      <c r="AS770" s="3"/>
      <c r="AT770" s="3"/>
      <c r="AU770" s="3"/>
      <c r="AV770" s="3"/>
      <c r="AW770" s="3"/>
    </row>
    <row r="771" spans="12:49" x14ac:dyDescent="0.35">
      <c r="L771" s="3"/>
      <c r="M771" s="3"/>
      <c r="N771" s="3"/>
      <c r="O771" s="65"/>
      <c r="Q771" s="3"/>
      <c r="R771" s="3"/>
      <c r="S771" s="3"/>
      <c r="T771" s="3"/>
      <c r="V771" s="3"/>
      <c r="W771" s="3"/>
      <c r="X771" s="3"/>
      <c r="Y771" s="3"/>
      <c r="Z771" s="3"/>
      <c r="AA771" s="3"/>
      <c r="AB771" s="3"/>
      <c r="AC771" s="3"/>
      <c r="AD771" s="3"/>
      <c r="AE771" s="3"/>
      <c r="AF771" s="3"/>
      <c r="AG771" s="3"/>
      <c r="AH771" s="3"/>
      <c r="AI771" s="3"/>
      <c r="AJ771" s="3"/>
      <c r="AK771" s="3"/>
      <c r="AL771" s="3"/>
      <c r="AM771" s="3"/>
      <c r="AN771" s="3"/>
      <c r="AO771" s="3"/>
      <c r="AP771" s="3"/>
      <c r="AQ771" s="3"/>
      <c r="AR771" s="3"/>
      <c r="AS771" s="3"/>
      <c r="AT771" s="3"/>
      <c r="AU771" s="3"/>
      <c r="AV771" s="3"/>
      <c r="AW771" s="3"/>
    </row>
    <row r="772" spans="12:49" x14ac:dyDescent="0.35">
      <c r="L772" s="3"/>
      <c r="M772" s="3"/>
      <c r="N772" s="3"/>
      <c r="O772" s="65"/>
      <c r="Q772" s="3"/>
      <c r="R772" s="3"/>
      <c r="S772" s="3"/>
      <c r="T772" s="3"/>
      <c r="V772" s="3"/>
      <c r="W772" s="3"/>
      <c r="X772" s="3"/>
      <c r="Y772" s="3"/>
      <c r="Z772" s="3"/>
      <c r="AA772" s="3"/>
      <c r="AB772" s="3"/>
      <c r="AC772" s="3"/>
      <c r="AD772" s="3"/>
      <c r="AE772" s="3"/>
      <c r="AF772" s="3"/>
      <c r="AG772" s="3"/>
      <c r="AH772" s="3"/>
      <c r="AI772" s="3"/>
      <c r="AJ772" s="3"/>
      <c r="AK772" s="3"/>
      <c r="AL772" s="3"/>
      <c r="AM772" s="3"/>
      <c r="AN772" s="3"/>
      <c r="AO772" s="3"/>
      <c r="AP772" s="3"/>
      <c r="AQ772" s="3"/>
      <c r="AR772" s="3"/>
      <c r="AS772" s="3"/>
      <c r="AT772" s="3"/>
      <c r="AU772" s="3"/>
      <c r="AV772" s="3"/>
      <c r="AW772" s="3"/>
    </row>
    <row r="773" spans="12:49" x14ac:dyDescent="0.35">
      <c r="L773" s="3"/>
      <c r="M773" s="3"/>
      <c r="N773" s="3"/>
      <c r="O773" s="65"/>
      <c r="Q773" s="3"/>
      <c r="R773" s="3"/>
      <c r="S773" s="3"/>
      <c r="T773" s="3"/>
      <c r="V773" s="3"/>
      <c r="W773" s="3"/>
      <c r="X773" s="3"/>
      <c r="Y773" s="3"/>
      <c r="Z773" s="3"/>
      <c r="AA773" s="3"/>
      <c r="AB773" s="3"/>
      <c r="AC773" s="3"/>
      <c r="AD773" s="3"/>
      <c r="AE773" s="3"/>
      <c r="AF773" s="3"/>
      <c r="AG773" s="3"/>
      <c r="AH773" s="3"/>
      <c r="AI773" s="3"/>
      <c r="AJ773" s="3"/>
      <c r="AK773" s="3"/>
      <c r="AL773" s="3"/>
      <c r="AM773" s="3"/>
      <c r="AN773" s="3"/>
      <c r="AO773" s="3"/>
      <c r="AP773" s="3"/>
      <c r="AQ773" s="3"/>
      <c r="AR773" s="3"/>
      <c r="AS773" s="3"/>
      <c r="AT773" s="3"/>
      <c r="AU773" s="3"/>
      <c r="AV773" s="3"/>
      <c r="AW773" s="3"/>
    </row>
    <row r="774" spans="12:49" x14ac:dyDescent="0.35">
      <c r="L774" s="3"/>
      <c r="M774" s="3"/>
      <c r="N774" s="3"/>
      <c r="O774" s="65"/>
      <c r="Q774" s="3"/>
      <c r="R774" s="3"/>
      <c r="S774" s="3"/>
      <c r="T774" s="3"/>
      <c r="V774" s="3"/>
      <c r="W774" s="3"/>
      <c r="X774" s="3"/>
      <c r="Y774" s="3"/>
      <c r="Z774" s="3"/>
      <c r="AA774" s="3"/>
      <c r="AB774" s="3"/>
      <c r="AC774" s="3"/>
      <c r="AD774" s="3"/>
      <c r="AE774" s="3"/>
      <c r="AF774" s="3"/>
      <c r="AG774" s="3"/>
      <c r="AH774" s="3"/>
      <c r="AI774" s="3"/>
      <c r="AJ774" s="3"/>
      <c r="AK774" s="3"/>
      <c r="AL774" s="3"/>
      <c r="AM774" s="3"/>
      <c r="AN774" s="3"/>
      <c r="AO774" s="3"/>
      <c r="AP774" s="3"/>
      <c r="AQ774" s="3"/>
      <c r="AR774" s="3"/>
      <c r="AS774" s="3"/>
      <c r="AT774" s="3"/>
      <c r="AU774" s="3"/>
      <c r="AV774" s="3"/>
      <c r="AW774" s="3"/>
    </row>
    <row r="775" spans="12:49" x14ac:dyDescent="0.35">
      <c r="L775" s="3"/>
      <c r="M775" s="3"/>
      <c r="N775" s="3"/>
      <c r="O775" s="65"/>
      <c r="Q775" s="3"/>
      <c r="R775" s="3"/>
      <c r="S775" s="3"/>
      <c r="T775" s="3"/>
      <c r="V775" s="3"/>
      <c r="W775" s="3"/>
      <c r="X775" s="3"/>
      <c r="Y775" s="3"/>
      <c r="Z775" s="3"/>
      <c r="AA775" s="3"/>
      <c r="AB775" s="3"/>
      <c r="AC775" s="3"/>
      <c r="AD775" s="3"/>
      <c r="AE775" s="3"/>
      <c r="AF775" s="3"/>
      <c r="AG775" s="3"/>
      <c r="AH775" s="3"/>
      <c r="AI775" s="3"/>
      <c r="AJ775" s="3"/>
      <c r="AK775" s="3"/>
      <c r="AL775" s="3"/>
      <c r="AM775" s="3"/>
      <c r="AN775" s="3"/>
      <c r="AO775" s="3"/>
      <c r="AP775" s="3"/>
      <c r="AQ775" s="3"/>
      <c r="AR775" s="3"/>
      <c r="AS775" s="3"/>
      <c r="AT775" s="3"/>
      <c r="AU775" s="3"/>
      <c r="AV775" s="3"/>
      <c r="AW775" s="3"/>
    </row>
    <row r="776" spans="12:49" x14ac:dyDescent="0.35">
      <c r="L776" s="3"/>
      <c r="M776" s="3"/>
      <c r="N776" s="3"/>
      <c r="O776" s="65"/>
      <c r="Q776" s="3"/>
      <c r="R776" s="3"/>
      <c r="S776" s="3"/>
      <c r="T776" s="3"/>
      <c r="V776" s="3"/>
      <c r="W776" s="3"/>
      <c r="X776" s="3"/>
      <c r="Y776" s="3"/>
      <c r="Z776" s="3"/>
      <c r="AA776" s="3"/>
      <c r="AB776" s="3"/>
      <c r="AC776" s="3"/>
      <c r="AD776" s="3"/>
      <c r="AE776" s="3"/>
      <c r="AF776" s="3"/>
      <c r="AG776" s="3"/>
      <c r="AH776" s="3"/>
      <c r="AI776" s="3"/>
      <c r="AJ776" s="3"/>
      <c r="AK776" s="3"/>
      <c r="AL776" s="3"/>
      <c r="AM776" s="3"/>
      <c r="AN776" s="3"/>
      <c r="AO776" s="3"/>
      <c r="AP776" s="3"/>
      <c r="AQ776" s="3"/>
      <c r="AR776" s="3"/>
      <c r="AS776" s="3"/>
      <c r="AT776" s="3"/>
      <c r="AU776" s="3"/>
      <c r="AV776" s="3"/>
      <c r="AW776" s="3"/>
    </row>
    <row r="777" spans="12:49" x14ac:dyDescent="0.35">
      <c r="L777" s="3"/>
      <c r="M777" s="3"/>
      <c r="N777" s="3"/>
      <c r="O777" s="65"/>
      <c r="Q777" s="3"/>
      <c r="R777" s="3"/>
      <c r="S777" s="3"/>
      <c r="T777" s="3"/>
      <c r="V777" s="3"/>
      <c r="W777" s="3"/>
      <c r="X777" s="3"/>
      <c r="Y777" s="3"/>
      <c r="Z777" s="3"/>
      <c r="AA777" s="3"/>
      <c r="AB777" s="3"/>
      <c r="AC777" s="3"/>
      <c r="AD777" s="3"/>
      <c r="AE777" s="3"/>
      <c r="AF777" s="3"/>
      <c r="AG777" s="3"/>
      <c r="AH777" s="3"/>
      <c r="AI777" s="3"/>
      <c r="AJ777" s="3"/>
      <c r="AK777" s="3"/>
      <c r="AL777" s="3"/>
      <c r="AM777" s="3"/>
      <c r="AN777" s="3"/>
      <c r="AO777" s="3"/>
      <c r="AP777" s="3"/>
      <c r="AQ777" s="3"/>
      <c r="AR777" s="3"/>
      <c r="AS777" s="3"/>
      <c r="AT777" s="3"/>
      <c r="AU777" s="3"/>
      <c r="AV777" s="3"/>
      <c r="AW777" s="3"/>
    </row>
    <row r="778" spans="12:49" x14ac:dyDescent="0.35">
      <c r="L778" s="3"/>
      <c r="M778" s="3"/>
      <c r="N778" s="3"/>
      <c r="O778" s="65"/>
      <c r="Q778" s="3"/>
      <c r="R778" s="3"/>
      <c r="S778" s="3"/>
      <c r="T778" s="3"/>
      <c r="V778" s="3"/>
      <c r="W778" s="3"/>
      <c r="X778" s="3"/>
      <c r="Y778" s="3"/>
      <c r="Z778" s="3"/>
      <c r="AA778" s="3"/>
      <c r="AB778" s="3"/>
      <c r="AC778" s="3"/>
      <c r="AD778" s="3"/>
      <c r="AE778" s="3"/>
      <c r="AF778" s="3"/>
      <c r="AG778" s="3"/>
      <c r="AH778" s="3"/>
      <c r="AI778" s="3"/>
      <c r="AJ778" s="3"/>
      <c r="AK778" s="3"/>
      <c r="AL778" s="3"/>
      <c r="AM778" s="3"/>
      <c r="AN778" s="3"/>
      <c r="AO778" s="3"/>
      <c r="AP778" s="3"/>
      <c r="AQ778" s="3"/>
      <c r="AR778" s="3"/>
      <c r="AS778" s="3"/>
      <c r="AT778" s="3"/>
      <c r="AU778" s="3"/>
      <c r="AV778" s="3"/>
      <c r="AW778" s="3"/>
    </row>
    <row r="779" spans="12:49" x14ac:dyDescent="0.35">
      <c r="L779" s="3"/>
      <c r="M779" s="3"/>
      <c r="N779" s="3"/>
      <c r="O779" s="65"/>
      <c r="Q779" s="3"/>
      <c r="R779" s="3"/>
      <c r="S779" s="3"/>
      <c r="T779" s="3"/>
      <c r="V779" s="3"/>
      <c r="W779" s="3"/>
      <c r="X779" s="3"/>
      <c r="Y779" s="3"/>
      <c r="Z779" s="3"/>
      <c r="AA779" s="3"/>
      <c r="AB779" s="3"/>
      <c r="AC779" s="3"/>
      <c r="AD779" s="3"/>
      <c r="AE779" s="3"/>
      <c r="AF779" s="3"/>
      <c r="AG779" s="3"/>
      <c r="AH779" s="3"/>
      <c r="AI779" s="3"/>
      <c r="AJ779" s="3"/>
      <c r="AK779" s="3"/>
      <c r="AL779" s="3"/>
      <c r="AM779" s="3"/>
      <c r="AN779" s="3"/>
      <c r="AO779" s="3"/>
      <c r="AP779" s="3"/>
      <c r="AQ779" s="3"/>
      <c r="AR779" s="3"/>
      <c r="AS779" s="3"/>
      <c r="AT779" s="3"/>
      <c r="AU779" s="3"/>
      <c r="AV779" s="3"/>
      <c r="AW779" s="3"/>
    </row>
    <row r="780" spans="12:49" x14ac:dyDescent="0.35">
      <c r="L780" s="3"/>
      <c r="M780" s="3"/>
      <c r="N780" s="3"/>
      <c r="O780" s="65"/>
      <c r="Q780" s="3"/>
      <c r="R780" s="3"/>
      <c r="S780" s="3"/>
      <c r="T780" s="3"/>
      <c r="V780" s="3"/>
      <c r="W780" s="3"/>
      <c r="X780" s="3"/>
      <c r="Y780" s="3"/>
      <c r="Z780" s="3"/>
      <c r="AA780" s="3"/>
      <c r="AB780" s="3"/>
      <c r="AC780" s="3"/>
      <c r="AD780" s="3"/>
      <c r="AE780" s="3"/>
      <c r="AF780" s="3"/>
      <c r="AG780" s="3"/>
      <c r="AH780" s="3"/>
      <c r="AI780" s="3"/>
      <c r="AJ780" s="3"/>
      <c r="AK780" s="3"/>
      <c r="AL780" s="3"/>
      <c r="AM780" s="3"/>
      <c r="AN780" s="3"/>
      <c r="AO780" s="3"/>
      <c r="AP780" s="3"/>
      <c r="AQ780" s="3"/>
      <c r="AR780" s="3"/>
      <c r="AS780" s="3"/>
      <c r="AT780" s="3"/>
      <c r="AU780" s="3"/>
      <c r="AV780" s="3"/>
      <c r="AW780" s="3"/>
    </row>
    <row r="781" spans="12:49" x14ac:dyDescent="0.35">
      <c r="L781" s="3"/>
      <c r="M781" s="3"/>
      <c r="N781" s="3"/>
      <c r="O781" s="65"/>
      <c r="Q781" s="3"/>
      <c r="R781" s="3"/>
      <c r="S781" s="3"/>
      <c r="T781" s="3"/>
      <c r="V781" s="3"/>
      <c r="W781" s="3"/>
      <c r="X781" s="3"/>
      <c r="Y781" s="3"/>
      <c r="Z781" s="3"/>
      <c r="AA781" s="3"/>
      <c r="AB781" s="3"/>
      <c r="AC781" s="3"/>
      <c r="AD781" s="3"/>
      <c r="AE781" s="3"/>
      <c r="AF781" s="3"/>
      <c r="AG781" s="3"/>
      <c r="AH781" s="3"/>
      <c r="AI781" s="3"/>
      <c r="AJ781" s="3"/>
      <c r="AK781" s="3"/>
      <c r="AL781" s="3"/>
      <c r="AM781" s="3"/>
      <c r="AN781" s="3"/>
      <c r="AO781" s="3"/>
      <c r="AP781" s="3"/>
      <c r="AQ781" s="3"/>
      <c r="AR781" s="3"/>
      <c r="AS781" s="3"/>
      <c r="AT781" s="3"/>
      <c r="AU781" s="3"/>
      <c r="AV781" s="3"/>
      <c r="AW781" s="3"/>
    </row>
    <row r="782" spans="12:49" x14ac:dyDescent="0.35">
      <c r="L782" s="3"/>
      <c r="M782" s="3"/>
      <c r="N782" s="3"/>
      <c r="O782" s="65"/>
      <c r="Q782" s="3"/>
      <c r="R782" s="3"/>
      <c r="S782" s="3"/>
      <c r="T782" s="3"/>
      <c r="V782" s="3"/>
      <c r="W782" s="3"/>
      <c r="X782" s="3"/>
      <c r="Y782" s="3"/>
      <c r="Z782" s="3"/>
      <c r="AA782" s="3"/>
      <c r="AB782" s="3"/>
      <c r="AC782" s="3"/>
      <c r="AD782" s="3"/>
      <c r="AE782" s="3"/>
      <c r="AF782" s="3"/>
      <c r="AG782" s="3"/>
      <c r="AH782" s="3"/>
      <c r="AI782" s="3"/>
      <c r="AJ782" s="3"/>
      <c r="AK782" s="3"/>
      <c r="AL782" s="3"/>
      <c r="AM782" s="3"/>
      <c r="AN782" s="3"/>
      <c r="AO782" s="3"/>
      <c r="AP782" s="3"/>
      <c r="AQ782" s="3"/>
      <c r="AR782" s="3"/>
      <c r="AS782" s="3"/>
      <c r="AT782" s="3"/>
      <c r="AU782" s="3"/>
      <c r="AV782" s="3"/>
      <c r="AW782" s="3"/>
    </row>
    <row r="783" spans="12:49" x14ac:dyDescent="0.35">
      <c r="L783" s="3"/>
      <c r="M783" s="3"/>
      <c r="N783" s="3"/>
      <c r="O783" s="65"/>
      <c r="Q783" s="3"/>
      <c r="R783" s="3"/>
      <c r="S783" s="3"/>
      <c r="T783" s="3"/>
      <c r="V783" s="3"/>
      <c r="W783" s="3"/>
      <c r="X783" s="3"/>
      <c r="Y783" s="3"/>
      <c r="Z783" s="3"/>
      <c r="AA783" s="3"/>
      <c r="AB783" s="3"/>
      <c r="AC783" s="3"/>
      <c r="AD783" s="3"/>
      <c r="AE783" s="3"/>
      <c r="AF783" s="3"/>
      <c r="AG783" s="3"/>
      <c r="AH783" s="3"/>
      <c r="AI783" s="3"/>
      <c r="AJ783" s="3"/>
      <c r="AK783" s="3"/>
      <c r="AL783" s="3"/>
      <c r="AM783" s="3"/>
      <c r="AN783" s="3"/>
      <c r="AO783" s="3"/>
      <c r="AP783" s="3"/>
      <c r="AQ783" s="3"/>
      <c r="AR783" s="3"/>
      <c r="AS783" s="3"/>
      <c r="AT783" s="3"/>
      <c r="AU783" s="3"/>
      <c r="AV783" s="3"/>
      <c r="AW783" s="3"/>
    </row>
    <row r="784" spans="12:49" x14ac:dyDescent="0.35">
      <c r="L784" s="3"/>
      <c r="M784" s="3"/>
      <c r="N784" s="3"/>
      <c r="O784" s="65"/>
      <c r="Q784" s="3"/>
      <c r="R784" s="3"/>
      <c r="S784" s="3"/>
      <c r="T784" s="3"/>
      <c r="V784" s="3"/>
      <c r="W784" s="3"/>
      <c r="X784" s="3"/>
      <c r="Y784" s="3"/>
      <c r="Z784" s="3"/>
      <c r="AA784" s="3"/>
      <c r="AB784" s="3"/>
      <c r="AC784" s="3"/>
      <c r="AD784" s="3"/>
      <c r="AE784" s="3"/>
      <c r="AF784" s="3"/>
      <c r="AG784" s="3"/>
      <c r="AH784" s="3"/>
      <c r="AI784" s="3"/>
      <c r="AJ784" s="3"/>
      <c r="AK784" s="3"/>
      <c r="AL784" s="3"/>
      <c r="AM784" s="3"/>
      <c r="AN784" s="3"/>
      <c r="AO784" s="3"/>
      <c r="AP784" s="3"/>
      <c r="AQ784" s="3"/>
      <c r="AR784" s="3"/>
      <c r="AS784" s="3"/>
      <c r="AT784" s="3"/>
      <c r="AU784" s="3"/>
      <c r="AV784" s="3"/>
      <c r="AW784" s="3"/>
    </row>
    <row r="785" spans="12:49" x14ac:dyDescent="0.35">
      <c r="L785" s="3"/>
      <c r="M785" s="3"/>
      <c r="N785" s="3"/>
      <c r="O785" s="65"/>
      <c r="Q785" s="3"/>
      <c r="R785" s="3"/>
      <c r="S785" s="3"/>
      <c r="T785" s="3"/>
      <c r="V785" s="3"/>
      <c r="W785" s="3"/>
      <c r="X785" s="3"/>
      <c r="Y785" s="3"/>
      <c r="Z785" s="3"/>
      <c r="AA785" s="3"/>
      <c r="AB785" s="3"/>
      <c r="AC785" s="3"/>
      <c r="AD785" s="3"/>
      <c r="AE785" s="3"/>
      <c r="AF785" s="3"/>
      <c r="AG785" s="3"/>
      <c r="AH785" s="3"/>
      <c r="AI785" s="3"/>
      <c r="AJ785" s="3"/>
      <c r="AK785" s="3"/>
      <c r="AL785" s="3"/>
      <c r="AM785" s="3"/>
      <c r="AN785" s="3"/>
      <c r="AO785" s="3"/>
      <c r="AP785" s="3"/>
      <c r="AQ785" s="3"/>
      <c r="AR785" s="3"/>
      <c r="AS785" s="3"/>
      <c r="AT785" s="3"/>
      <c r="AU785" s="3"/>
      <c r="AV785" s="3"/>
      <c r="AW785" s="3"/>
    </row>
    <row r="786" spans="12:49" x14ac:dyDescent="0.35">
      <c r="L786" s="3"/>
      <c r="M786" s="3"/>
      <c r="N786" s="3"/>
      <c r="O786" s="65"/>
      <c r="Q786" s="3"/>
      <c r="R786" s="3"/>
      <c r="S786" s="3"/>
      <c r="T786" s="3"/>
      <c r="V786" s="3"/>
      <c r="W786" s="3"/>
      <c r="X786" s="3"/>
      <c r="Y786" s="3"/>
      <c r="Z786" s="3"/>
      <c r="AA786" s="3"/>
      <c r="AB786" s="3"/>
      <c r="AC786" s="3"/>
      <c r="AD786" s="3"/>
      <c r="AE786" s="3"/>
      <c r="AF786" s="3"/>
      <c r="AG786" s="3"/>
      <c r="AH786" s="3"/>
      <c r="AI786" s="3"/>
      <c r="AJ786" s="3"/>
      <c r="AK786" s="3"/>
      <c r="AL786" s="3"/>
      <c r="AM786" s="3"/>
      <c r="AN786" s="3"/>
      <c r="AO786" s="3"/>
      <c r="AP786" s="3"/>
      <c r="AQ786" s="3"/>
      <c r="AR786" s="3"/>
      <c r="AS786" s="3"/>
      <c r="AT786" s="3"/>
      <c r="AU786" s="3"/>
      <c r="AV786" s="3"/>
      <c r="AW786" s="3"/>
    </row>
    <row r="787" spans="12:49" x14ac:dyDescent="0.35">
      <c r="L787" s="3"/>
      <c r="M787" s="3"/>
      <c r="N787" s="3"/>
      <c r="O787" s="65"/>
      <c r="Q787" s="3"/>
      <c r="R787" s="3"/>
      <c r="S787" s="3"/>
      <c r="T787" s="3"/>
      <c r="V787" s="3"/>
      <c r="W787" s="3"/>
      <c r="X787" s="3"/>
      <c r="Y787" s="3"/>
      <c r="Z787" s="3"/>
      <c r="AA787" s="3"/>
      <c r="AB787" s="3"/>
      <c r="AC787" s="3"/>
      <c r="AD787" s="3"/>
      <c r="AE787" s="3"/>
      <c r="AF787" s="3"/>
      <c r="AG787" s="3"/>
      <c r="AH787" s="3"/>
      <c r="AI787" s="3"/>
      <c r="AJ787" s="3"/>
      <c r="AK787" s="3"/>
      <c r="AL787" s="3"/>
      <c r="AM787" s="3"/>
      <c r="AN787" s="3"/>
      <c r="AO787" s="3"/>
      <c r="AP787" s="3"/>
      <c r="AQ787" s="3"/>
      <c r="AR787" s="3"/>
      <c r="AS787" s="3"/>
      <c r="AT787" s="3"/>
      <c r="AU787" s="3"/>
      <c r="AV787" s="3"/>
      <c r="AW787" s="3"/>
    </row>
    <row r="788" spans="12:49" x14ac:dyDescent="0.35">
      <c r="L788" s="3"/>
      <c r="M788" s="3"/>
      <c r="N788" s="3"/>
      <c r="O788" s="65"/>
      <c r="Q788" s="3"/>
      <c r="R788" s="3"/>
      <c r="S788" s="3"/>
      <c r="T788" s="3"/>
      <c r="V788" s="3"/>
      <c r="W788" s="3"/>
      <c r="X788" s="3"/>
      <c r="Y788" s="3"/>
      <c r="Z788" s="3"/>
      <c r="AA788" s="3"/>
      <c r="AB788" s="3"/>
      <c r="AC788" s="3"/>
      <c r="AD788" s="3"/>
      <c r="AE788" s="3"/>
      <c r="AF788" s="3"/>
      <c r="AG788" s="3"/>
      <c r="AH788" s="3"/>
      <c r="AI788" s="3"/>
      <c r="AJ788" s="3"/>
      <c r="AK788" s="3"/>
      <c r="AL788" s="3"/>
      <c r="AM788" s="3"/>
      <c r="AN788" s="3"/>
      <c r="AO788" s="3"/>
      <c r="AP788" s="3"/>
      <c r="AQ788" s="3"/>
      <c r="AR788" s="3"/>
      <c r="AS788" s="3"/>
      <c r="AT788" s="3"/>
      <c r="AU788" s="3"/>
      <c r="AV788" s="3"/>
      <c r="AW788" s="3"/>
    </row>
    <row r="789" spans="12:49" x14ac:dyDescent="0.35">
      <c r="L789" s="3"/>
      <c r="M789" s="3"/>
      <c r="N789" s="3"/>
      <c r="O789" s="65"/>
      <c r="Q789" s="3"/>
      <c r="R789" s="3"/>
      <c r="S789" s="3"/>
      <c r="T789" s="3"/>
      <c r="V789" s="3"/>
      <c r="W789" s="3"/>
      <c r="X789" s="3"/>
      <c r="Y789" s="3"/>
      <c r="Z789" s="3"/>
      <c r="AA789" s="3"/>
      <c r="AB789" s="3"/>
      <c r="AC789" s="3"/>
      <c r="AD789" s="3"/>
      <c r="AE789" s="3"/>
      <c r="AF789" s="3"/>
      <c r="AG789" s="3"/>
      <c r="AH789" s="3"/>
      <c r="AI789" s="3"/>
      <c r="AJ789" s="3"/>
      <c r="AK789" s="3"/>
      <c r="AL789" s="3"/>
      <c r="AM789" s="3"/>
      <c r="AN789" s="3"/>
      <c r="AO789" s="3"/>
      <c r="AP789" s="3"/>
      <c r="AQ789" s="3"/>
      <c r="AR789" s="3"/>
      <c r="AS789" s="3"/>
      <c r="AT789" s="3"/>
      <c r="AU789" s="3"/>
      <c r="AV789" s="3"/>
      <c r="AW789" s="3"/>
    </row>
    <row r="790" spans="12:49" x14ac:dyDescent="0.35">
      <c r="L790" s="3"/>
      <c r="M790" s="3"/>
      <c r="N790" s="3"/>
      <c r="O790" s="65"/>
      <c r="Q790" s="3"/>
      <c r="R790" s="3"/>
      <c r="S790" s="3"/>
      <c r="T790" s="3"/>
      <c r="V790" s="3"/>
      <c r="W790" s="3"/>
      <c r="X790" s="3"/>
      <c r="Y790" s="3"/>
      <c r="Z790" s="3"/>
      <c r="AA790" s="3"/>
      <c r="AB790" s="3"/>
      <c r="AC790" s="3"/>
      <c r="AD790" s="3"/>
      <c r="AE790" s="3"/>
      <c r="AF790" s="3"/>
      <c r="AG790" s="3"/>
      <c r="AH790" s="3"/>
      <c r="AI790" s="3"/>
      <c r="AJ790" s="3"/>
      <c r="AK790" s="3"/>
      <c r="AL790" s="3"/>
      <c r="AM790" s="3"/>
      <c r="AN790" s="3"/>
      <c r="AO790" s="3"/>
      <c r="AP790" s="3"/>
      <c r="AQ790" s="3"/>
      <c r="AR790" s="3"/>
      <c r="AS790" s="3"/>
      <c r="AT790" s="3"/>
      <c r="AU790" s="3"/>
      <c r="AV790" s="3"/>
      <c r="AW790" s="3"/>
    </row>
    <row r="791" spans="12:49" x14ac:dyDescent="0.35">
      <c r="L791" s="3"/>
      <c r="M791" s="3"/>
      <c r="N791" s="3"/>
      <c r="O791" s="65"/>
      <c r="Q791" s="3"/>
      <c r="R791" s="3"/>
      <c r="S791" s="3"/>
      <c r="T791" s="3"/>
      <c r="V791" s="3"/>
      <c r="W791" s="3"/>
      <c r="X791" s="3"/>
      <c r="Y791" s="3"/>
      <c r="Z791" s="3"/>
      <c r="AA791" s="3"/>
      <c r="AB791" s="3"/>
      <c r="AC791" s="3"/>
      <c r="AD791" s="3"/>
      <c r="AE791" s="3"/>
      <c r="AF791" s="3"/>
      <c r="AG791" s="3"/>
      <c r="AH791" s="3"/>
      <c r="AI791" s="3"/>
      <c r="AJ791" s="3"/>
      <c r="AK791" s="3"/>
      <c r="AL791" s="3"/>
      <c r="AM791" s="3"/>
      <c r="AN791" s="3"/>
      <c r="AO791" s="3"/>
      <c r="AP791" s="3"/>
      <c r="AQ791" s="3"/>
      <c r="AR791" s="3"/>
      <c r="AS791" s="3"/>
      <c r="AT791" s="3"/>
      <c r="AU791" s="3"/>
      <c r="AV791" s="3"/>
      <c r="AW791" s="3"/>
    </row>
    <row r="792" spans="12:49" x14ac:dyDescent="0.35">
      <c r="L792" s="3"/>
      <c r="M792" s="3"/>
      <c r="N792" s="3"/>
      <c r="O792" s="65"/>
      <c r="Q792" s="3"/>
      <c r="R792" s="3"/>
      <c r="S792" s="3"/>
      <c r="T792" s="3"/>
      <c r="V792" s="3"/>
      <c r="W792" s="3"/>
      <c r="X792" s="3"/>
      <c r="Y792" s="3"/>
      <c r="Z792" s="3"/>
      <c r="AA792" s="3"/>
      <c r="AB792" s="3"/>
      <c r="AC792" s="3"/>
      <c r="AD792" s="3"/>
      <c r="AE792" s="3"/>
      <c r="AF792" s="3"/>
      <c r="AG792" s="3"/>
      <c r="AH792" s="3"/>
      <c r="AI792" s="3"/>
      <c r="AJ792" s="3"/>
      <c r="AK792" s="3"/>
      <c r="AL792" s="3"/>
      <c r="AM792" s="3"/>
      <c r="AN792" s="3"/>
      <c r="AO792" s="3"/>
      <c r="AP792" s="3"/>
      <c r="AQ792" s="3"/>
      <c r="AR792" s="3"/>
      <c r="AS792" s="3"/>
      <c r="AT792" s="3"/>
      <c r="AU792" s="3"/>
      <c r="AV792" s="3"/>
      <c r="AW792" s="3"/>
    </row>
    <row r="793" spans="12:49" x14ac:dyDescent="0.35">
      <c r="L793" s="3"/>
      <c r="M793" s="3"/>
      <c r="N793" s="3"/>
      <c r="O793" s="65"/>
      <c r="Q793" s="3"/>
      <c r="R793" s="3"/>
      <c r="S793" s="3"/>
      <c r="T793" s="3"/>
      <c r="V793" s="3"/>
      <c r="W793" s="3"/>
      <c r="X793" s="3"/>
      <c r="Y793" s="3"/>
      <c r="Z793" s="3"/>
      <c r="AA793" s="3"/>
      <c r="AB793" s="3"/>
      <c r="AC793" s="3"/>
      <c r="AD793" s="3"/>
      <c r="AE793" s="3"/>
      <c r="AF793" s="3"/>
      <c r="AG793" s="3"/>
      <c r="AH793" s="3"/>
      <c r="AI793" s="3"/>
      <c r="AJ793" s="3"/>
      <c r="AK793" s="3"/>
      <c r="AL793" s="3"/>
      <c r="AM793" s="3"/>
      <c r="AN793" s="3"/>
      <c r="AO793" s="3"/>
      <c r="AP793" s="3"/>
      <c r="AQ793" s="3"/>
      <c r="AR793" s="3"/>
      <c r="AS793" s="3"/>
      <c r="AT793" s="3"/>
      <c r="AU793" s="3"/>
      <c r="AV793" s="3"/>
      <c r="AW793" s="3"/>
    </row>
    <row r="794" spans="12:49" x14ac:dyDescent="0.35">
      <c r="L794" s="3"/>
      <c r="M794" s="3"/>
      <c r="N794" s="3"/>
      <c r="O794" s="65"/>
      <c r="Q794" s="3"/>
      <c r="R794" s="3"/>
      <c r="S794" s="3"/>
      <c r="T794" s="3"/>
      <c r="V794" s="3"/>
      <c r="W794" s="3"/>
      <c r="X794" s="3"/>
      <c r="Y794" s="3"/>
      <c r="Z794" s="3"/>
      <c r="AA794" s="3"/>
      <c r="AB794" s="3"/>
      <c r="AC794" s="3"/>
      <c r="AD794" s="3"/>
      <c r="AE794" s="3"/>
      <c r="AF794" s="3"/>
      <c r="AG794" s="3"/>
      <c r="AH794" s="3"/>
      <c r="AI794" s="3"/>
      <c r="AJ794" s="3"/>
      <c r="AK794" s="3"/>
      <c r="AL794" s="3"/>
      <c r="AM794" s="3"/>
      <c r="AN794" s="3"/>
      <c r="AO794" s="3"/>
      <c r="AP794" s="3"/>
      <c r="AQ794" s="3"/>
      <c r="AR794" s="3"/>
      <c r="AS794" s="3"/>
      <c r="AT794" s="3"/>
      <c r="AU794" s="3"/>
      <c r="AV794" s="3"/>
      <c r="AW794" s="3"/>
    </row>
    <row r="795" spans="12:49" x14ac:dyDescent="0.35">
      <c r="L795" s="3"/>
      <c r="M795" s="3"/>
      <c r="N795" s="3"/>
      <c r="O795" s="65"/>
      <c r="Q795" s="3"/>
      <c r="R795" s="3"/>
      <c r="S795" s="3"/>
      <c r="T795" s="3"/>
      <c r="V795" s="3"/>
      <c r="W795" s="3"/>
      <c r="X795" s="3"/>
      <c r="Y795" s="3"/>
      <c r="Z795" s="3"/>
      <c r="AA795" s="3"/>
      <c r="AB795" s="3"/>
      <c r="AC795" s="3"/>
      <c r="AD795" s="3"/>
      <c r="AE795" s="3"/>
      <c r="AF795" s="3"/>
      <c r="AG795" s="3"/>
      <c r="AH795" s="3"/>
      <c r="AI795" s="3"/>
      <c r="AJ795" s="3"/>
      <c r="AK795" s="3"/>
      <c r="AL795" s="3"/>
      <c r="AM795" s="3"/>
      <c r="AN795" s="3"/>
      <c r="AO795" s="3"/>
      <c r="AP795" s="3"/>
      <c r="AQ795" s="3"/>
      <c r="AR795" s="3"/>
      <c r="AS795" s="3"/>
      <c r="AT795" s="3"/>
      <c r="AU795" s="3"/>
      <c r="AV795" s="3"/>
      <c r="AW795" s="3"/>
    </row>
    <row r="796" spans="12:49" x14ac:dyDescent="0.35">
      <c r="L796" s="3"/>
      <c r="M796" s="3"/>
      <c r="N796" s="3"/>
      <c r="O796" s="65"/>
      <c r="Q796" s="3"/>
      <c r="R796" s="3"/>
      <c r="S796" s="3"/>
      <c r="T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row>
    <row r="797" spans="12:49" x14ac:dyDescent="0.35">
      <c r="L797" s="3"/>
      <c r="M797" s="3"/>
      <c r="N797" s="3"/>
      <c r="O797" s="65"/>
      <c r="Q797" s="3"/>
      <c r="R797" s="3"/>
      <c r="S797" s="3"/>
      <c r="T797" s="3"/>
      <c r="V797" s="3"/>
      <c r="W797" s="3"/>
      <c r="X797" s="3"/>
      <c r="Y797" s="3"/>
      <c r="Z797" s="3"/>
      <c r="AA797" s="3"/>
      <c r="AB797" s="3"/>
      <c r="AC797" s="3"/>
      <c r="AD797" s="3"/>
      <c r="AE797" s="3"/>
      <c r="AF797" s="3"/>
      <c r="AG797" s="3"/>
      <c r="AH797" s="3"/>
      <c r="AI797" s="3"/>
      <c r="AJ797" s="3"/>
      <c r="AK797" s="3"/>
      <c r="AL797" s="3"/>
      <c r="AM797" s="3"/>
      <c r="AN797" s="3"/>
      <c r="AO797" s="3"/>
      <c r="AP797" s="3"/>
      <c r="AQ797" s="3"/>
      <c r="AR797" s="3"/>
      <c r="AS797" s="3"/>
      <c r="AT797" s="3"/>
      <c r="AU797" s="3"/>
      <c r="AV797" s="3"/>
      <c r="AW797" s="3"/>
    </row>
    <row r="798" spans="12:49" x14ac:dyDescent="0.35">
      <c r="L798" s="3"/>
      <c r="M798" s="3"/>
      <c r="N798" s="3"/>
      <c r="O798" s="65"/>
      <c r="Q798" s="3"/>
      <c r="R798" s="3"/>
      <c r="S798" s="3"/>
      <c r="T798" s="3"/>
      <c r="V798" s="3"/>
      <c r="W798" s="3"/>
      <c r="X798" s="3"/>
      <c r="Y798" s="3"/>
      <c r="Z798" s="3"/>
      <c r="AA798" s="3"/>
      <c r="AB798" s="3"/>
      <c r="AC798" s="3"/>
      <c r="AD798" s="3"/>
      <c r="AE798" s="3"/>
      <c r="AF798" s="3"/>
      <c r="AG798" s="3"/>
      <c r="AH798" s="3"/>
      <c r="AI798" s="3"/>
      <c r="AJ798" s="3"/>
      <c r="AK798" s="3"/>
      <c r="AL798" s="3"/>
      <c r="AM798" s="3"/>
      <c r="AN798" s="3"/>
      <c r="AO798" s="3"/>
      <c r="AP798" s="3"/>
      <c r="AQ798" s="3"/>
      <c r="AR798" s="3"/>
      <c r="AS798" s="3"/>
      <c r="AT798" s="3"/>
      <c r="AU798" s="3"/>
      <c r="AV798" s="3"/>
      <c r="AW798" s="3"/>
    </row>
    <row r="799" spans="12:49" x14ac:dyDescent="0.35">
      <c r="L799" s="3"/>
      <c r="M799" s="3"/>
      <c r="N799" s="3"/>
      <c r="O799" s="65"/>
      <c r="Q799" s="3"/>
      <c r="R799" s="3"/>
      <c r="S799" s="3"/>
      <c r="T799" s="3"/>
      <c r="V799" s="3"/>
      <c r="W799" s="3"/>
      <c r="X799" s="3"/>
      <c r="Y799" s="3"/>
      <c r="Z799" s="3"/>
      <c r="AA799" s="3"/>
      <c r="AB799" s="3"/>
      <c r="AC799" s="3"/>
      <c r="AD799" s="3"/>
      <c r="AE799" s="3"/>
      <c r="AF799" s="3"/>
      <c r="AG799" s="3"/>
      <c r="AH799" s="3"/>
      <c r="AI799" s="3"/>
      <c r="AJ799" s="3"/>
      <c r="AK799" s="3"/>
      <c r="AL799" s="3"/>
      <c r="AM799" s="3"/>
      <c r="AN799" s="3"/>
      <c r="AO799" s="3"/>
      <c r="AP799" s="3"/>
      <c r="AQ799" s="3"/>
      <c r="AR799" s="3"/>
      <c r="AS799" s="3"/>
      <c r="AT799" s="3"/>
      <c r="AU799" s="3"/>
      <c r="AV799" s="3"/>
      <c r="AW799" s="3"/>
    </row>
    <row r="800" spans="12:49" x14ac:dyDescent="0.35">
      <c r="L800" s="3"/>
      <c r="M800" s="3"/>
      <c r="N800" s="3"/>
      <c r="O800" s="65"/>
      <c r="Q800" s="3"/>
      <c r="R800" s="3"/>
      <c r="S800" s="3"/>
      <c r="T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row>
    <row r="801" spans="12:49" x14ac:dyDescent="0.35">
      <c r="L801" s="3"/>
      <c r="M801" s="3"/>
      <c r="N801" s="3"/>
      <c r="O801" s="65"/>
      <c r="Q801" s="3"/>
      <c r="R801" s="3"/>
      <c r="S801" s="3"/>
      <c r="T801" s="3"/>
      <c r="V801" s="3"/>
      <c r="W801" s="3"/>
      <c r="X801" s="3"/>
      <c r="Y801" s="3"/>
      <c r="Z801" s="3"/>
      <c r="AA801" s="3"/>
      <c r="AB801" s="3"/>
      <c r="AC801" s="3"/>
      <c r="AD801" s="3"/>
      <c r="AE801" s="3"/>
      <c r="AF801" s="3"/>
      <c r="AG801" s="3"/>
      <c r="AH801" s="3"/>
      <c r="AI801" s="3"/>
      <c r="AJ801" s="3"/>
      <c r="AK801" s="3"/>
      <c r="AL801" s="3"/>
      <c r="AM801" s="3"/>
      <c r="AN801" s="3"/>
      <c r="AO801" s="3"/>
      <c r="AP801" s="3"/>
      <c r="AQ801" s="3"/>
      <c r="AR801" s="3"/>
      <c r="AS801" s="3"/>
      <c r="AT801" s="3"/>
      <c r="AU801" s="3"/>
      <c r="AV801" s="3"/>
      <c r="AW801" s="3"/>
    </row>
    <row r="802" spans="12:49" x14ac:dyDescent="0.35">
      <c r="L802" s="3"/>
      <c r="M802" s="3"/>
      <c r="N802" s="3"/>
      <c r="O802" s="65"/>
      <c r="Q802" s="3"/>
      <c r="R802" s="3"/>
      <c r="S802" s="3"/>
      <c r="T802" s="3"/>
      <c r="V802" s="3"/>
      <c r="W802" s="3"/>
      <c r="X802" s="3"/>
      <c r="Y802" s="3"/>
      <c r="Z802" s="3"/>
      <c r="AA802" s="3"/>
      <c r="AB802" s="3"/>
      <c r="AC802" s="3"/>
      <c r="AD802" s="3"/>
      <c r="AE802" s="3"/>
      <c r="AF802" s="3"/>
      <c r="AG802" s="3"/>
      <c r="AH802" s="3"/>
      <c r="AI802" s="3"/>
      <c r="AJ802" s="3"/>
      <c r="AK802" s="3"/>
      <c r="AL802" s="3"/>
      <c r="AM802" s="3"/>
      <c r="AN802" s="3"/>
      <c r="AO802" s="3"/>
      <c r="AP802" s="3"/>
      <c r="AQ802" s="3"/>
      <c r="AR802" s="3"/>
      <c r="AS802" s="3"/>
      <c r="AT802" s="3"/>
      <c r="AU802" s="3"/>
      <c r="AV802" s="3"/>
      <c r="AW802" s="3"/>
    </row>
    <row r="803" spans="12:49" x14ac:dyDescent="0.35">
      <c r="L803" s="3"/>
      <c r="M803" s="3"/>
      <c r="N803" s="3"/>
      <c r="O803" s="65"/>
      <c r="Q803" s="3"/>
      <c r="R803" s="3"/>
      <c r="S803" s="3"/>
      <c r="T803" s="3"/>
      <c r="V803" s="3"/>
      <c r="W803" s="3"/>
      <c r="X803" s="3"/>
      <c r="Y803" s="3"/>
      <c r="Z803" s="3"/>
      <c r="AA803" s="3"/>
      <c r="AB803" s="3"/>
      <c r="AC803" s="3"/>
      <c r="AD803" s="3"/>
      <c r="AE803" s="3"/>
      <c r="AF803" s="3"/>
      <c r="AG803" s="3"/>
      <c r="AH803" s="3"/>
      <c r="AI803" s="3"/>
      <c r="AJ803" s="3"/>
      <c r="AK803" s="3"/>
      <c r="AL803" s="3"/>
      <c r="AM803" s="3"/>
      <c r="AN803" s="3"/>
      <c r="AO803" s="3"/>
      <c r="AP803" s="3"/>
      <c r="AQ803" s="3"/>
      <c r="AR803" s="3"/>
      <c r="AS803" s="3"/>
      <c r="AT803" s="3"/>
      <c r="AU803" s="3"/>
      <c r="AV803" s="3"/>
      <c r="AW803" s="3"/>
    </row>
    <row r="804" spans="12:49" x14ac:dyDescent="0.35">
      <c r="L804" s="3"/>
      <c r="M804" s="3"/>
      <c r="N804" s="3"/>
      <c r="O804" s="65"/>
      <c r="Q804" s="3"/>
      <c r="R804" s="3"/>
      <c r="S804" s="3"/>
      <c r="T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row>
    <row r="805" spans="12:49" x14ac:dyDescent="0.35">
      <c r="L805" s="3"/>
      <c r="M805" s="3"/>
      <c r="N805" s="3"/>
      <c r="O805" s="65"/>
      <c r="Q805" s="3"/>
      <c r="R805" s="3"/>
      <c r="S805" s="3"/>
      <c r="T805" s="3"/>
      <c r="V805" s="3"/>
      <c r="W805" s="3"/>
      <c r="X805" s="3"/>
      <c r="Y805" s="3"/>
      <c r="Z805" s="3"/>
      <c r="AA805" s="3"/>
      <c r="AB805" s="3"/>
      <c r="AC805" s="3"/>
      <c r="AD805" s="3"/>
      <c r="AE805" s="3"/>
      <c r="AF805" s="3"/>
      <c r="AG805" s="3"/>
      <c r="AH805" s="3"/>
      <c r="AI805" s="3"/>
      <c r="AJ805" s="3"/>
      <c r="AK805" s="3"/>
      <c r="AL805" s="3"/>
      <c r="AM805" s="3"/>
      <c r="AN805" s="3"/>
      <c r="AO805" s="3"/>
      <c r="AP805" s="3"/>
      <c r="AQ805" s="3"/>
      <c r="AR805" s="3"/>
      <c r="AS805" s="3"/>
      <c r="AT805" s="3"/>
      <c r="AU805" s="3"/>
      <c r="AV805" s="3"/>
      <c r="AW805" s="3"/>
    </row>
    <row r="806" spans="12:49" x14ac:dyDescent="0.35">
      <c r="L806" s="3"/>
      <c r="M806" s="3"/>
      <c r="N806" s="3"/>
      <c r="O806" s="65"/>
      <c r="Q806" s="3"/>
      <c r="R806" s="3"/>
      <c r="S806" s="3"/>
      <c r="T806" s="3"/>
      <c r="V806" s="3"/>
      <c r="W806" s="3"/>
      <c r="X806" s="3"/>
      <c r="Y806" s="3"/>
      <c r="Z806" s="3"/>
      <c r="AA806" s="3"/>
      <c r="AB806" s="3"/>
      <c r="AC806" s="3"/>
      <c r="AD806" s="3"/>
      <c r="AE806" s="3"/>
      <c r="AF806" s="3"/>
      <c r="AG806" s="3"/>
      <c r="AH806" s="3"/>
      <c r="AI806" s="3"/>
      <c r="AJ806" s="3"/>
      <c r="AK806" s="3"/>
      <c r="AL806" s="3"/>
      <c r="AM806" s="3"/>
      <c r="AN806" s="3"/>
      <c r="AO806" s="3"/>
      <c r="AP806" s="3"/>
      <c r="AQ806" s="3"/>
      <c r="AR806" s="3"/>
      <c r="AS806" s="3"/>
      <c r="AT806" s="3"/>
      <c r="AU806" s="3"/>
      <c r="AV806" s="3"/>
      <c r="AW806" s="3"/>
    </row>
    <row r="807" spans="12:49" x14ac:dyDescent="0.35">
      <c r="L807" s="3"/>
      <c r="M807" s="3"/>
      <c r="N807" s="3"/>
      <c r="O807" s="65"/>
      <c r="Q807" s="3"/>
      <c r="R807" s="3"/>
      <c r="S807" s="3"/>
      <c r="T807" s="3"/>
      <c r="V807" s="3"/>
      <c r="W807" s="3"/>
      <c r="X807" s="3"/>
      <c r="Y807" s="3"/>
      <c r="Z807" s="3"/>
      <c r="AA807" s="3"/>
      <c r="AB807" s="3"/>
      <c r="AC807" s="3"/>
      <c r="AD807" s="3"/>
      <c r="AE807" s="3"/>
      <c r="AF807" s="3"/>
      <c r="AG807" s="3"/>
      <c r="AH807" s="3"/>
      <c r="AI807" s="3"/>
      <c r="AJ807" s="3"/>
      <c r="AK807" s="3"/>
      <c r="AL807" s="3"/>
      <c r="AM807" s="3"/>
      <c r="AN807" s="3"/>
      <c r="AO807" s="3"/>
      <c r="AP807" s="3"/>
      <c r="AQ807" s="3"/>
      <c r="AR807" s="3"/>
      <c r="AS807" s="3"/>
      <c r="AT807" s="3"/>
      <c r="AU807" s="3"/>
      <c r="AV807" s="3"/>
      <c r="AW807" s="3"/>
    </row>
    <row r="808" spans="12:49" x14ac:dyDescent="0.35">
      <c r="L808" s="3"/>
      <c r="M808" s="3"/>
      <c r="N808" s="3"/>
      <c r="O808" s="65"/>
      <c r="Q808" s="3"/>
      <c r="R808" s="3"/>
      <c r="S808" s="3"/>
      <c r="T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row>
    <row r="809" spans="12:49" x14ac:dyDescent="0.35">
      <c r="L809" s="3"/>
      <c r="M809" s="3"/>
      <c r="N809" s="3"/>
      <c r="O809" s="65"/>
      <c r="Q809" s="3"/>
      <c r="R809" s="3"/>
      <c r="S809" s="3"/>
      <c r="T809" s="3"/>
      <c r="V809" s="3"/>
      <c r="W809" s="3"/>
      <c r="X809" s="3"/>
      <c r="Y809" s="3"/>
      <c r="Z809" s="3"/>
      <c r="AA809" s="3"/>
      <c r="AB809" s="3"/>
      <c r="AC809" s="3"/>
      <c r="AD809" s="3"/>
      <c r="AE809" s="3"/>
      <c r="AF809" s="3"/>
      <c r="AG809" s="3"/>
      <c r="AH809" s="3"/>
      <c r="AI809" s="3"/>
      <c r="AJ809" s="3"/>
      <c r="AK809" s="3"/>
      <c r="AL809" s="3"/>
      <c r="AM809" s="3"/>
      <c r="AN809" s="3"/>
      <c r="AO809" s="3"/>
      <c r="AP809" s="3"/>
      <c r="AQ809" s="3"/>
      <c r="AR809" s="3"/>
      <c r="AS809" s="3"/>
      <c r="AT809" s="3"/>
      <c r="AU809" s="3"/>
      <c r="AV809" s="3"/>
      <c r="AW809" s="3"/>
    </row>
    <row r="810" spans="12:49" x14ac:dyDescent="0.35">
      <c r="L810" s="3"/>
      <c r="M810" s="3"/>
      <c r="N810" s="3"/>
      <c r="O810" s="65"/>
      <c r="Q810" s="3"/>
      <c r="R810" s="3"/>
      <c r="S810" s="3"/>
      <c r="T810" s="3"/>
      <c r="V810" s="3"/>
      <c r="W810" s="3"/>
      <c r="X810" s="3"/>
      <c r="Y810" s="3"/>
      <c r="Z810" s="3"/>
      <c r="AA810" s="3"/>
      <c r="AB810" s="3"/>
      <c r="AC810" s="3"/>
      <c r="AD810" s="3"/>
      <c r="AE810" s="3"/>
      <c r="AF810" s="3"/>
      <c r="AG810" s="3"/>
      <c r="AH810" s="3"/>
      <c r="AI810" s="3"/>
      <c r="AJ810" s="3"/>
      <c r="AK810" s="3"/>
      <c r="AL810" s="3"/>
      <c r="AM810" s="3"/>
      <c r="AN810" s="3"/>
      <c r="AO810" s="3"/>
      <c r="AP810" s="3"/>
      <c r="AQ810" s="3"/>
      <c r="AR810" s="3"/>
      <c r="AS810" s="3"/>
      <c r="AT810" s="3"/>
      <c r="AU810" s="3"/>
      <c r="AV810" s="3"/>
      <c r="AW810" s="3"/>
    </row>
    <row r="811" spans="12:49" x14ac:dyDescent="0.35">
      <c r="L811" s="3"/>
      <c r="M811" s="3"/>
      <c r="N811" s="3"/>
      <c r="O811" s="65"/>
      <c r="Q811" s="3"/>
      <c r="R811" s="3"/>
      <c r="S811" s="3"/>
      <c r="T811" s="3"/>
      <c r="V811" s="3"/>
      <c r="W811" s="3"/>
      <c r="X811" s="3"/>
      <c r="Y811" s="3"/>
      <c r="Z811" s="3"/>
      <c r="AA811" s="3"/>
      <c r="AB811" s="3"/>
      <c r="AC811" s="3"/>
      <c r="AD811" s="3"/>
      <c r="AE811" s="3"/>
      <c r="AF811" s="3"/>
      <c r="AG811" s="3"/>
      <c r="AH811" s="3"/>
      <c r="AI811" s="3"/>
      <c r="AJ811" s="3"/>
      <c r="AK811" s="3"/>
      <c r="AL811" s="3"/>
      <c r="AM811" s="3"/>
      <c r="AN811" s="3"/>
      <c r="AO811" s="3"/>
      <c r="AP811" s="3"/>
      <c r="AQ811" s="3"/>
      <c r="AR811" s="3"/>
      <c r="AS811" s="3"/>
      <c r="AT811" s="3"/>
      <c r="AU811" s="3"/>
      <c r="AV811" s="3"/>
      <c r="AW811" s="3"/>
    </row>
    <row r="812" spans="12:49" x14ac:dyDescent="0.35">
      <c r="L812" s="3"/>
      <c r="M812" s="3"/>
      <c r="N812" s="3"/>
      <c r="O812" s="65"/>
      <c r="Q812" s="3"/>
      <c r="R812" s="3"/>
      <c r="S812" s="3"/>
      <c r="T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row>
    <row r="813" spans="12:49" x14ac:dyDescent="0.35">
      <c r="L813" s="3"/>
      <c r="M813" s="3"/>
      <c r="N813" s="3"/>
      <c r="O813" s="65"/>
      <c r="Q813" s="3"/>
      <c r="R813" s="3"/>
      <c r="S813" s="3"/>
      <c r="T813" s="3"/>
      <c r="V813" s="3"/>
      <c r="W813" s="3"/>
      <c r="X813" s="3"/>
      <c r="Y813" s="3"/>
      <c r="Z813" s="3"/>
      <c r="AA813" s="3"/>
      <c r="AB813" s="3"/>
      <c r="AC813" s="3"/>
      <c r="AD813" s="3"/>
      <c r="AE813" s="3"/>
      <c r="AF813" s="3"/>
      <c r="AG813" s="3"/>
      <c r="AH813" s="3"/>
      <c r="AI813" s="3"/>
      <c r="AJ813" s="3"/>
      <c r="AK813" s="3"/>
      <c r="AL813" s="3"/>
      <c r="AM813" s="3"/>
      <c r="AN813" s="3"/>
      <c r="AO813" s="3"/>
      <c r="AP813" s="3"/>
      <c r="AQ813" s="3"/>
      <c r="AR813" s="3"/>
      <c r="AS813" s="3"/>
      <c r="AT813" s="3"/>
      <c r="AU813" s="3"/>
      <c r="AV813" s="3"/>
      <c r="AW813" s="3"/>
    </row>
    <row r="814" spans="12:49" x14ac:dyDescent="0.35">
      <c r="L814" s="3"/>
      <c r="M814" s="3"/>
      <c r="N814" s="3"/>
      <c r="O814" s="65"/>
      <c r="Q814" s="3"/>
      <c r="R814" s="3"/>
      <c r="S814" s="3"/>
      <c r="T814" s="3"/>
      <c r="V814" s="3"/>
      <c r="W814" s="3"/>
      <c r="X814" s="3"/>
      <c r="Y814" s="3"/>
      <c r="Z814" s="3"/>
      <c r="AA814" s="3"/>
      <c r="AB814" s="3"/>
      <c r="AC814" s="3"/>
      <c r="AD814" s="3"/>
      <c r="AE814" s="3"/>
      <c r="AF814" s="3"/>
      <c r="AG814" s="3"/>
      <c r="AH814" s="3"/>
      <c r="AI814" s="3"/>
      <c r="AJ814" s="3"/>
      <c r="AK814" s="3"/>
      <c r="AL814" s="3"/>
      <c r="AM814" s="3"/>
      <c r="AN814" s="3"/>
      <c r="AO814" s="3"/>
      <c r="AP814" s="3"/>
      <c r="AQ814" s="3"/>
      <c r="AR814" s="3"/>
      <c r="AS814" s="3"/>
      <c r="AT814" s="3"/>
      <c r="AU814" s="3"/>
      <c r="AV814" s="3"/>
      <c r="AW814" s="3"/>
    </row>
    <row r="815" spans="12:49" x14ac:dyDescent="0.35">
      <c r="L815" s="3"/>
      <c r="M815" s="3"/>
      <c r="N815" s="3"/>
      <c r="O815" s="65"/>
      <c r="Q815" s="3"/>
      <c r="R815" s="3"/>
      <c r="S815" s="3"/>
      <c r="T815" s="3"/>
      <c r="V815" s="3"/>
      <c r="W815" s="3"/>
      <c r="X815" s="3"/>
      <c r="Y815" s="3"/>
      <c r="Z815" s="3"/>
      <c r="AA815" s="3"/>
      <c r="AB815" s="3"/>
      <c r="AC815" s="3"/>
      <c r="AD815" s="3"/>
      <c r="AE815" s="3"/>
      <c r="AF815" s="3"/>
      <c r="AG815" s="3"/>
      <c r="AH815" s="3"/>
      <c r="AI815" s="3"/>
      <c r="AJ815" s="3"/>
      <c r="AK815" s="3"/>
      <c r="AL815" s="3"/>
      <c r="AM815" s="3"/>
      <c r="AN815" s="3"/>
      <c r="AO815" s="3"/>
      <c r="AP815" s="3"/>
      <c r="AQ815" s="3"/>
      <c r="AR815" s="3"/>
      <c r="AS815" s="3"/>
      <c r="AT815" s="3"/>
      <c r="AU815" s="3"/>
      <c r="AV815" s="3"/>
      <c r="AW815" s="3"/>
    </row>
    <row r="816" spans="12:49" x14ac:dyDescent="0.35">
      <c r="L816" s="3"/>
      <c r="M816" s="3"/>
      <c r="N816" s="3"/>
      <c r="O816" s="65"/>
      <c r="Q816" s="3"/>
      <c r="R816" s="3"/>
      <c r="S816" s="3"/>
      <c r="T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row>
    <row r="817" spans="12:49" x14ac:dyDescent="0.35">
      <c r="L817" s="3"/>
      <c r="M817" s="3"/>
      <c r="N817" s="3"/>
      <c r="O817" s="65"/>
      <c r="Q817" s="3"/>
      <c r="R817" s="3"/>
      <c r="S817" s="3"/>
      <c r="T817" s="3"/>
      <c r="V817" s="3"/>
      <c r="W817" s="3"/>
      <c r="X817" s="3"/>
      <c r="Y817" s="3"/>
      <c r="Z817" s="3"/>
      <c r="AA817" s="3"/>
      <c r="AB817" s="3"/>
      <c r="AC817" s="3"/>
      <c r="AD817" s="3"/>
      <c r="AE817" s="3"/>
      <c r="AF817" s="3"/>
      <c r="AG817" s="3"/>
      <c r="AH817" s="3"/>
      <c r="AI817" s="3"/>
      <c r="AJ817" s="3"/>
      <c r="AK817" s="3"/>
      <c r="AL817" s="3"/>
      <c r="AM817" s="3"/>
      <c r="AN817" s="3"/>
      <c r="AO817" s="3"/>
      <c r="AP817" s="3"/>
      <c r="AQ817" s="3"/>
      <c r="AR817" s="3"/>
      <c r="AS817" s="3"/>
      <c r="AT817" s="3"/>
      <c r="AU817" s="3"/>
      <c r="AV817" s="3"/>
      <c r="AW817" s="3"/>
    </row>
    <row r="818" spans="12:49" x14ac:dyDescent="0.35">
      <c r="L818" s="3"/>
      <c r="M818" s="3"/>
      <c r="N818" s="3"/>
      <c r="O818" s="65"/>
      <c r="Q818" s="3"/>
      <c r="R818" s="3"/>
      <c r="S818" s="3"/>
      <c r="T818" s="3"/>
      <c r="V818" s="3"/>
      <c r="W818" s="3"/>
      <c r="X818" s="3"/>
      <c r="Y818" s="3"/>
      <c r="Z818" s="3"/>
      <c r="AA818" s="3"/>
      <c r="AB818" s="3"/>
      <c r="AC818" s="3"/>
      <c r="AD818" s="3"/>
      <c r="AE818" s="3"/>
      <c r="AF818" s="3"/>
      <c r="AG818" s="3"/>
      <c r="AH818" s="3"/>
      <c r="AI818" s="3"/>
      <c r="AJ818" s="3"/>
      <c r="AK818" s="3"/>
      <c r="AL818" s="3"/>
      <c r="AM818" s="3"/>
      <c r="AN818" s="3"/>
      <c r="AO818" s="3"/>
      <c r="AP818" s="3"/>
      <c r="AQ818" s="3"/>
      <c r="AR818" s="3"/>
      <c r="AS818" s="3"/>
      <c r="AT818" s="3"/>
      <c r="AU818" s="3"/>
      <c r="AV818" s="3"/>
      <c r="AW818" s="3"/>
    </row>
    <row r="819" spans="12:49" x14ac:dyDescent="0.35">
      <c r="L819" s="3"/>
      <c r="M819" s="3"/>
      <c r="N819" s="3"/>
      <c r="O819" s="65"/>
      <c r="Q819" s="3"/>
      <c r="R819" s="3"/>
      <c r="S819" s="3"/>
      <c r="T819" s="3"/>
      <c r="V819" s="3"/>
      <c r="W819" s="3"/>
      <c r="X819" s="3"/>
      <c r="Y819" s="3"/>
      <c r="Z819" s="3"/>
      <c r="AA819" s="3"/>
      <c r="AB819" s="3"/>
      <c r="AC819" s="3"/>
      <c r="AD819" s="3"/>
      <c r="AE819" s="3"/>
      <c r="AF819" s="3"/>
      <c r="AG819" s="3"/>
      <c r="AH819" s="3"/>
      <c r="AI819" s="3"/>
      <c r="AJ819" s="3"/>
      <c r="AK819" s="3"/>
      <c r="AL819" s="3"/>
      <c r="AM819" s="3"/>
      <c r="AN819" s="3"/>
      <c r="AO819" s="3"/>
      <c r="AP819" s="3"/>
      <c r="AQ819" s="3"/>
      <c r="AR819" s="3"/>
      <c r="AS819" s="3"/>
      <c r="AT819" s="3"/>
      <c r="AU819" s="3"/>
      <c r="AV819" s="3"/>
      <c r="AW819" s="3"/>
    </row>
    <row r="820" spans="12:49" x14ac:dyDescent="0.35">
      <c r="L820" s="3"/>
      <c r="M820" s="3"/>
      <c r="N820" s="3"/>
      <c r="O820" s="65"/>
      <c r="Q820" s="3"/>
      <c r="R820" s="3"/>
      <c r="S820" s="3"/>
      <c r="T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row>
    <row r="821" spans="12:49" x14ac:dyDescent="0.35">
      <c r="L821" s="3"/>
      <c r="M821" s="3"/>
      <c r="N821" s="3"/>
      <c r="O821" s="65"/>
      <c r="Q821" s="3"/>
      <c r="R821" s="3"/>
      <c r="S821" s="3"/>
      <c r="T821" s="3"/>
      <c r="V821" s="3"/>
      <c r="W821" s="3"/>
      <c r="X821" s="3"/>
      <c r="Y821" s="3"/>
      <c r="Z821" s="3"/>
      <c r="AA821" s="3"/>
      <c r="AB821" s="3"/>
      <c r="AC821" s="3"/>
      <c r="AD821" s="3"/>
      <c r="AE821" s="3"/>
      <c r="AF821" s="3"/>
      <c r="AG821" s="3"/>
      <c r="AH821" s="3"/>
      <c r="AI821" s="3"/>
      <c r="AJ821" s="3"/>
      <c r="AK821" s="3"/>
      <c r="AL821" s="3"/>
      <c r="AM821" s="3"/>
      <c r="AN821" s="3"/>
      <c r="AO821" s="3"/>
      <c r="AP821" s="3"/>
      <c r="AQ821" s="3"/>
      <c r="AR821" s="3"/>
      <c r="AS821" s="3"/>
      <c r="AT821" s="3"/>
      <c r="AU821" s="3"/>
      <c r="AV821" s="3"/>
      <c r="AW821" s="3"/>
    </row>
    <row r="822" spans="12:49" x14ac:dyDescent="0.35">
      <c r="L822" s="3"/>
      <c r="M822" s="3"/>
      <c r="N822" s="3"/>
      <c r="O822" s="65"/>
      <c r="Q822" s="3"/>
      <c r="R822" s="3"/>
      <c r="S822" s="3"/>
      <c r="T822" s="3"/>
      <c r="V822" s="3"/>
      <c r="W822" s="3"/>
      <c r="X822" s="3"/>
      <c r="Y822" s="3"/>
      <c r="Z822" s="3"/>
      <c r="AA822" s="3"/>
      <c r="AB822" s="3"/>
      <c r="AC822" s="3"/>
      <c r="AD822" s="3"/>
      <c r="AE822" s="3"/>
      <c r="AF822" s="3"/>
      <c r="AG822" s="3"/>
      <c r="AH822" s="3"/>
      <c r="AI822" s="3"/>
      <c r="AJ822" s="3"/>
      <c r="AK822" s="3"/>
      <c r="AL822" s="3"/>
      <c r="AM822" s="3"/>
      <c r="AN822" s="3"/>
      <c r="AO822" s="3"/>
      <c r="AP822" s="3"/>
      <c r="AQ822" s="3"/>
      <c r="AR822" s="3"/>
      <c r="AS822" s="3"/>
      <c r="AT822" s="3"/>
      <c r="AU822" s="3"/>
      <c r="AV822" s="3"/>
      <c r="AW822" s="3"/>
    </row>
    <row r="823" spans="12:49" x14ac:dyDescent="0.35">
      <c r="L823" s="3"/>
      <c r="M823" s="3"/>
      <c r="N823" s="3"/>
      <c r="O823" s="65"/>
      <c r="Q823" s="3"/>
      <c r="R823" s="3"/>
      <c r="S823" s="3"/>
      <c r="T823" s="3"/>
      <c r="V823" s="3"/>
      <c r="W823" s="3"/>
      <c r="X823" s="3"/>
      <c r="Y823" s="3"/>
      <c r="Z823" s="3"/>
      <c r="AA823" s="3"/>
      <c r="AB823" s="3"/>
      <c r="AC823" s="3"/>
      <c r="AD823" s="3"/>
      <c r="AE823" s="3"/>
      <c r="AF823" s="3"/>
      <c r="AG823" s="3"/>
      <c r="AH823" s="3"/>
      <c r="AI823" s="3"/>
      <c r="AJ823" s="3"/>
      <c r="AK823" s="3"/>
      <c r="AL823" s="3"/>
      <c r="AM823" s="3"/>
      <c r="AN823" s="3"/>
      <c r="AO823" s="3"/>
      <c r="AP823" s="3"/>
      <c r="AQ823" s="3"/>
      <c r="AR823" s="3"/>
      <c r="AS823" s="3"/>
      <c r="AT823" s="3"/>
      <c r="AU823" s="3"/>
      <c r="AV823" s="3"/>
      <c r="AW823" s="3"/>
    </row>
    <row r="824" spans="12:49" x14ac:dyDescent="0.35">
      <c r="L824" s="3"/>
      <c r="M824" s="3"/>
      <c r="N824" s="3"/>
      <c r="O824" s="65"/>
      <c r="Q824" s="3"/>
      <c r="R824" s="3"/>
      <c r="S824" s="3"/>
      <c r="T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row>
    <row r="825" spans="12:49" x14ac:dyDescent="0.35">
      <c r="L825" s="3"/>
      <c r="M825" s="3"/>
      <c r="N825" s="3"/>
      <c r="O825" s="65"/>
      <c r="Q825" s="3"/>
      <c r="R825" s="3"/>
      <c r="S825" s="3"/>
      <c r="T825" s="3"/>
      <c r="V825" s="3"/>
      <c r="W825" s="3"/>
      <c r="X825" s="3"/>
      <c r="Y825" s="3"/>
      <c r="Z825" s="3"/>
      <c r="AA825" s="3"/>
      <c r="AB825" s="3"/>
      <c r="AC825" s="3"/>
      <c r="AD825" s="3"/>
      <c r="AE825" s="3"/>
      <c r="AF825" s="3"/>
      <c r="AG825" s="3"/>
      <c r="AH825" s="3"/>
      <c r="AI825" s="3"/>
      <c r="AJ825" s="3"/>
      <c r="AK825" s="3"/>
      <c r="AL825" s="3"/>
      <c r="AM825" s="3"/>
      <c r="AN825" s="3"/>
      <c r="AO825" s="3"/>
      <c r="AP825" s="3"/>
      <c r="AQ825" s="3"/>
      <c r="AR825" s="3"/>
      <c r="AS825" s="3"/>
      <c r="AT825" s="3"/>
      <c r="AU825" s="3"/>
      <c r="AV825" s="3"/>
      <c r="AW825" s="3"/>
    </row>
    <row r="826" spans="12:49" x14ac:dyDescent="0.35">
      <c r="L826" s="3"/>
      <c r="M826" s="3"/>
      <c r="N826" s="3"/>
      <c r="O826" s="65"/>
      <c r="Q826" s="3"/>
      <c r="R826" s="3"/>
      <c r="S826" s="3"/>
      <c r="T826" s="3"/>
      <c r="V826" s="3"/>
      <c r="W826" s="3"/>
      <c r="X826" s="3"/>
      <c r="Y826" s="3"/>
      <c r="Z826" s="3"/>
      <c r="AA826" s="3"/>
      <c r="AB826" s="3"/>
      <c r="AC826" s="3"/>
      <c r="AD826" s="3"/>
      <c r="AE826" s="3"/>
      <c r="AF826" s="3"/>
      <c r="AG826" s="3"/>
      <c r="AH826" s="3"/>
      <c r="AI826" s="3"/>
      <c r="AJ826" s="3"/>
      <c r="AK826" s="3"/>
      <c r="AL826" s="3"/>
      <c r="AM826" s="3"/>
      <c r="AN826" s="3"/>
      <c r="AO826" s="3"/>
      <c r="AP826" s="3"/>
      <c r="AQ826" s="3"/>
      <c r="AR826" s="3"/>
      <c r="AS826" s="3"/>
      <c r="AT826" s="3"/>
      <c r="AU826" s="3"/>
      <c r="AV826" s="3"/>
      <c r="AW826" s="3"/>
    </row>
    <row r="827" spans="12:49" x14ac:dyDescent="0.35">
      <c r="L827" s="3"/>
      <c r="M827" s="3"/>
      <c r="N827" s="3"/>
      <c r="O827" s="65"/>
      <c r="Q827" s="3"/>
      <c r="R827" s="3"/>
      <c r="S827" s="3"/>
      <c r="T827" s="3"/>
      <c r="V827" s="3"/>
      <c r="W827" s="3"/>
      <c r="X827" s="3"/>
      <c r="Y827" s="3"/>
      <c r="Z827" s="3"/>
      <c r="AA827" s="3"/>
      <c r="AB827" s="3"/>
      <c r="AC827" s="3"/>
      <c r="AD827" s="3"/>
      <c r="AE827" s="3"/>
      <c r="AF827" s="3"/>
      <c r="AG827" s="3"/>
      <c r="AH827" s="3"/>
      <c r="AI827" s="3"/>
      <c r="AJ827" s="3"/>
      <c r="AK827" s="3"/>
      <c r="AL827" s="3"/>
      <c r="AM827" s="3"/>
      <c r="AN827" s="3"/>
      <c r="AO827" s="3"/>
      <c r="AP827" s="3"/>
      <c r="AQ827" s="3"/>
      <c r="AR827" s="3"/>
      <c r="AS827" s="3"/>
      <c r="AT827" s="3"/>
      <c r="AU827" s="3"/>
      <c r="AV827" s="3"/>
      <c r="AW827" s="3"/>
    </row>
    <row r="828" spans="12:49" x14ac:dyDescent="0.35">
      <c r="L828" s="3"/>
      <c r="M828" s="3"/>
      <c r="N828" s="3"/>
      <c r="O828" s="65"/>
      <c r="Q828" s="3"/>
      <c r="R828" s="3"/>
      <c r="S828" s="3"/>
      <c r="T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row>
    <row r="829" spans="12:49" x14ac:dyDescent="0.35">
      <c r="L829" s="3"/>
      <c r="M829" s="3"/>
      <c r="N829" s="3"/>
      <c r="O829" s="65"/>
      <c r="Q829" s="3"/>
      <c r="R829" s="3"/>
      <c r="S829" s="3"/>
      <c r="T829" s="3"/>
      <c r="V829" s="3"/>
      <c r="W829" s="3"/>
      <c r="X829" s="3"/>
      <c r="Y829" s="3"/>
      <c r="Z829" s="3"/>
      <c r="AA829" s="3"/>
      <c r="AB829" s="3"/>
      <c r="AC829" s="3"/>
      <c r="AD829" s="3"/>
      <c r="AE829" s="3"/>
      <c r="AF829" s="3"/>
      <c r="AG829" s="3"/>
      <c r="AH829" s="3"/>
      <c r="AI829" s="3"/>
      <c r="AJ829" s="3"/>
      <c r="AK829" s="3"/>
      <c r="AL829" s="3"/>
      <c r="AM829" s="3"/>
      <c r="AN829" s="3"/>
      <c r="AO829" s="3"/>
      <c r="AP829" s="3"/>
      <c r="AQ829" s="3"/>
      <c r="AR829" s="3"/>
      <c r="AS829" s="3"/>
      <c r="AT829" s="3"/>
      <c r="AU829" s="3"/>
      <c r="AV829" s="3"/>
      <c r="AW829" s="3"/>
    </row>
    <row r="830" spans="12:49" x14ac:dyDescent="0.35">
      <c r="L830" s="3"/>
      <c r="M830" s="3"/>
      <c r="N830" s="3"/>
      <c r="O830" s="65"/>
      <c r="Q830" s="3"/>
      <c r="R830" s="3"/>
      <c r="S830" s="3"/>
      <c r="T830" s="3"/>
      <c r="V830" s="3"/>
      <c r="W830" s="3"/>
      <c r="X830" s="3"/>
      <c r="Y830" s="3"/>
      <c r="Z830" s="3"/>
      <c r="AA830" s="3"/>
      <c r="AB830" s="3"/>
      <c r="AC830" s="3"/>
      <c r="AD830" s="3"/>
      <c r="AE830" s="3"/>
      <c r="AF830" s="3"/>
      <c r="AG830" s="3"/>
      <c r="AH830" s="3"/>
      <c r="AI830" s="3"/>
      <c r="AJ830" s="3"/>
      <c r="AK830" s="3"/>
      <c r="AL830" s="3"/>
      <c r="AM830" s="3"/>
      <c r="AN830" s="3"/>
      <c r="AO830" s="3"/>
      <c r="AP830" s="3"/>
      <c r="AQ830" s="3"/>
      <c r="AR830" s="3"/>
      <c r="AS830" s="3"/>
      <c r="AT830" s="3"/>
      <c r="AU830" s="3"/>
      <c r="AV830" s="3"/>
      <c r="AW830" s="3"/>
    </row>
    <row r="831" spans="12:49" x14ac:dyDescent="0.35">
      <c r="L831" s="3"/>
      <c r="M831" s="3"/>
      <c r="N831" s="3"/>
      <c r="O831" s="65"/>
      <c r="Q831" s="3"/>
      <c r="R831" s="3"/>
      <c r="S831" s="3"/>
      <c r="T831" s="3"/>
      <c r="V831" s="3"/>
      <c r="W831" s="3"/>
      <c r="X831" s="3"/>
      <c r="Y831" s="3"/>
      <c r="Z831" s="3"/>
      <c r="AA831" s="3"/>
      <c r="AB831" s="3"/>
      <c r="AC831" s="3"/>
      <c r="AD831" s="3"/>
      <c r="AE831" s="3"/>
      <c r="AF831" s="3"/>
      <c r="AG831" s="3"/>
      <c r="AH831" s="3"/>
      <c r="AI831" s="3"/>
      <c r="AJ831" s="3"/>
      <c r="AK831" s="3"/>
      <c r="AL831" s="3"/>
      <c r="AM831" s="3"/>
      <c r="AN831" s="3"/>
      <c r="AO831" s="3"/>
      <c r="AP831" s="3"/>
      <c r="AQ831" s="3"/>
      <c r="AR831" s="3"/>
      <c r="AS831" s="3"/>
      <c r="AT831" s="3"/>
      <c r="AU831" s="3"/>
      <c r="AV831" s="3"/>
      <c r="AW831" s="3"/>
    </row>
    <row r="832" spans="12:49" x14ac:dyDescent="0.35">
      <c r="L832" s="3"/>
      <c r="M832" s="3"/>
      <c r="N832" s="3"/>
      <c r="O832" s="65"/>
      <c r="Q832" s="3"/>
      <c r="R832" s="3"/>
      <c r="S832" s="3"/>
      <c r="T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row>
    <row r="833" spans="12:49" x14ac:dyDescent="0.35">
      <c r="L833" s="3"/>
      <c r="M833" s="3"/>
      <c r="N833" s="3"/>
      <c r="O833" s="65"/>
      <c r="Q833" s="3"/>
      <c r="R833" s="3"/>
      <c r="S833" s="3"/>
      <c r="T833" s="3"/>
      <c r="V833" s="3"/>
      <c r="W833" s="3"/>
      <c r="X833" s="3"/>
      <c r="Y833" s="3"/>
      <c r="Z833" s="3"/>
      <c r="AA833" s="3"/>
      <c r="AB833" s="3"/>
      <c r="AC833" s="3"/>
      <c r="AD833" s="3"/>
      <c r="AE833" s="3"/>
      <c r="AF833" s="3"/>
      <c r="AG833" s="3"/>
      <c r="AH833" s="3"/>
      <c r="AI833" s="3"/>
      <c r="AJ833" s="3"/>
      <c r="AK833" s="3"/>
      <c r="AL833" s="3"/>
      <c r="AM833" s="3"/>
      <c r="AN833" s="3"/>
      <c r="AO833" s="3"/>
      <c r="AP833" s="3"/>
      <c r="AQ833" s="3"/>
      <c r="AR833" s="3"/>
      <c r="AS833" s="3"/>
      <c r="AT833" s="3"/>
      <c r="AU833" s="3"/>
      <c r="AV833" s="3"/>
      <c r="AW833" s="3"/>
    </row>
    <row r="834" spans="12:49" x14ac:dyDescent="0.35">
      <c r="L834" s="3"/>
      <c r="M834" s="3"/>
      <c r="N834" s="3"/>
      <c r="O834" s="65"/>
      <c r="Q834" s="3"/>
      <c r="R834" s="3"/>
      <c r="S834" s="3"/>
      <c r="T834" s="3"/>
      <c r="V834" s="3"/>
      <c r="W834" s="3"/>
      <c r="X834" s="3"/>
      <c r="Y834" s="3"/>
      <c r="Z834" s="3"/>
      <c r="AA834" s="3"/>
      <c r="AB834" s="3"/>
      <c r="AC834" s="3"/>
      <c r="AD834" s="3"/>
      <c r="AE834" s="3"/>
      <c r="AF834" s="3"/>
      <c r="AG834" s="3"/>
      <c r="AH834" s="3"/>
      <c r="AI834" s="3"/>
      <c r="AJ834" s="3"/>
      <c r="AK834" s="3"/>
      <c r="AL834" s="3"/>
      <c r="AM834" s="3"/>
      <c r="AN834" s="3"/>
      <c r="AO834" s="3"/>
      <c r="AP834" s="3"/>
      <c r="AQ834" s="3"/>
      <c r="AR834" s="3"/>
      <c r="AS834" s="3"/>
      <c r="AT834" s="3"/>
      <c r="AU834" s="3"/>
      <c r="AV834" s="3"/>
      <c r="AW834" s="3"/>
    </row>
    <row r="835" spans="12:49" x14ac:dyDescent="0.35">
      <c r="L835" s="3"/>
      <c r="M835" s="3"/>
      <c r="N835" s="3"/>
      <c r="O835" s="65"/>
      <c r="Q835" s="3"/>
      <c r="R835" s="3"/>
      <c r="S835" s="3"/>
      <c r="T835" s="3"/>
      <c r="V835" s="3"/>
      <c r="W835" s="3"/>
      <c r="X835" s="3"/>
      <c r="Y835" s="3"/>
      <c r="Z835" s="3"/>
      <c r="AA835" s="3"/>
      <c r="AB835" s="3"/>
      <c r="AC835" s="3"/>
      <c r="AD835" s="3"/>
      <c r="AE835" s="3"/>
      <c r="AF835" s="3"/>
      <c r="AG835" s="3"/>
      <c r="AH835" s="3"/>
      <c r="AI835" s="3"/>
      <c r="AJ835" s="3"/>
      <c r="AK835" s="3"/>
      <c r="AL835" s="3"/>
      <c r="AM835" s="3"/>
      <c r="AN835" s="3"/>
      <c r="AO835" s="3"/>
      <c r="AP835" s="3"/>
      <c r="AQ835" s="3"/>
      <c r="AR835" s="3"/>
      <c r="AS835" s="3"/>
      <c r="AT835" s="3"/>
      <c r="AU835" s="3"/>
      <c r="AV835" s="3"/>
      <c r="AW835" s="3"/>
    </row>
    <row r="836" spans="12:49" x14ac:dyDescent="0.35">
      <c r="L836" s="3"/>
      <c r="M836" s="3"/>
      <c r="N836" s="3"/>
      <c r="O836" s="65"/>
      <c r="Q836" s="3"/>
      <c r="R836" s="3"/>
      <c r="S836" s="3"/>
      <c r="T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row>
    <row r="837" spans="12:49" x14ac:dyDescent="0.35">
      <c r="L837" s="3"/>
      <c r="M837" s="3"/>
      <c r="N837" s="3"/>
      <c r="O837" s="65"/>
      <c r="Q837" s="3"/>
      <c r="R837" s="3"/>
      <c r="S837" s="3"/>
      <c r="T837" s="3"/>
      <c r="V837" s="3"/>
      <c r="W837" s="3"/>
      <c r="X837" s="3"/>
      <c r="Y837" s="3"/>
      <c r="Z837" s="3"/>
      <c r="AA837" s="3"/>
      <c r="AB837" s="3"/>
      <c r="AC837" s="3"/>
      <c r="AD837" s="3"/>
      <c r="AE837" s="3"/>
      <c r="AF837" s="3"/>
      <c r="AG837" s="3"/>
      <c r="AH837" s="3"/>
      <c r="AI837" s="3"/>
      <c r="AJ837" s="3"/>
      <c r="AK837" s="3"/>
      <c r="AL837" s="3"/>
      <c r="AM837" s="3"/>
      <c r="AN837" s="3"/>
      <c r="AO837" s="3"/>
      <c r="AP837" s="3"/>
      <c r="AQ837" s="3"/>
      <c r="AR837" s="3"/>
      <c r="AS837" s="3"/>
      <c r="AT837" s="3"/>
      <c r="AU837" s="3"/>
      <c r="AV837" s="3"/>
      <c r="AW837" s="3"/>
    </row>
    <row r="838" spans="12:49" x14ac:dyDescent="0.35">
      <c r="L838" s="3"/>
      <c r="M838" s="3"/>
      <c r="N838" s="3"/>
      <c r="O838" s="65"/>
      <c r="Q838" s="3"/>
      <c r="R838" s="3"/>
      <c r="S838" s="3"/>
      <c r="T838" s="3"/>
      <c r="V838" s="3"/>
      <c r="W838" s="3"/>
      <c r="X838" s="3"/>
      <c r="Y838" s="3"/>
      <c r="Z838" s="3"/>
      <c r="AA838" s="3"/>
      <c r="AB838" s="3"/>
      <c r="AC838" s="3"/>
      <c r="AD838" s="3"/>
      <c r="AE838" s="3"/>
      <c r="AF838" s="3"/>
      <c r="AG838" s="3"/>
      <c r="AH838" s="3"/>
      <c r="AI838" s="3"/>
      <c r="AJ838" s="3"/>
      <c r="AK838" s="3"/>
      <c r="AL838" s="3"/>
      <c r="AM838" s="3"/>
      <c r="AN838" s="3"/>
      <c r="AO838" s="3"/>
      <c r="AP838" s="3"/>
      <c r="AQ838" s="3"/>
      <c r="AR838" s="3"/>
      <c r="AS838" s="3"/>
      <c r="AT838" s="3"/>
      <c r="AU838" s="3"/>
      <c r="AV838" s="3"/>
      <c r="AW838" s="3"/>
    </row>
    <row r="839" spans="12:49" x14ac:dyDescent="0.35">
      <c r="L839" s="3"/>
      <c r="M839" s="3"/>
      <c r="N839" s="3"/>
      <c r="O839" s="65"/>
      <c r="Q839" s="3"/>
      <c r="R839" s="3"/>
      <c r="S839" s="3"/>
      <c r="T839" s="3"/>
      <c r="V839" s="3"/>
      <c r="W839" s="3"/>
      <c r="X839" s="3"/>
      <c r="Y839" s="3"/>
      <c r="Z839" s="3"/>
      <c r="AA839" s="3"/>
      <c r="AB839" s="3"/>
      <c r="AC839" s="3"/>
      <c r="AD839" s="3"/>
      <c r="AE839" s="3"/>
      <c r="AF839" s="3"/>
      <c r="AG839" s="3"/>
      <c r="AH839" s="3"/>
      <c r="AI839" s="3"/>
      <c r="AJ839" s="3"/>
      <c r="AK839" s="3"/>
      <c r="AL839" s="3"/>
      <c r="AM839" s="3"/>
      <c r="AN839" s="3"/>
      <c r="AO839" s="3"/>
      <c r="AP839" s="3"/>
      <c r="AQ839" s="3"/>
      <c r="AR839" s="3"/>
      <c r="AS839" s="3"/>
      <c r="AT839" s="3"/>
      <c r="AU839" s="3"/>
      <c r="AV839" s="3"/>
      <c r="AW839" s="3"/>
    </row>
    <row r="840" spans="12:49" x14ac:dyDescent="0.35">
      <c r="L840" s="3"/>
      <c r="M840" s="3"/>
      <c r="N840" s="3"/>
      <c r="O840" s="65"/>
      <c r="Q840" s="3"/>
      <c r="R840" s="3"/>
      <c r="S840" s="3"/>
      <c r="T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row>
    <row r="841" spans="12:49" x14ac:dyDescent="0.35">
      <c r="L841" s="3"/>
      <c r="M841" s="3"/>
      <c r="N841" s="3"/>
      <c r="O841" s="65"/>
      <c r="Q841" s="3"/>
      <c r="R841" s="3"/>
      <c r="S841" s="3"/>
      <c r="T841" s="3"/>
      <c r="V841" s="3"/>
      <c r="W841" s="3"/>
      <c r="X841" s="3"/>
      <c r="Y841" s="3"/>
      <c r="Z841" s="3"/>
      <c r="AA841" s="3"/>
      <c r="AB841" s="3"/>
      <c r="AC841" s="3"/>
      <c r="AD841" s="3"/>
      <c r="AE841" s="3"/>
      <c r="AF841" s="3"/>
      <c r="AG841" s="3"/>
      <c r="AH841" s="3"/>
      <c r="AI841" s="3"/>
      <c r="AJ841" s="3"/>
      <c r="AK841" s="3"/>
      <c r="AL841" s="3"/>
      <c r="AM841" s="3"/>
      <c r="AN841" s="3"/>
      <c r="AO841" s="3"/>
      <c r="AP841" s="3"/>
      <c r="AQ841" s="3"/>
      <c r="AR841" s="3"/>
      <c r="AS841" s="3"/>
      <c r="AT841" s="3"/>
      <c r="AU841" s="3"/>
      <c r="AV841" s="3"/>
      <c r="AW841" s="3"/>
    </row>
    <row r="842" spans="12:49" x14ac:dyDescent="0.35">
      <c r="L842" s="3"/>
      <c r="M842" s="3"/>
      <c r="N842" s="3"/>
      <c r="O842" s="65"/>
      <c r="Q842" s="3"/>
      <c r="R842" s="3"/>
      <c r="S842" s="3"/>
      <c r="T842" s="3"/>
      <c r="V842" s="3"/>
      <c r="W842" s="3"/>
      <c r="X842" s="3"/>
      <c r="Y842" s="3"/>
      <c r="Z842" s="3"/>
      <c r="AA842" s="3"/>
      <c r="AB842" s="3"/>
      <c r="AC842" s="3"/>
      <c r="AD842" s="3"/>
      <c r="AE842" s="3"/>
      <c r="AF842" s="3"/>
      <c r="AG842" s="3"/>
      <c r="AH842" s="3"/>
      <c r="AI842" s="3"/>
      <c r="AJ842" s="3"/>
      <c r="AK842" s="3"/>
      <c r="AL842" s="3"/>
      <c r="AM842" s="3"/>
      <c r="AN842" s="3"/>
      <c r="AO842" s="3"/>
      <c r="AP842" s="3"/>
      <c r="AQ842" s="3"/>
      <c r="AR842" s="3"/>
      <c r="AS842" s="3"/>
      <c r="AT842" s="3"/>
      <c r="AU842" s="3"/>
      <c r="AV842" s="3"/>
      <c r="AW842" s="3"/>
    </row>
    <row r="843" spans="12:49" x14ac:dyDescent="0.35">
      <c r="L843" s="3"/>
      <c r="M843" s="3"/>
      <c r="N843" s="3"/>
      <c r="O843" s="65"/>
      <c r="Q843" s="3"/>
      <c r="R843" s="3"/>
      <c r="S843" s="3"/>
      <c r="T843" s="3"/>
      <c r="V843" s="3"/>
      <c r="W843" s="3"/>
      <c r="X843" s="3"/>
      <c r="Y843" s="3"/>
      <c r="Z843" s="3"/>
      <c r="AA843" s="3"/>
      <c r="AB843" s="3"/>
      <c r="AC843" s="3"/>
      <c r="AD843" s="3"/>
      <c r="AE843" s="3"/>
      <c r="AF843" s="3"/>
      <c r="AG843" s="3"/>
      <c r="AH843" s="3"/>
      <c r="AI843" s="3"/>
      <c r="AJ843" s="3"/>
      <c r="AK843" s="3"/>
      <c r="AL843" s="3"/>
      <c r="AM843" s="3"/>
      <c r="AN843" s="3"/>
      <c r="AO843" s="3"/>
      <c r="AP843" s="3"/>
      <c r="AQ843" s="3"/>
      <c r="AR843" s="3"/>
      <c r="AS843" s="3"/>
      <c r="AT843" s="3"/>
      <c r="AU843" s="3"/>
      <c r="AV843" s="3"/>
      <c r="AW843" s="3"/>
    </row>
    <row r="844" spans="12:49" x14ac:dyDescent="0.35">
      <c r="L844" s="3"/>
      <c r="M844" s="3"/>
      <c r="N844" s="3"/>
      <c r="O844" s="65"/>
      <c r="Q844" s="3"/>
      <c r="R844" s="3"/>
      <c r="S844" s="3"/>
      <c r="T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row>
    <row r="845" spans="12:49" x14ac:dyDescent="0.35">
      <c r="L845" s="3"/>
      <c r="M845" s="3"/>
      <c r="N845" s="3"/>
      <c r="O845" s="65"/>
      <c r="Q845" s="3"/>
      <c r="R845" s="3"/>
      <c r="S845" s="3"/>
      <c r="T845" s="3"/>
      <c r="V845" s="3"/>
      <c r="W845" s="3"/>
      <c r="X845" s="3"/>
      <c r="Y845" s="3"/>
      <c r="Z845" s="3"/>
      <c r="AA845" s="3"/>
      <c r="AB845" s="3"/>
      <c r="AC845" s="3"/>
      <c r="AD845" s="3"/>
      <c r="AE845" s="3"/>
      <c r="AF845" s="3"/>
      <c r="AG845" s="3"/>
      <c r="AH845" s="3"/>
      <c r="AI845" s="3"/>
      <c r="AJ845" s="3"/>
      <c r="AK845" s="3"/>
      <c r="AL845" s="3"/>
      <c r="AM845" s="3"/>
      <c r="AN845" s="3"/>
      <c r="AO845" s="3"/>
      <c r="AP845" s="3"/>
      <c r="AQ845" s="3"/>
      <c r="AR845" s="3"/>
      <c r="AS845" s="3"/>
      <c r="AT845" s="3"/>
      <c r="AU845" s="3"/>
      <c r="AV845" s="3"/>
      <c r="AW845" s="3"/>
    </row>
    <row r="846" spans="12:49" x14ac:dyDescent="0.35">
      <c r="L846" s="3"/>
      <c r="M846" s="3"/>
      <c r="N846" s="3"/>
      <c r="O846" s="65"/>
      <c r="Q846" s="3"/>
      <c r="R846" s="3"/>
      <c r="S846" s="3"/>
      <c r="T846" s="3"/>
      <c r="V846" s="3"/>
      <c r="W846" s="3"/>
      <c r="X846" s="3"/>
      <c r="Y846" s="3"/>
      <c r="Z846" s="3"/>
      <c r="AA846" s="3"/>
      <c r="AB846" s="3"/>
      <c r="AC846" s="3"/>
      <c r="AD846" s="3"/>
      <c r="AE846" s="3"/>
      <c r="AF846" s="3"/>
      <c r="AG846" s="3"/>
      <c r="AH846" s="3"/>
      <c r="AI846" s="3"/>
      <c r="AJ846" s="3"/>
      <c r="AK846" s="3"/>
      <c r="AL846" s="3"/>
      <c r="AM846" s="3"/>
      <c r="AN846" s="3"/>
      <c r="AO846" s="3"/>
      <c r="AP846" s="3"/>
      <c r="AQ846" s="3"/>
      <c r="AR846" s="3"/>
      <c r="AS846" s="3"/>
      <c r="AT846" s="3"/>
      <c r="AU846" s="3"/>
      <c r="AV846" s="3"/>
      <c r="AW846" s="3"/>
    </row>
    <row r="847" spans="12:49" x14ac:dyDescent="0.35">
      <c r="L847" s="3"/>
      <c r="M847" s="3"/>
      <c r="N847" s="3"/>
      <c r="O847" s="65"/>
      <c r="Q847" s="3"/>
      <c r="R847" s="3"/>
      <c r="S847" s="3"/>
      <c r="T847" s="3"/>
      <c r="V847" s="3"/>
      <c r="W847" s="3"/>
      <c r="X847" s="3"/>
      <c r="Y847" s="3"/>
      <c r="Z847" s="3"/>
      <c r="AA847" s="3"/>
      <c r="AB847" s="3"/>
      <c r="AC847" s="3"/>
      <c r="AD847" s="3"/>
      <c r="AE847" s="3"/>
      <c r="AF847" s="3"/>
      <c r="AG847" s="3"/>
      <c r="AH847" s="3"/>
      <c r="AI847" s="3"/>
      <c r="AJ847" s="3"/>
      <c r="AK847" s="3"/>
      <c r="AL847" s="3"/>
      <c r="AM847" s="3"/>
      <c r="AN847" s="3"/>
      <c r="AO847" s="3"/>
      <c r="AP847" s="3"/>
      <c r="AQ847" s="3"/>
      <c r="AR847" s="3"/>
      <c r="AS847" s="3"/>
      <c r="AT847" s="3"/>
      <c r="AU847" s="3"/>
      <c r="AV847" s="3"/>
      <c r="AW847" s="3"/>
    </row>
    <row r="848" spans="12:49" x14ac:dyDescent="0.35">
      <c r="L848" s="3"/>
      <c r="M848" s="3"/>
      <c r="N848" s="3"/>
      <c r="O848" s="65"/>
      <c r="Q848" s="3"/>
      <c r="R848" s="3"/>
      <c r="S848" s="3"/>
      <c r="T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row>
    <row r="849" spans="12:49" x14ac:dyDescent="0.35">
      <c r="L849" s="3"/>
      <c r="M849" s="3"/>
      <c r="N849" s="3"/>
      <c r="O849" s="65"/>
      <c r="Q849" s="3"/>
      <c r="R849" s="3"/>
      <c r="S849" s="3"/>
      <c r="T849" s="3"/>
      <c r="V849" s="3"/>
      <c r="W849" s="3"/>
      <c r="X849" s="3"/>
      <c r="Y849" s="3"/>
      <c r="Z849" s="3"/>
      <c r="AA849" s="3"/>
      <c r="AB849" s="3"/>
      <c r="AC849" s="3"/>
      <c r="AD849" s="3"/>
      <c r="AE849" s="3"/>
      <c r="AF849" s="3"/>
      <c r="AG849" s="3"/>
      <c r="AH849" s="3"/>
      <c r="AI849" s="3"/>
      <c r="AJ849" s="3"/>
      <c r="AK849" s="3"/>
      <c r="AL849" s="3"/>
      <c r="AM849" s="3"/>
      <c r="AN849" s="3"/>
      <c r="AO849" s="3"/>
      <c r="AP849" s="3"/>
      <c r="AQ849" s="3"/>
      <c r="AR849" s="3"/>
      <c r="AS849" s="3"/>
      <c r="AT849" s="3"/>
      <c r="AU849" s="3"/>
      <c r="AV849" s="3"/>
      <c r="AW849" s="3"/>
    </row>
    <row r="850" spans="12:49" x14ac:dyDescent="0.35">
      <c r="L850" s="3"/>
      <c r="M850" s="3"/>
      <c r="N850" s="3"/>
      <c r="O850" s="65"/>
      <c r="Q850" s="3"/>
      <c r="R850" s="3"/>
      <c r="S850" s="3"/>
      <c r="T850" s="3"/>
      <c r="V850" s="3"/>
      <c r="W850" s="3"/>
      <c r="X850" s="3"/>
      <c r="Y850" s="3"/>
      <c r="Z850" s="3"/>
      <c r="AA850" s="3"/>
      <c r="AB850" s="3"/>
      <c r="AC850" s="3"/>
      <c r="AD850" s="3"/>
      <c r="AE850" s="3"/>
      <c r="AF850" s="3"/>
      <c r="AG850" s="3"/>
      <c r="AH850" s="3"/>
      <c r="AI850" s="3"/>
      <c r="AJ850" s="3"/>
      <c r="AK850" s="3"/>
      <c r="AL850" s="3"/>
      <c r="AM850" s="3"/>
      <c r="AN850" s="3"/>
      <c r="AO850" s="3"/>
      <c r="AP850" s="3"/>
      <c r="AQ850" s="3"/>
      <c r="AR850" s="3"/>
      <c r="AS850" s="3"/>
      <c r="AT850" s="3"/>
      <c r="AU850" s="3"/>
      <c r="AV850" s="3"/>
      <c r="AW850" s="3"/>
    </row>
    <row r="851" spans="12:49" x14ac:dyDescent="0.35">
      <c r="L851" s="3"/>
      <c r="M851" s="3"/>
      <c r="N851" s="3"/>
      <c r="O851" s="65"/>
      <c r="Q851" s="3"/>
      <c r="R851" s="3"/>
      <c r="S851" s="3"/>
      <c r="T851" s="3"/>
      <c r="V851" s="3"/>
      <c r="W851" s="3"/>
      <c r="X851" s="3"/>
      <c r="Y851" s="3"/>
      <c r="Z851" s="3"/>
      <c r="AA851" s="3"/>
      <c r="AB851" s="3"/>
      <c r="AC851" s="3"/>
      <c r="AD851" s="3"/>
      <c r="AE851" s="3"/>
      <c r="AF851" s="3"/>
      <c r="AG851" s="3"/>
      <c r="AH851" s="3"/>
      <c r="AI851" s="3"/>
      <c r="AJ851" s="3"/>
      <c r="AK851" s="3"/>
      <c r="AL851" s="3"/>
      <c r="AM851" s="3"/>
      <c r="AN851" s="3"/>
      <c r="AO851" s="3"/>
      <c r="AP851" s="3"/>
      <c r="AQ851" s="3"/>
      <c r="AR851" s="3"/>
      <c r="AS851" s="3"/>
      <c r="AT851" s="3"/>
      <c r="AU851" s="3"/>
      <c r="AV851" s="3"/>
      <c r="AW851" s="3"/>
    </row>
    <row r="852" spans="12:49" x14ac:dyDescent="0.35">
      <c r="L852" s="3"/>
      <c r="M852" s="3"/>
      <c r="N852" s="3"/>
      <c r="O852" s="65"/>
      <c r="Q852" s="3"/>
      <c r="R852" s="3"/>
      <c r="S852" s="3"/>
      <c r="T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row>
    <row r="853" spans="12:49" x14ac:dyDescent="0.35">
      <c r="L853" s="3"/>
      <c r="M853" s="3"/>
      <c r="N853" s="3"/>
      <c r="O853" s="65"/>
      <c r="Q853" s="3"/>
      <c r="R853" s="3"/>
      <c r="S853" s="3"/>
      <c r="T853" s="3"/>
      <c r="V853" s="3"/>
      <c r="W853" s="3"/>
      <c r="X853" s="3"/>
      <c r="Y853" s="3"/>
      <c r="Z853" s="3"/>
      <c r="AA853" s="3"/>
      <c r="AB853" s="3"/>
      <c r="AC853" s="3"/>
      <c r="AD853" s="3"/>
      <c r="AE853" s="3"/>
      <c r="AF853" s="3"/>
      <c r="AG853" s="3"/>
      <c r="AH853" s="3"/>
      <c r="AI853" s="3"/>
      <c r="AJ853" s="3"/>
      <c r="AK853" s="3"/>
      <c r="AL853" s="3"/>
      <c r="AM853" s="3"/>
      <c r="AN853" s="3"/>
      <c r="AO853" s="3"/>
      <c r="AP853" s="3"/>
      <c r="AQ853" s="3"/>
      <c r="AR853" s="3"/>
      <c r="AS853" s="3"/>
      <c r="AT853" s="3"/>
      <c r="AU853" s="3"/>
      <c r="AV853" s="3"/>
      <c r="AW853" s="3"/>
    </row>
    <row r="854" spans="12:49" x14ac:dyDescent="0.35">
      <c r="L854" s="3"/>
      <c r="M854" s="3"/>
      <c r="N854" s="3"/>
      <c r="O854" s="65"/>
      <c r="Q854" s="3"/>
      <c r="R854" s="3"/>
      <c r="S854" s="3"/>
      <c r="T854" s="3"/>
      <c r="V854" s="3"/>
      <c r="W854" s="3"/>
      <c r="X854" s="3"/>
      <c r="Y854" s="3"/>
      <c r="Z854" s="3"/>
      <c r="AA854" s="3"/>
      <c r="AB854" s="3"/>
      <c r="AC854" s="3"/>
      <c r="AD854" s="3"/>
      <c r="AE854" s="3"/>
      <c r="AF854" s="3"/>
      <c r="AG854" s="3"/>
      <c r="AH854" s="3"/>
      <c r="AI854" s="3"/>
      <c r="AJ854" s="3"/>
      <c r="AK854" s="3"/>
      <c r="AL854" s="3"/>
      <c r="AM854" s="3"/>
      <c r="AN854" s="3"/>
      <c r="AO854" s="3"/>
      <c r="AP854" s="3"/>
      <c r="AQ854" s="3"/>
      <c r="AR854" s="3"/>
      <c r="AS854" s="3"/>
      <c r="AT854" s="3"/>
      <c r="AU854" s="3"/>
      <c r="AV854" s="3"/>
      <c r="AW854" s="3"/>
    </row>
    <row r="855" spans="12:49" x14ac:dyDescent="0.35">
      <c r="L855" s="3"/>
      <c r="M855" s="3"/>
      <c r="N855" s="3"/>
      <c r="O855" s="65"/>
      <c r="Q855" s="3"/>
      <c r="R855" s="3"/>
      <c r="S855" s="3"/>
      <c r="T855" s="3"/>
      <c r="V855" s="3"/>
      <c r="W855" s="3"/>
      <c r="X855" s="3"/>
      <c r="Y855" s="3"/>
      <c r="Z855" s="3"/>
      <c r="AA855" s="3"/>
      <c r="AB855" s="3"/>
      <c r="AC855" s="3"/>
      <c r="AD855" s="3"/>
      <c r="AE855" s="3"/>
      <c r="AF855" s="3"/>
      <c r="AG855" s="3"/>
      <c r="AH855" s="3"/>
      <c r="AI855" s="3"/>
      <c r="AJ855" s="3"/>
      <c r="AK855" s="3"/>
      <c r="AL855" s="3"/>
      <c r="AM855" s="3"/>
      <c r="AN855" s="3"/>
      <c r="AO855" s="3"/>
      <c r="AP855" s="3"/>
      <c r="AQ855" s="3"/>
      <c r="AR855" s="3"/>
      <c r="AS855" s="3"/>
      <c r="AT855" s="3"/>
      <c r="AU855" s="3"/>
      <c r="AV855" s="3"/>
      <c r="AW855" s="3"/>
    </row>
    <row r="856" spans="12:49" x14ac:dyDescent="0.35">
      <c r="L856" s="3"/>
      <c r="M856" s="3"/>
      <c r="N856" s="3"/>
      <c r="O856" s="65"/>
      <c r="Q856" s="3"/>
      <c r="R856" s="3"/>
      <c r="S856" s="3"/>
      <c r="T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row>
    <row r="857" spans="12:49" x14ac:dyDescent="0.35">
      <c r="L857" s="3"/>
      <c r="M857" s="3"/>
      <c r="N857" s="3"/>
      <c r="O857" s="65"/>
      <c r="Q857" s="3"/>
      <c r="R857" s="3"/>
      <c r="S857" s="3"/>
      <c r="T857" s="3"/>
      <c r="V857" s="3"/>
      <c r="W857" s="3"/>
      <c r="X857" s="3"/>
      <c r="Y857" s="3"/>
      <c r="Z857" s="3"/>
      <c r="AA857" s="3"/>
      <c r="AB857" s="3"/>
      <c r="AC857" s="3"/>
      <c r="AD857" s="3"/>
      <c r="AE857" s="3"/>
      <c r="AF857" s="3"/>
      <c r="AG857" s="3"/>
      <c r="AH857" s="3"/>
      <c r="AI857" s="3"/>
      <c r="AJ857" s="3"/>
      <c r="AK857" s="3"/>
      <c r="AL857" s="3"/>
      <c r="AM857" s="3"/>
      <c r="AN857" s="3"/>
      <c r="AO857" s="3"/>
      <c r="AP857" s="3"/>
      <c r="AQ857" s="3"/>
      <c r="AR857" s="3"/>
      <c r="AS857" s="3"/>
      <c r="AT857" s="3"/>
      <c r="AU857" s="3"/>
      <c r="AV857" s="3"/>
      <c r="AW857" s="3"/>
    </row>
    <row r="858" spans="12:49" x14ac:dyDescent="0.35">
      <c r="L858" s="3"/>
      <c r="M858" s="3"/>
      <c r="N858" s="3"/>
      <c r="O858" s="65"/>
      <c r="Q858" s="3"/>
      <c r="R858" s="3"/>
      <c r="S858" s="3"/>
      <c r="T858" s="3"/>
      <c r="V858" s="3"/>
      <c r="W858" s="3"/>
      <c r="X858" s="3"/>
      <c r="Y858" s="3"/>
      <c r="Z858" s="3"/>
      <c r="AA858" s="3"/>
      <c r="AB858" s="3"/>
      <c r="AC858" s="3"/>
      <c r="AD858" s="3"/>
      <c r="AE858" s="3"/>
      <c r="AF858" s="3"/>
      <c r="AG858" s="3"/>
      <c r="AH858" s="3"/>
      <c r="AI858" s="3"/>
      <c r="AJ858" s="3"/>
      <c r="AK858" s="3"/>
      <c r="AL858" s="3"/>
      <c r="AM858" s="3"/>
      <c r="AN858" s="3"/>
      <c r="AO858" s="3"/>
      <c r="AP858" s="3"/>
      <c r="AQ858" s="3"/>
      <c r="AR858" s="3"/>
      <c r="AS858" s="3"/>
      <c r="AT858" s="3"/>
      <c r="AU858" s="3"/>
      <c r="AV858" s="3"/>
      <c r="AW858" s="3"/>
    </row>
    <row r="859" spans="12:49" x14ac:dyDescent="0.35">
      <c r="L859" s="3"/>
      <c r="M859" s="3"/>
      <c r="N859" s="3"/>
      <c r="O859" s="65"/>
      <c r="Q859" s="3"/>
      <c r="R859" s="3"/>
      <c r="S859" s="3"/>
      <c r="T859" s="3"/>
      <c r="V859" s="3"/>
      <c r="W859" s="3"/>
      <c r="X859" s="3"/>
      <c r="Y859" s="3"/>
      <c r="Z859" s="3"/>
      <c r="AA859" s="3"/>
      <c r="AB859" s="3"/>
      <c r="AC859" s="3"/>
      <c r="AD859" s="3"/>
      <c r="AE859" s="3"/>
      <c r="AF859" s="3"/>
      <c r="AG859" s="3"/>
      <c r="AH859" s="3"/>
      <c r="AI859" s="3"/>
      <c r="AJ859" s="3"/>
      <c r="AK859" s="3"/>
      <c r="AL859" s="3"/>
      <c r="AM859" s="3"/>
      <c r="AN859" s="3"/>
      <c r="AO859" s="3"/>
      <c r="AP859" s="3"/>
      <c r="AQ859" s="3"/>
      <c r="AR859" s="3"/>
      <c r="AS859" s="3"/>
      <c r="AT859" s="3"/>
      <c r="AU859" s="3"/>
      <c r="AV859" s="3"/>
      <c r="AW859" s="3"/>
    </row>
    <row r="860" spans="12:49" x14ac:dyDescent="0.35">
      <c r="L860" s="3"/>
      <c r="M860" s="3"/>
      <c r="N860" s="3"/>
      <c r="O860" s="65"/>
      <c r="Q860" s="3"/>
      <c r="R860" s="3"/>
      <c r="S860" s="3"/>
      <c r="T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row>
    <row r="861" spans="12:49" x14ac:dyDescent="0.35">
      <c r="L861" s="3"/>
      <c r="M861" s="3"/>
      <c r="N861" s="3"/>
      <c r="O861" s="65"/>
      <c r="Q861" s="3"/>
      <c r="R861" s="3"/>
      <c r="S861" s="3"/>
      <c r="T861" s="3"/>
      <c r="V861" s="3"/>
      <c r="W861" s="3"/>
      <c r="X861" s="3"/>
      <c r="Y861" s="3"/>
      <c r="Z861" s="3"/>
      <c r="AA861" s="3"/>
      <c r="AB861" s="3"/>
      <c r="AC861" s="3"/>
      <c r="AD861" s="3"/>
      <c r="AE861" s="3"/>
      <c r="AF861" s="3"/>
      <c r="AG861" s="3"/>
      <c r="AH861" s="3"/>
      <c r="AI861" s="3"/>
      <c r="AJ861" s="3"/>
      <c r="AK861" s="3"/>
      <c r="AL861" s="3"/>
      <c r="AM861" s="3"/>
      <c r="AN861" s="3"/>
      <c r="AO861" s="3"/>
      <c r="AP861" s="3"/>
      <c r="AQ861" s="3"/>
      <c r="AR861" s="3"/>
      <c r="AS861" s="3"/>
      <c r="AT861" s="3"/>
      <c r="AU861" s="3"/>
      <c r="AV861" s="3"/>
      <c r="AW861" s="3"/>
    </row>
    <row r="862" spans="12:49" x14ac:dyDescent="0.35">
      <c r="L862" s="3"/>
      <c r="M862" s="3"/>
      <c r="N862" s="3"/>
      <c r="O862" s="65"/>
      <c r="Q862" s="3"/>
      <c r="R862" s="3"/>
      <c r="S862" s="3"/>
      <c r="T862" s="3"/>
      <c r="V862" s="3"/>
      <c r="W862" s="3"/>
      <c r="X862" s="3"/>
      <c r="Y862" s="3"/>
      <c r="Z862" s="3"/>
      <c r="AA862" s="3"/>
      <c r="AB862" s="3"/>
      <c r="AC862" s="3"/>
      <c r="AD862" s="3"/>
      <c r="AE862" s="3"/>
      <c r="AF862" s="3"/>
      <c r="AG862" s="3"/>
      <c r="AH862" s="3"/>
      <c r="AI862" s="3"/>
      <c r="AJ862" s="3"/>
      <c r="AK862" s="3"/>
      <c r="AL862" s="3"/>
      <c r="AM862" s="3"/>
      <c r="AN862" s="3"/>
      <c r="AO862" s="3"/>
      <c r="AP862" s="3"/>
      <c r="AQ862" s="3"/>
      <c r="AR862" s="3"/>
      <c r="AS862" s="3"/>
      <c r="AT862" s="3"/>
      <c r="AU862" s="3"/>
      <c r="AV862" s="3"/>
      <c r="AW862" s="3"/>
    </row>
    <row r="863" spans="12:49" x14ac:dyDescent="0.35">
      <c r="L863" s="3"/>
      <c r="M863" s="3"/>
      <c r="N863" s="3"/>
      <c r="O863" s="65"/>
      <c r="Q863" s="3"/>
      <c r="R863" s="3"/>
      <c r="S863" s="3"/>
      <c r="T863" s="3"/>
      <c r="V863" s="3"/>
      <c r="W863" s="3"/>
      <c r="X863" s="3"/>
      <c r="Y863" s="3"/>
      <c r="Z863" s="3"/>
      <c r="AA863" s="3"/>
      <c r="AB863" s="3"/>
      <c r="AC863" s="3"/>
      <c r="AD863" s="3"/>
      <c r="AE863" s="3"/>
      <c r="AF863" s="3"/>
      <c r="AG863" s="3"/>
      <c r="AH863" s="3"/>
      <c r="AI863" s="3"/>
      <c r="AJ863" s="3"/>
      <c r="AK863" s="3"/>
      <c r="AL863" s="3"/>
      <c r="AM863" s="3"/>
      <c r="AN863" s="3"/>
      <c r="AO863" s="3"/>
      <c r="AP863" s="3"/>
      <c r="AQ863" s="3"/>
      <c r="AR863" s="3"/>
      <c r="AS863" s="3"/>
      <c r="AT863" s="3"/>
      <c r="AU863" s="3"/>
      <c r="AV863" s="3"/>
      <c r="AW863" s="3"/>
    </row>
    <row r="864" spans="12:49" x14ac:dyDescent="0.35">
      <c r="L864" s="3"/>
      <c r="M864" s="3"/>
      <c r="N864" s="3"/>
      <c r="O864" s="65"/>
      <c r="Q864" s="3"/>
      <c r="R864" s="3"/>
      <c r="S864" s="3"/>
      <c r="T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row>
    <row r="865" spans="12:49" x14ac:dyDescent="0.35">
      <c r="L865" s="3"/>
      <c r="M865" s="3"/>
      <c r="N865" s="3"/>
      <c r="O865" s="65"/>
      <c r="Q865" s="3"/>
      <c r="R865" s="3"/>
      <c r="S865" s="3"/>
      <c r="T865" s="3"/>
      <c r="V865" s="3"/>
      <c r="W865" s="3"/>
      <c r="X865" s="3"/>
      <c r="Y865" s="3"/>
      <c r="Z865" s="3"/>
      <c r="AA865" s="3"/>
      <c r="AB865" s="3"/>
      <c r="AC865" s="3"/>
      <c r="AD865" s="3"/>
      <c r="AE865" s="3"/>
      <c r="AF865" s="3"/>
      <c r="AG865" s="3"/>
      <c r="AH865" s="3"/>
      <c r="AI865" s="3"/>
      <c r="AJ865" s="3"/>
      <c r="AK865" s="3"/>
      <c r="AL865" s="3"/>
      <c r="AM865" s="3"/>
      <c r="AN865" s="3"/>
      <c r="AO865" s="3"/>
      <c r="AP865" s="3"/>
      <c r="AQ865" s="3"/>
      <c r="AR865" s="3"/>
      <c r="AS865" s="3"/>
      <c r="AT865" s="3"/>
      <c r="AU865" s="3"/>
      <c r="AV865" s="3"/>
      <c r="AW865" s="3"/>
    </row>
    <row r="866" spans="12:49" x14ac:dyDescent="0.35">
      <c r="L866" s="3"/>
      <c r="M866" s="3"/>
      <c r="N866" s="3"/>
      <c r="O866" s="65"/>
      <c r="Q866" s="3"/>
      <c r="R866" s="3"/>
      <c r="S866" s="3"/>
      <c r="T866" s="3"/>
      <c r="V866" s="3"/>
      <c r="W866" s="3"/>
      <c r="X866" s="3"/>
      <c r="Y866" s="3"/>
      <c r="Z866" s="3"/>
      <c r="AA866" s="3"/>
      <c r="AB866" s="3"/>
      <c r="AC866" s="3"/>
      <c r="AD866" s="3"/>
      <c r="AE866" s="3"/>
      <c r="AF866" s="3"/>
      <c r="AG866" s="3"/>
      <c r="AH866" s="3"/>
      <c r="AI866" s="3"/>
      <c r="AJ866" s="3"/>
      <c r="AK866" s="3"/>
      <c r="AL866" s="3"/>
      <c r="AM866" s="3"/>
      <c r="AN866" s="3"/>
      <c r="AO866" s="3"/>
      <c r="AP866" s="3"/>
      <c r="AQ866" s="3"/>
      <c r="AR866" s="3"/>
      <c r="AS866" s="3"/>
      <c r="AT866" s="3"/>
      <c r="AU866" s="3"/>
      <c r="AV866" s="3"/>
      <c r="AW866" s="3"/>
    </row>
    <row r="867" spans="12:49" x14ac:dyDescent="0.35">
      <c r="L867" s="3"/>
      <c r="M867" s="3"/>
      <c r="N867" s="3"/>
      <c r="O867" s="65"/>
      <c r="Q867" s="3"/>
      <c r="R867" s="3"/>
      <c r="S867" s="3"/>
      <c r="T867" s="3"/>
      <c r="V867" s="3"/>
      <c r="W867" s="3"/>
      <c r="X867" s="3"/>
      <c r="Y867" s="3"/>
      <c r="Z867" s="3"/>
      <c r="AA867" s="3"/>
      <c r="AB867" s="3"/>
      <c r="AC867" s="3"/>
      <c r="AD867" s="3"/>
      <c r="AE867" s="3"/>
      <c r="AF867" s="3"/>
      <c r="AG867" s="3"/>
      <c r="AH867" s="3"/>
      <c r="AI867" s="3"/>
      <c r="AJ867" s="3"/>
      <c r="AK867" s="3"/>
      <c r="AL867" s="3"/>
      <c r="AM867" s="3"/>
      <c r="AN867" s="3"/>
      <c r="AO867" s="3"/>
      <c r="AP867" s="3"/>
      <c r="AQ867" s="3"/>
      <c r="AR867" s="3"/>
      <c r="AS867" s="3"/>
      <c r="AT867" s="3"/>
      <c r="AU867" s="3"/>
      <c r="AV867" s="3"/>
      <c r="AW867" s="3"/>
    </row>
    <row r="868" spans="12:49" x14ac:dyDescent="0.35">
      <c r="L868" s="3"/>
      <c r="M868" s="3"/>
      <c r="N868" s="3"/>
      <c r="O868" s="65"/>
      <c r="Q868" s="3"/>
      <c r="R868" s="3"/>
      <c r="S868" s="3"/>
      <c r="T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row>
    <row r="869" spans="12:49" x14ac:dyDescent="0.35">
      <c r="L869" s="3"/>
      <c r="M869" s="3"/>
      <c r="N869" s="3"/>
      <c r="O869" s="65"/>
      <c r="Q869" s="3"/>
      <c r="R869" s="3"/>
      <c r="S869" s="3"/>
      <c r="T869" s="3"/>
      <c r="V869" s="3"/>
      <c r="W869" s="3"/>
      <c r="X869" s="3"/>
      <c r="Y869" s="3"/>
      <c r="Z869" s="3"/>
      <c r="AA869" s="3"/>
      <c r="AB869" s="3"/>
      <c r="AC869" s="3"/>
      <c r="AD869" s="3"/>
      <c r="AE869" s="3"/>
      <c r="AF869" s="3"/>
      <c r="AG869" s="3"/>
      <c r="AH869" s="3"/>
      <c r="AI869" s="3"/>
      <c r="AJ869" s="3"/>
      <c r="AK869" s="3"/>
      <c r="AL869" s="3"/>
      <c r="AM869" s="3"/>
      <c r="AN869" s="3"/>
      <c r="AO869" s="3"/>
      <c r="AP869" s="3"/>
      <c r="AQ869" s="3"/>
      <c r="AR869" s="3"/>
      <c r="AS869" s="3"/>
      <c r="AT869" s="3"/>
      <c r="AU869" s="3"/>
      <c r="AV869" s="3"/>
      <c r="AW869" s="3"/>
    </row>
    <row r="870" spans="12:49" x14ac:dyDescent="0.35">
      <c r="L870" s="3"/>
      <c r="M870" s="3"/>
      <c r="N870" s="3"/>
      <c r="O870" s="65"/>
      <c r="Q870" s="3"/>
      <c r="R870" s="3"/>
      <c r="S870" s="3"/>
      <c r="T870" s="3"/>
      <c r="V870" s="3"/>
      <c r="W870" s="3"/>
      <c r="X870" s="3"/>
      <c r="Y870" s="3"/>
      <c r="Z870" s="3"/>
      <c r="AA870" s="3"/>
      <c r="AB870" s="3"/>
      <c r="AC870" s="3"/>
      <c r="AD870" s="3"/>
      <c r="AE870" s="3"/>
      <c r="AF870" s="3"/>
      <c r="AG870" s="3"/>
      <c r="AH870" s="3"/>
      <c r="AI870" s="3"/>
      <c r="AJ870" s="3"/>
      <c r="AK870" s="3"/>
      <c r="AL870" s="3"/>
      <c r="AM870" s="3"/>
      <c r="AN870" s="3"/>
      <c r="AO870" s="3"/>
      <c r="AP870" s="3"/>
      <c r="AQ870" s="3"/>
      <c r="AR870" s="3"/>
      <c r="AS870" s="3"/>
      <c r="AT870" s="3"/>
      <c r="AU870" s="3"/>
      <c r="AV870" s="3"/>
      <c r="AW870" s="3"/>
    </row>
    <row r="871" spans="12:49" x14ac:dyDescent="0.35">
      <c r="L871" s="3"/>
      <c r="M871" s="3"/>
      <c r="N871" s="3"/>
      <c r="O871" s="65"/>
      <c r="Q871" s="3"/>
      <c r="R871" s="3"/>
      <c r="S871" s="3"/>
      <c r="T871" s="3"/>
      <c r="V871" s="3"/>
      <c r="W871" s="3"/>
      <c r="X871" s="3"/>
      <c r="Y871" s="3"/>
      <c r="Z871" s="3"/>
      <c r="AA871" s="3"/>
      <c r="AB871" s="3"/>
      <c r="AC871" s="3"/>
      <c r="AD871" s="3"/>
      <c r="AE871" s="3"/>
      <c r="AF871" s="3"/>
      <c r="AG871" s="3"/>
      <c r="AH871" s="3"/>
      <c r="AI871" s="3"/>
      <c r="AJ871" s="3"/>
      <c r="AK871" s="3"/>
      <c r="AL871" s="3"/>
      <c r="AM871" s="3"/>
      <c r="AN871" s="3"/>
      <c r="AO871" s="3"/>
      <c r="AP871" s="3"/>
      <c r="AQ871" s="3"/>
      <c r="AR871" s="3"/>
      <c r="AS871" s="3"/>
      <c r="AT871" s="3"/>
      <c r="AU871" s="3"/>
      <c r="AV871" s="3"/>
      <c r="AW871" s="3"/>
    </row>
    <row r="872" spans="12:49" x14ac:dyDescent="0.35">
      <c r="L872" s="3"/>
      <c r="M872" s="3"/>
      <c r="N872" s="3"/>
      <c r="O872" s="65"/>
      <c r="Q872" s="3"/>
      <c r="R872" s="3"/>
      <c r="S872" s="3"/>
      <c r="T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row>
    <row r="873" spans="12:49" x14ac:dyDescent="0.35">
      <c r="L873" s="3"/>
      <c r="M873" s="3"/>
      <c r="N873" s="3"/>
      <c r="O873" s="65"/>
      <c r="Q873" s="3"/>
      <c r="R873" s="3"/>
      <c r="S873" s="3"/>
      <c r="T873" s="3"/>
      <c r="V873" s="3"/>
      <c r="W873" s="3"/>
      <c r="X873" s="3"/>
      <c r="Y873" s="3"/>
      <c r="Z873" s="3"/>
      <c r="AA873" s="3"/>
      <c r="AB873" s="3"/>
      <c r="AC873" s="3"/>
      <c r="AD873" s="3"/>
      <c r="AE873" s="3"/>
      <c r="AF873" s="3"/>
      <c r="AG873" s="3"/>
      <c r="AH873" s="3"/>
      <c r="AI873" s="3"/>
      <c r="AJ873" s="3"/>
      <c r="AK873" s="3"/>
      <c r="AL873" s="3"/>
      <c r="AM873" s="3"/>
      <c r="AN873" s="3"/>
      <c r="AO873" s="3"/>
      <c r="AP873" s="3"/>
      <c r="AQ873" s="3"/>
      <c r="AR873" s="3"/>
      <c r="AS873" s="3"/>
      <c r="AT873" s="3"/>
      <c r="AU873" s="3"/>
      <c r="AV873" s="3"/>
      <c r="AW873" s="3"/>
    </row>
    <row r="874" spans="12:49" x14ac:dyDescent="0.35">
      <c r="L874" s="3"/>
      <c r="M874" s="3"/>
      <c r="N874" s="3"/>
      <c r="O874" s="65"/>
      <c r="Q874" s="3"/>
      <c r="R874" s="3"/>
      <c r="S874" s="3"/>
      <c r="T874" s="3"/>
      <c r="V874" s="3"/>
      <c r="W874" s="3"/>
      <c r="X874" s="3"/>
      <c r="Y874" s="3"/>
      <c r="Z874" s="3"/>
      <c r="AA874" s="3"/>
      <c r="AB874" s="3"/>
      <c r="AC874" s="3"/>
      <c r="AD874" s="3"/>
      <c r="AE874" s="3"/>
      <c r="AF874" s="3"/>
      <c r="AG874" s="3"/>
      <c r="AH874" s="3"/>
      <c r="AI874" s="3"/>
      <c r="AJ874" s="3"/>
      <c r="AK874" s="3"/>
      <c r="AL874" s="3"/>
      <c r="AM874" s="3"/>
      <c r="AN874" s="3"/>
      <c r="AO874" s="3"/>
      <c r="AP874" s="3"/>
      <c r="AQ874" s="3"/>
      <c r="AR874" s="3"/>
      <c r="AS874" s="3"/>
      <c r="AT874" s="3"/>
      <c r="AU874" s="3"/>
      <c r="AV874" s="3"/>
      <c r="AW874" s="3"/>
    </row>
    <row r="875" spans="12:49" x14ac:dyDescent="0.35">
      <c r="L875" s="3"/>
      <c r="M875" s="3"/>
      <c r="N875" s="3"/>
      <c r="O875" s="65"/>
      <c r="Q875" s="3"/>
      <c r="R875" s="3"/>
      <c r="S875" s="3"/>
      <c r="T875" s="3"/>
      <c r="V875" s="3"/>
      <c r="W875" s="3"/>
      <c r="X875" s="3"/>
      <c r="Y875" s="3"/>
      <c r="Z875" s="3"/>
      <c r="AA875" s="3"/>
      <c r="AB875" s="3"/>
      <c r="AC875" s="3"/>
      <c r="AD875" s="3"/>
      <c r="AE875" s="3"/>
      <c r="AF875" s="3"/>
      <c r="AG875" s="3"/>
      <c r="AH875" s="3"/>
      <c r="AI875" s="3"/>
      <c r="AJ875" s="3"/>
      <c r="AK875" s="3"/>
      <c r="AL875" s="3"/>
      <c r="AM875" s="3"/>
      <c r="AN875" s="3"/>
      <c r="AO875" s="3"/>
      <c r="AP875" s="3"/>
      <c r="AQ875" s="3"/>
      <c r="AR875" s="3"/>
      <c r="AS875" s="3"/>
      <c r="AT875" s="3"/>
      <c r="AU875" s="3"/>
      <c r="AV875" s="3"/>
      <c r="AW875" s="3"/>
    </row>
    <row r="876" spans="12:49" x14ac:dyDescent="0.35">
      <c r="L876" s="3"/>
      <c r="M876" s="3"/>
      <c r="N876" s="3"/>
      <c r="O876" s="65"/>
      <c r="Q876" s="3"/>
      <c r="R876" s="3"/>
      <c r="S876" s="3"/>
      <c r="T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row>
    <row r="877" spans="12:49" x14ac:dyDescent="0.35">
      <c r="L877" s="3"/>
      <c r="M877" s="3"/>
      <c r="N877" s="3"/>
      <c r="O877" s="65"/>
      <c r="Q877" s="3"/>
      <c r="R877" s="3"/>
      <c r="S877" s="3"/>
      <c r="T877" s="3"/>
      <c r="V877" s="3"/>
      <c r="W877" s="3"/>
      <c r="X877" s="3"/>
      <c r="Y877" s="3"/>
      <c r="Z877" s="3"/>
      <c r="AA877" s="3"/>
      <c r="AB877" s="3"/>
      <c r="AC877" s="3"/>
      <c r="AD877" s="3"/>
      <c r="AE877" s="3"/>
      <c r="AF877" s="3"/>
      <c r="AG877" s="3"/>
      <c r="AH877" s="3"/>
      <c r="AI877" s="3"/>
      <c r="AJ877" s="3"/>
      <c r="AK877" s="3"/>
      <c r="AL877" s="3"/>
      <c r="AM877" s="3"/>
      <c r="AN877" s="3"/>
      <c r="AO877" s="3"/>
      <c r="AP877" s="3"/>
      <c r="AQ877" s="3"/>
      <c r="AR877" s="3"/>
      <c r="AS877" s="3"/>
      <c r="AT877" s="3"/>
      <c r="AU877" s="3"/>
      <c r="AV877" s="3"/>
      <c r="AW877" s="3"/>
    </row>
    <row r="878" spans="12:49" x14ac:dyDescent="0.35">
      <c r="L878" s="3"/>
      <c r="M878" s="3"/>
      <c r="N878" s="3"/>
      <c r="O878" s="65"/>
      <c r="Q878" s="3"/>
      <c r="R878" s="3"/>
      <c r="S878" s="3"/>
      <c r="T878" s="3"/>
      <c r="V878" s="3"/>
      <c r="W878" s="3"/>
      <c r="X878" s="3"/>
      <c r="Y878" s="3"/>
      <c r="Z878" s="3"/>
      <c r="AA878" s="3"/>
      <c r="AB878" s="3"/>
      <c r="AC878" s="3"/>
      <c r="AD878" s="3"/>
      <c r="AE878" s="3"/>
      <c r="AF878" s="3"/>
      <c r="AG878" s="3"/>
      <c r="AH878" s="3"/>
      <c r="AI878" s="3"/>
      <c r="AJ878" s="3"/>
      <c r="AK878" s="3"/>
      <c r="AL878" s="3"/>
      <c r="AM878" s="3"/>
      <c r="AN878" s="3"/>
      <c r="AO878" s="3"/>
      <c r="AP878" s="3"/>
      <c r="AQ878" s="3"/>
      <c r="AR878" s="3"/>
      <c r="AS878" s="3"/>
      <c r="AT878" s="3"/>
      <c r="AU878" s="3"/>
      <c r="AV878" s="3"/>
      <c r="AW878" s="3"/>
    </row>
    <row r="879" spans="12:49" x14ac:dyDescent="0.35">
      <c r="L879" s="3"/>
      <c r="M879" s="3"/>
      <c r="N879" s="3"/>
      <c r="O879" s="65"/>
      <c r="Q879" s="3"/>
      <c r="R879" s="3"/>
      <c r="S879" s="3"/>
      <c r="T879" s="3"/>
      <c r="V879" s="3"/>
      <c r="W879" s="3"/>
      <c r="X879" s="3"/>
      <c r="Y879" s="3"/>
      <c r="Z879" s="3"/>
      <c r="AA879" s="3"/>
      <c r="AB879" s="3"/>
      <c r="AC879" s="3"/>
      <c r="AD879" s="3"/>
      <c r="AE879" s="3"/>
      <c r="AF879" s="3"/>
      <c r="AG879" s="3"/>
      <c r="AH879" s="3"/>
      <c r="AI879" s="3"/>
      <c r="AJ879" s="3"/>
      <c r="AK879" s="3"/>
      <c r="AL879" s="3"/>
      <c r="AM879" s="3"/>
      <c r="AN879" s="3"/>
      <c r="AO879" s="3"/>
      <c r="AP879" s="3"/>
      <c r="AQ879" s="3"/>
      <c r="AR879" s="3"/>
      <c r="AS879" s="3"/>
      <c r="AT879" s="3"/>
      <c r="AU879" s="3"/>
      <c r="AV879" s="3"/>
      <c r="AW879" s="3"/>
    </row>
    <row r="880" spans="12:49" x14ac:dyDescent="0.35">
      <c r="L880" s="3"/>
      <c r="M880" s="3"/>
      <c r="N880" s="3"/>
      <c r="O880" s="65"/>
      <c r="Q880" s="3"/>
      <c r="R880" s="3"/>
      <c r="S880" s="3"/>
      <c r="T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row>
    <row r="881" spans="12:49" x14ac:dyDescent="0.35">
      <c r="L881" s="3"/>
      <c r="M881" s="3"/>
      <c r="N881" s="3"/>
      <c r="O881" s="65"/>
      <c r="Q881" s="3"/>
      <c r="R881" s="3"/>
      <c r="S881" s="3"/>
      <c r="T881" s="3"/>
      <c r="V881" s="3"/>
      <c r="W881" s="3"/>
      <c r="X881" s="3"/>
      <c r="Y881" s="3"/>
      <c r="Z881" s="3"/>
      <c r="AA881" s="3"/>
      <c r="AB881" s="3"/>
      <c r="AC881" s="3"/>
      <c r="AD881" s="3"/>
      <c r="AE881" s="3"/>
      <c r="AF881" s="3"/>
      <c r="AG881" s="3"/>
      <c r="AH881" s="3"/>
      <c r="AI881" s="3"/>
      <c r="AJ881" s="3"/>
      <c r="AK881" s="3"/>
      <c r="AL881" s="3"/>
      <c r="AM881" s="3"/>
      <c r="AN881" s="3"/>
      <c r="AO881" s="3"/>
      <c r="AP881" s="3"/>
      <c r="AQ881" s="3"/>
      <c r="AR881" s="3"/>
      <c r="AS881" s="3"/>
      <c r="AT881" s="3"/>
      <c r="AU881" s="3"/>
      <c r="AV881" s="3"/>
      <c r="AW881" s="3"/>
    </row>
    <row r="882" spans="12:49" x14ac:dyDescent="0.35">
      <c r="L882" s="3"/>
      <c r="M882" s="3"/>
      <c r="N882" s="3"/>
      <c r="O882" s="65"/>
      <c r="Q882" s="3"/>
      <c r="R882" s="3"/>
      <c r="S882" s="3"/>
      <c r="T882" s="3"/>
      <c r="V882" s="3"/>
      <c r="W882" s="3"/>
      <c r="X882" s="3"/>
      <c r="Y882" s="3"/>
      <c r="Z882" s="3"/>
      <c r="AA882" s="3"/>
      <c r="AB882" s="3"/>
      <c r="AC882" s="3"/>
      <c r="AD882" s="3"/>
      <c r="AE882" s="3"/>
      <c r="AF882" s="3"/>
      <c r="AG882" s="3"/>
      <c r="AH882" s="3"/>
      <c r="AI882" s="3"/>
      <c r="AJ882" s="3"/>
      <c r="AK882" s="3"/>
      <c r="AL882" s="3"/>
      <c r="AM882" s="3"/>
      <c r="AN882" s="3"/>
      <c r="AO882" s="3"/>
      <c r="AP882" s="3"/>
      <c r="AQ882" s="3"/>
      <c r="AR882" s="3"/>
      <c r="AS882" s="3"/>
      <c r="AT882" s="3"/>
      <c r="AU882" s="3"/>
      <c r="AV882" s="3"/>
      <c r="AW882" s="3"/>
    </row>
    <row r="883" spans="12:49" x14ac:dyDescent="0.35">
      <c r="L883" s="3"/>
      <c r="M883" s="3"/>
      <c r="N883" s="3"/>
      <c r="O883" s="65"/>
      <c r="Q883" s="3"/>
      <c r="R883" s="3"/>
      <c r="S883" s="3"/>
      <c r="T883" s="3"/>
      <c r="V883" s="3"/>
      <c r="W883" s="3"/>
      <c r="X883" s="3"/>
      <c r="Y883" s="3"/>
      <c r="Z883" s="3"/>
      <c r="AA883" s="3"/>
      <c r="AB883" s="3"/>
      <c r="AC883" s="3"/>
      <c r="AD883" s="3"/>
      <c r="AE883" s="3"/>
      <c r="AF883" s="3"/>
      <c r="AG883" s="3"/>
      <c r="AH883" s="3"/>
      <c r="AI883" s="3"/>
      <c r="AJ883" s="3"/>
      <c r="AK883" s="3"/>
      <c r="AL883" s="3"/>
      <c r="AM883" s="3"/>
      <c r="AN883" s="3"/>
      <c r="AO883" s="3"/>
      <c r="AP883" s="3"/>
      <c r="AQ883" s="3"/>
      <c r="AR883" s="3"/>
      <c r="AS883" s="3"/>
      <c r="AT883" s="3"/>
      <c r="AU883" s="3"/>
      <c r="AV883" s="3"/>
      <c r="AW883" s="3"/>
    </row>
    <row r="884" spans="12:49" x14ac:dyDescent="0.35">
      <c r="L884" s="3"/>
      <c r="M884" s="3"/>
      <c r="N884" s="3"/>
      <c r="O884" s="65"/>
      <c r="Q884" s="3"/>
      <c r="R884" s="3"/>
      <c r="S884" s="3"/>
      <c r="T884" s="3"/>
      <c r="V884" s="3"/>
      <c r="W884" s="3"/>
      <c r="X884" s="3"/>
      <c r="Y884" s="3"/>
      <c r="Z884" s="3"/>
      <c r="AA884" s="3"/>
      <c r="AB884" s="3"/>
      <c r="AC884" s="3"/>
      <c r="AD884" s="3"/>
      <c r="AE884" s="3"/>
      <c r="AF884" s="3"/>
      <c r="AG884" s="3"/>
      <c r="AH884" s="3"/>
      <c r="AI884" s="3"/>
      <c r="AJ884" s="3"/>
      <c r="AK884" s="3"/>
      <c r="AL884" s="3"/>
      <c r="AM884" s="3"/>
      <c r="AN884" s="3"/>
      <c r="AO884" s="3"/>
      <c r="AP884" s="3"/>
      <c r="AQ884" s="3"/>
      <c r="AR884" s="3"/>
      <c r="AS884" s="3"/>
      <c r="AT884" s="3"/>
      <c r="AU884" s="3"/>
      <c r="AV884" s="3"/>
      <c r="AW884" s="3"/>
    </row>
    <row r="885" spans="12:49" x14ac:dyDescent="0.35">
      <c r="L885" s="3"/>
      <c r="M885" s="3"/>
      <c r="N885" s="3"/>
      <c r="O885" s="65"/>
      <c r="Q885" s="3"/>
      <c r="R885" s="3"/>
      <c r="S885" s="3"/>
      <c r="T885" s="3"/>
      <c r="V885" s="3"/>
      <c r="W885" s="3"/>
      <c r="X885" s="3"/>
      <c r="Y885" s="3"/>
      <c r="Z885" s="3"/>
      <c r="AA885" s="3"/>
      <c r="AB885" s="3"/>
      <c r="AC885" s="3"/>
      <c r="AD885" s="3"/>
      <c r="AE885" s="3"/>
      <c r="AF885" s="3"/>
      <c r="AG885" s="3"/>
      <c r="AH885" s="3"/>
      <c r="AI885" s="3"/>
      <c r="AJ885" s="3"/>
      <c r="AK885" s="3"/>
      <c r="AL885" s="3"/>
      <c r="AM885" s="3"/>
      <c r="AN885" s="3"/>
      <c r="AO885" s="3"/>
      <c r="AP885" s="3"/>
      <c r="AQ885" s="3"/>
      <c r="AR885" s="3"/>
      <c r="AS885" s="3"/>
      <c r="AT885" s="3"/>
      <c r="AU885" s="3"/>
      <c r="AV885" s="3"/>
      <c r="AW885" s="3"/>
    </row>
    <row r="886" spans="12:49" x14ac:dyDescent="0.35">
      <c r="L886" s="3"/>
      <c r="M886" s="3"/>
      <c r="N886" s="3"/>
      <c r="O886" s="65"/>
      <c r="Q886" s="3"/>
      <c r="R886" s="3"/>
      <c r="S886" s="3"/>
      <c r="T886" s="3"/>
      <c r="V886" s="3"/>
      <c r="W886" s="3"/>
      <c r="X886" s="3"/>
      <c r="Y886" s="3"/>
      <c r="Z886" s="3"/>
      <c r="AA886" s="3"/>
      <c r="AB886" s="3"/>
      <c r="AC886" s="3"/>
      <c r="AD886" s="3"/>
      <c r="AE886" s="3"/>
      <c r="AF886" s="3"/>
      <c r="AG886" s="3"/>
      <c r="AH886" s="3"/>
      <c r="AI886" s="3"/>
      <c r="AJ886" s="3"/>
      <c r="AK886" s="3"/>
      <c r="AL886" s="3"/>
      <c r="AM886" s="3"/>
      <c r="AN886" s="3"/>
      <c r="AO886" s="3"/>
      <c r="AP886" s="3"/>
      <c r="AQ886" s="3"/>
      <c r="AR886" s="3"/>
      <c r="AS886" s="3"/>
      <c r="AT886" s="3"/>
      <c r="AU886" s="3"/>
      <c r="AV886" s="3"/>
      <c r="AW886" s="3"/>
    </row>
    <row r="887" spans="12:49" x14ac:dyDescent="0.35">
      <c r="L887" s="3"/>
      <c r="M887" s="3"/>
      <c r="N887" s="3"/>
      <c r="O887" s="65"/>
      <c r="Q887" s="3"/>
      <c r="R887" s="3"/>
      <c r="S887" s="3"/>
      <c r="T887" s="3"/>
      <c r="V887" s="3"/>
      <c r="W887" s="3"/>
      <c r="X887" s="3"/>
      <c r="Y887" s="3"/>
      <c r="Z887" s="3"/>
      <c r="AA887" s="3"/>
      <c r="AB887" s="3"/>
      <c r="AC887" s="3"/>
      <c r="AD887" s="3"/>
      <c r="AE887" s="3"/>
      <c r="AF887" s="3"/>
      <c r="AG887" s="3"/>
      <c r="AH887" s="3"/>
      <c r="AI887" s="3"/>
      <c r="AJ887" s="3"/>
      <c r="AK887" s="3"/>
      <c r="AL887" s="3"/>
      <c r="AM887" s="3"/>
      <c r="AN887" s="3"/>
      <c r="AO887" s="3"/>
      <c r="AP887" s="3"/>
      <c r="AQ887" s="3"/>
      <c r="AR887" s="3"/>
      <c r="AS887" s="3"/>
      <c r="AT887" s="3"/>
      <c r="AU887" s="3"/>
      <c r="AV887" s="3"/>
      <c r="AW887" s="3"/>
    </row>
    <row r="888" spans="12:49" x14ac:dyDescent="0.35">
      <c r="L888" s="3"/>
      <c r="M888" s="3"/>
      <c r="N888" s="3"/>
      <c r="O888" s="65"/>
      <c r="Q888" s="3"/>
      <c r="R888" s="3"/>
      <c r="S888" s="3"/>
      <c r="T888" s="3"/>
      <c r="V888" s="3"/>
      <c r="W888" s="3"/>
      <c r="X888" s="3"/>
      <c r="Y888" s="3"/>
      <c r="Z888" s="3"/>
      <c r="AA888" s="3"/>
      <c r="AB888" s="3"/>
      <c r="AC888" s="3"/>
      <c r="AD888" s="3"/>
      <c r="AE888" s="3"/>
      <c r="AF888" s="3"/>
      <c r="AG888" s="3"/>
      <c r="AH888" s="3"/>
      <c r="AI888" s="3"/>
      <c r="AJ888" s="3"/>
      <c r="AK888" s="3"/>
      <c r="AL888" s="3"/>
      <c r="AM888" s="3"/>
      <c r="AN888" s="3"/>
      <c r="AO888" s="3"/>
      <c r="AP888" s="3"/>
      <c r="AQ888" s="3"/>
      <c r="AR888" s="3"/>
      <c r="AS888" s="3"/>
      <c r="AT888" s="3"/>
      <c r="AU888" s="3"/>
      <c r="AV888" s="3"/>
      <c r="AW888" s="3"/>
    </row>
    <row r="889" spans="12:49" x14ac:dyDescent="0.35">
      <c r="L889" s="3"/>
      <c r="M889" s="3"/>
      <c r="N889" s="3"/>
      <c r="O889" s="65"/>
      <c r="Q889" s="3"/>
      <c r="R889" s="3"/>
      <c r="S889" s="3"/>
      <c r="T889" s="3"/>
      <c r="V889" s="3"/>
      <c r="W889" s="3"/>
      <c r="X889" s="3"/>
      <c r="Y889" s="3"/>
      <c r="Z889" s="3"/>
      <c r="AA889" s="3"/>
      <c r="AB889" s="3"/>
      <c r="AC889" s="3"/>
      <c r="AD889" s="3"/>
      <c r="AE889" s="3"/>
      <c r="AF889" s="3"/>
      <c r="AG889" s="3"/>
      <c r="AH889" s="3"/>
      <c r="AI889" s="3"/>
      <c r="AJ889" s="3"/>
      <c r="AK889" s="3"/>
      <c r="AL889" s="3"/>
      <c r="AM889" s="3"/>
      <c r="AN889" s="3"/>
      <c r="AO889" s="3"/>
      <c r="AP889" s="3"/>
      <c r="AQ889" s="3"/>
      <c r="AR889" s="3"/>
      <c r="AS889" s="3"/>
      <c r="AT889" s="3"/>
      <c r="AU889" s="3"/>
      <c r="AV889" s="3"/>
      <c r="AW889" s="3"/>
    </row>
    <row r="890" spans="12:49" x14ac:dyDescent="0.35">
      <c r="L890" s="3"/>
      <c r="M890" s="3"/>
      <c r="N890" s="3"/>
      <c r="O890" s="65"/>
      <c r="Q890" s="3"/>
      <c r="R890" s="3"/>
      <c r="S890" s="3"/>
      <c r="T890" s="3"/>
      <c r="V890" s="3"/>
      <c r="W890" s="3"/>
      <c r="X890" s="3"/>
      <c r="Y890" s="3"/>
      <c r="Z890" s="3"/>
      <c r="AA890" s="3"/>
      <c r="AB890" s="3"/>
      <c r="AC890" s="3"/>
      <c r="AD890" s="3"/>
      <c r="AE890" s="3"/>
      <c r="AF890" s="3"/>
      <c r="AG890" s="3"/>
      <c r="AH890" s="3"/>
      <c r="AI890" s="3"/>
      <c r="AJ890" s="3"/>
      <c r="AK890" s="3"/>
      <c r="AL890" s="3"/>
      <c r="AM890" s="3"/>
      <c r="AN890" s="3"/>
      <c r="AO890" s="3"/>
      <c r="AP890" s="3"/>
      <c r="AQ890" s="3"/>
      <c r="AR890" s="3"/>
      <c r="AS890" s="3"/>
      <c r="AT890" s="3"/>
      <c r="AU890" s="3"/>
      <c r="AV890" s="3"/>
      <c r="AW890" s="3"/>
    </row>
    <row r="891" spans="12:49" x14ac:dyDescent="0.35">
      <c r="L891" s="3"/>
      <c r="M891" s="3"/>
      <c r="N891" s="3"/>
      <c r="O891" s="65"/>
      <c r="Q891" s="3"/>
      <c r="R891" s="3"/>
      <c r="S891" s="3"/>
      <c r="T891" s="3"/>
      <c r="V891" s="3"/>
      <c r="W891" s="3"/>
      <c r="X891" s="3"/>
      <c r="Y891" s="3"/>
      <c r="Z891" s="3"/>
      <c r="AA891" s="3"/>
      <c r="AB891" s="3"/>
      <c r="AC891" s="3"/>
      <c r="AD891" s="3"/>
      <c r="AE891" s="3"/>
      <c r="AF891" s="3"/>
      <c r="AG891" s="3"/>
      <c r="AH891" s="3"/>
      <c r="AI891" s="3"/>
      <c r="AJ891" s="3"/>
      <c r="AK891" s="3"/>
      <c r="AL891" s="3"/>
      <c r="AM891" s="3"/>
      <c r="AN891" s="3"/>
      <c r="AO891" s="3"/>
      <c r="AP891" s="3"/>
      <c r="AQ891" s="3"/>
      <c r="AR891" s="3"/>
      <c r="AS891" s="3"/>
      <c r="AT891" s="3"/>
      <c r="AU891" s="3"/>
      <c r="AV891" s="3"/>
      <c r="AW891" s="3"/>
    </row>
    <row r="892" spans="12:49" x14ac:dyDescent="0.35">
      <c r="L892" s="3"/>
      <c r="M892" s="3"/>
      <c r="N892" s="3"/>
      <c r="O892" s="65"/>
      <c r="Q892" s="3"/>
      <c r="R892" s="3"/>
      <c r="S892" s="3"/>
      <c r="T892" s="3"/>
      <c r="V892" s="3"/>
      <c r="W892" s="3"/>
      <c r="X892" s="3"/>
      <c r="Y892" s="3"/>
      <c r="Z892" s="3"/>
      <c r="AA892" s="3"/>
      <c r="AB892" s="3"/>
      <c r="AC892" s="3"/>
      <c r="AD892" s="3"/>
      <c r="AE892" s="3"/>
      <c r="AF892" s="3"/>
      <c r="AG892" s="3"/>
      <c r="AH892" s="3"/>
      <c r="AI892" s="3"/>
      <c r="AJ892" s="3"/>
      <c r="AK892" s="3"/>
      <c r="AL892" s="3"/>
      <c r="AM892" s="3"/>
      <c r="AN892" s="3"/>
      <c r="AO892" s="3"/>
      <c r="AP892" s="3"/>
      <c r="AQ892" s="3"/>
      <c r="AR892" s="3"/>
      <c r="AS892" s="3"/>
      <c r="AT892" s="3"/>
      <c r="AU892" s="3"/>
      <c r="AV892" s="3"/>
      <c r="AW892" s="3"/>
    </row>
    <row r="893" spans="12:49" x14ac:dyDescent="0.35">
      <c r="L893" s="3"/>
      <c r="M893" s="3"/>
      <c r="N893" s="3"/>
      <c r="O893" s="65"/>
      <c r="Q893" s="3"/>
      <c r="R893" s="3"/>
      <c r="S893" s="3"/>
      <c r="T893" s="3"/>
      <c r="V893" s="3"/>
      <c r="W893" s="3"/>
      <c r="X893" s="3"/>
      <c r="Y893" s="3"/>
      <c r="Z893" s="3"/>
      <c r="AA893" s="3"/>
      <c r="AB893" s="3"/>
      <c r="AC893" s="3"/>
      <c r="AD893" s="3"/>
      <c r="AE893" s="3"/>
      <c r="AF893" s="3"/>
      <c r="AG893" s="3"/>
      <c r="AH893" s="3"/>
      <c r="AI893" s="3"/>
      <c r="AJ893" s="3"/>
      <c r="AK893" s="3"/>
      <c r="AL893" s="3"/>
      <c r="AM893" s="3"/>
      <c r="AN893" s="3"/>
      <c r="AO893" s="3"/>
      <c r="AP893" s="3"/>
      <c r="AQ893" s="3"/>
      <c r="AR893" s="3"/>
      <c r="AS893" s="3"/>
      <c r="AT893" s="3"/>
      <c r="AU893" s="3"/>
      <c r="AV893" s="3"/>
      <c r="AW893" s="3"/>
    </row>
    <row r="894" spans="12:49" x14ac:dyDescent="0.35">
      <c r="L894" s="3"/>
      <c r="M894" s="3"/>
      <c r="N894" s="3"/>
      <c r="O894" s="65"/>
      <c r="Q894" s="3"/>
      <c r="R894" s="3"/>
      <c r="S894" s="3"/>
      <c r="T894" s="3"/>
      <c r="V894" s="3"/>
      <c r="W894" s="3"/>
      <c r="X894" s="3"/>
      <c r="Y894" s="3"/>
      <c r="Z894" s="3"/>
      <c r="AA894" s="3"/>
      <c r="AB894" s="3"/>
      <c r="AC894" s="3"/>
      <c r="AD894" s="3"/>
      <c r="AE894" s="3"/>
      <c r="AF894" s="3"/>
      <c r="AG894" s="3"/>
      <c r="AH894" s="3"/>
      <c r="AI894" s="3"/>
      <c r="AJ894" s="3"/>
      <c r="AK894" s="3"/>
      <c r="AL894" s="3"/>
      <c r="AM894" s="3"/>
      <c r="AN894" s="3"/>
      <c r="AO894" s="3"/>
      <c r="AP894" s="3"/>
      <c r="AQ894" s="3"/>
      <c r="AR894" s="3"/>
      <c r="AS894" s="3"/>
      <c r="AT894" s="3"/>
      <c r="AU894" s="3"/>
      <c r="AV894" s="3"/>
      <c r="AW894" s="3"/>
    </row>
    <row r="895" spans="12:49" x14ac:dyDescent="0.35">
      <c r="L895" s="3"/>
      <c r="M895" s="3"/>
      <c r="N895" s="3"/>
      <c r="O895" s="65"/>
      <c r="Q895" s="3"/>
      <c r="R895" s="3"/>
      <c r="S895" s="3"/>
      <c r="T895" s="3"/>
      <c r="V895" s="3"/>
      <c r="W895" s="3"/>
      <c r="X895" s="3"/>
      <c r="Y895" s="3"/>
      <c r="Z895" s="3"/>
      <c r="AA895" s="3"/>
      <c r="AB895" s="3"/>
      <c r="AC895" s="3"/>
      <c r="AD895" s="3"/>
      <c r="AE895" s="3"/>
      <c r="AF895" s="3"/>
      <c r="AG895" s="3"/>
      <c r="AH895" s="3"/>
      <c r="AI895" s="3"/>
      <c r="AJ895" s="3"/>
      <c r="AK895" s="3"/>
      <c r="AL895" s="3"/>
      <c r="AM895" s="3"/>
      <c r="AN895" s="3"/>
      <c r="AO895" s="3"/>
      <c r="AP895" s="3"/>
      <c r="AQ895" s="3"/>
      <c r="AR895" s="3"/>
      <c r="AS895" s="3"/>
      <c r="AT895" s="3"/>
      <c r="AU895" s="3"/>
      <c r="AV895" s="3"/>
      <c r="AW895" s="3"/>
    </row>
    <row r="896" spans="12:49" x14ac:dyDescent="0.35">
      <c r="L896" s="3"/>
      <c r="M896" s="3"/>
      <c r="N896" s="3"/>
      <c r="O896" s="65"/>
      <c r="Q896" s="3"/>
      <c r="R896" s="3"/>
      <c r="S896" s="3"/>
      <c r="T896" s="3"/>
      <c r="V896" s="3"/>
      <c r="W896" s="3"/>
      <c r="X896" s="3"/>
      <c r="Y896" s="3"/>
      <c r="Z896" s="3"/>
      <c r="AA896" s="3"/>
      <c r="AB896" s="3"/>
      <c r="AC896" s="3"/>
      <c r="AD896" s="3"/>
      <c r="AE896" s="3"/>
      <c r="AF896" s="3"/>
      <c r="AG896" s="3"/>
      <c r="AH896" s="3"/>
      <c r="AI896" s="3"/>
      <c r="AJ896" s="3"/>
      <c r="AK896" s="3"/>
      <c r="AL896" s="3"/>
      <c r="AM896" s="3"/>
      <c r="AN896" s="3"/>
      <c r="AO896" s="3"/>
      <c r="AP896" s="3"/>
      <c r="AQ896" s="3"/>
      <c r="AR896" s="3"/>
      <c r="AS896" s="3"/>
      <c r="AT896" s="3"/>
      <c r="AU896" s="3"/>
      <c r="AV896" s="3"/>
      <c r="AW896" s="3"/>
    </row>
    <row r="897" spans="12:49" x14ac:dyDescent="0.35">
      <c r="L897" s="3"/>
      <c r="M897" s="3"/>
      <c r="N897" s="3"/>
      <c r="O897" s="65"/>
      <c r="Q897" s="3"/>
      <c r="R897" s="3"/>
      <c r="S897" s="3"/>
      <c r="T897" s="3"/>
      <c r="V897" s="3"/>
      <c r="W897" s="3"/>
      <c r="X897" s="3"/>
      <c r="Y897" s="3"/>
      <c r="Z897" s="3"/>
      <c r="AA897" s="3"/>
      <c r="AB897" s="3"/>
      <c r="AC897" s="3"/>
      <c r="AD897" s="3"/>
      <c r="AE897" s="3"/>
      <c r="AF897" s="3"/>
      <c r="AG897" s="3"/>
      <c r="AH897" s="3"/>
      <c r="AI897" s="3"/>
      <c r="AJ897" s="3"/>
      <c r="AK897" s="3"/>
      <c r="AL897" s="3"/>
      <c r="AM897" s="3"/>
      <c r="AN897" s="3"/>
      <c r="AO897" s="3"/>
      <c r="AP897" s="3"/>
      <c r="AQ897" s="3"/>
      <c r="AR897" s="3"/>
      <c r="AS897" s="3"/>
      <c r="AT897" s="3"/>
      <c r="AU897" s="3"/>
      <c r="AV897" s="3"/>
      <c r="AW897" s="3"/>
    </row>
    <row r="898" spans="12:49" x14ac:dyDescent="0.35">
      <c r="L898" s="3"/>
      <c r="M898" s="3"/>
      <c r="N898" s="3"/>
      <c r="O898" s="65"/>
      <c r="Q898" s="3"/>
      <c r="R898" s="3"/>
      <c r="S898" s="3"/>
      <c r="T898" s="3"/>
      <c r="V898" s="3"/>
      <c r="W898" s="3"/>
      <c r="X898" s="3"/>
      <c r="Y898" s="3"/>
      <c r="Z898" s="3"/>
      <c r="AA898" s="3"/>
      <c r="AB898" s="3"/>
      <c r="AC898" s="3"/>
      <c r="AD898" s="3"/>
      <c r="AE898" s="3"/>
      <c r="AF898" s="3"/>
      <c r="AG898" s="3"/>
      <c r="AH898" s="3"/>
      <c r="AI898" s="3"/>
      <c r="AJ898" s="3"/>
      <c r="AK898" s="3"/>
      <c r="AL898" s="3"/>
      <c r="AM898" s="3"/>
      <c r="AN898" s="3"/>
      <c r="AO898" s="3"/>
      <c r="AP898" s="3"/>
      <c r="AQ898" s="3"/>
      <c r="AR898" s="3"/>
      <c r="AS898" s="3"/>
      <c r="AT898" s="3"/>
      <c r="AU898" s="3"/>
      <c r="AV898" s="3"/>
      <c r="AW898" s="3"/>
    </row>
    <row r="899" spans="12:49" x14ac:dyDescent="0.35">
      <c r="L899" s="3"/>
      <c r="M899" s="3"/>
      <c r="N899" s="3"/>
      <c r="O899" s="65"/>
      <c r="Q899" s="3"/>
      <c r="R899" s="3"/>
      <c r="S899" s="3"/>
      <c r="T899" s="3"/>
      <c r="V899" s="3"/>
      <c r="W899" s="3"/>
      <c r="X899" s="3"/>
      <c r="Y899" s="3"/>
      <c r="Z899" s="3"/>
      <c r="AA899" s="3"/>
      <c r="AB899" s="3"/>
      <c r="AC899" s="3"/>
      <c r="AD899" s="3"/>
      <c r="AE899" s="3"/>
      <c r="AF899" s="3"/>
      <c r="AG899" s="3"/>
      <c r="AH899" s="3"/>
      <c r="AI899" s="3"/>
      <c r="AJ899" s="3"/>
      <c r="AK899" s="3"/>
      <c r="AL899" s="3"/>
      <c r="AM899" s="3"/>
      <c r="AN899" s="3"/>
      <c r="AO899" s="3"/>
      <c r="AP899" s="3"/>
      <c r="AQ899" s="3"/>
      <c r="AR899" s="3"/>
      <c r="AS899" s="3"/>
      <c r="AT899" s="3"/>
      <c r="AU899" s="3"/>
      <c r="AV899" s="3"/>
      <c r="AW899" s="3"/>
    </row>
    <row r="900" spans="12:49" x14ac:dyDescent="0.35">
      <c r="L900" s="3"/>
      <c r="M900" s="3"/>
      <c r="N900" s="3"/>
      <c r="O900" s="65"/>
      <c r="Q900" s="3"/>
      <c r="R900" s="3"/>
      <c r="S900" s="3"/>
      <c r="T900" s="3"/>
      <c r="V900" s="3"/>
      <c r="W900" s="3"/>
      <c r="X900" s="3"/>
      <c r="Y900" s="3"/>
      <c r="Z900" s="3"/>
      <c r="AA900" s="3"/>
      <c r="AB900" s="3"/>
      <c r="AC900" s="3"/>
      <c r="AD900" s="3"/>
      <c r="AE900" s="3"/>
      <c r="AF900" s="3"/>
      <c r="AG900" s="3"/>
      <c r="AH900" s="3"/>
      <c r="AI900" s="3"/>
      <c r="AJ900" s="3"/>
      <c r="AK900" s="3"/>
      <c r="AL900" s="3"/>
      <c r="AM900" s="3"/>
      <c r="AN900" s="3"/>
      <c r="AO900" s="3"/>
      <c r="AP900" s="3"/>
      <c r="AQ900" s="3"/>
      <c r="AR900" s="3"/>
      <c r="AS900" s="3"/>
      <c r="AT900" s="3"/>
      <c r="AU900" s="3"/>
      <c r="AV900" s="3"/>
      <c r="AW900" s="3"/>
    </row>
    <row r="901" spans="12:49" x14ac:dyDescent="0.35">
      <c r="L901" s="3"/>
      <c r="M901" s="3"/>
      <c r="N901" s="3"/>
      <c r="O901" s="65"/>
      <c r="Q901" s="3"/>
      <c r="R901" s="3"/>
      <c r="S901" s="3"/>
      <c r="T901" s="3"/>
      <c r="V901" s="3"/>
      <c r="W901" s="3"/>
      <c r="X901" s="3"/>
      <c r="Y901" s="3"/>
      <c r="Z901" s="3"/>
      <c r="AA901" s="3"/>
      <c r="AB901" s="3"/>
      <c r="AC901" s="3"/>
      <c r="AD901" s="3"/>
      <c r="AE901" s="3"/>
      <c r="AF901" s="3"/>
      <c r="AG901" s="3"/>
      <c r="AH901" s="3"/>
      <c r="AI901" s="3"/>
      <c r="AJ901" s="3"/>
      <c r="AK901" s="3"/>
      <c r="AL901" s="3"/>
      <c r="AM901" s="3"/>
      <c r="AN901" s="3"/>
      <c r="AO901" s="3"/>
      <c r="AP901" s="3"/>
      <c r="AQ901" s="3"/>
      <c r="AR901" s="3"/>
      <c r="AS901" s="3"/>
      <c r="AT901" s="3"/>
      <c r="AU901" s="3"/>
      <c r="AV901" s="3"/>
      <c r="AW901" s="3"/>
    </row>
    <row r="902" spans="12:49" x14ac:dyDescent="0.35">
      <c r="L902" s="3"/>
      <c r="M902" s="3"/>
      <c r="N902" s="3"/>
      <c r="O902" s="65"/>
      <c r="Q902" s="3"/>
      <c r="R902" s="3"/>
      <c r="S902" s="3"/>
      <c r="T902" s="3"/>
      <c r="V902" s="3"/>
      <c r="W902" s="3"/>
      <c r="X902" s="3"/>
      <c r="Y902" s="3"/>
      <c r="Z902" s="3"/>
      <c r="AA902" s="3"/>
      <c r="AB902" s="3"/>
      <c r="AC902" s="3"/>
      <c r="AD902" s="3"/>
      <c r="AE902" s="3"/>
      <c r="AF902" s="3"/>
      <c r="AG902" s="3"/>
      <c r="AH902" s="3"/>
      <c r="AI902" s="3"/>
      <c r="AJ902" s="3"/>
      <c r="AK902" s="3"/>
      <c r="AL902" s="3"/>
      <c r="AM902" s="3"/>
      <c r="AN902" s="3"/>
      <c r="AO902" s="3"/>
      <c r="AP902" s="3"/>
      <c r="AQ902" s="3"/>
      <c r="AR902" s="3"/>
      <c r="AS902" s="3"/>
      <c r="AT902" s="3"/>
      <c r="AU902" s="3"/>
      <c r="AV902" s="3"/>
      <c r="AW902" s="3"/>
    </row>
    <row r="903" spans="12:49" x14ac:dyDescent="0.35">
      <c r="L903" s="3"/>
      <c r="M903" s="3"/>
      <c r="N903" s="3"/>
      <c r="O903" s="65"/>
      <c r="Q903" s="3"/>
      <c r="R903" s="3"/>
      <c r="S903" s="3"/>
      <c r="T903" s="3"/>
      <c r="V903" s="3"/>
      <c r="W903" s="3"/>
      <c r="X903" s="3"/>
      <c r="Y903" s="3"/>
      <c r="Z903" s="3"/>
      <c r="AA903" s="3"/>
      <c r="AB903" s="3"/>
      <c r="AC903" s="3"/>
      <c r="AD903" s="3"/>
      <c r="AE903" s="3"/>
      <c r="AF903" s="3"/>
      <c r="AG903" s="3"/>
      <c r="AH903" s="3"/>
      <c r="AI903" s="3"/>
      <c r="AJ903" s="3"/>
      <c r="AK903" s="3"/>
      <c r="AL903" s="3"/>
      <c r="AM903" s="3"/>
      <c r="AN903" s="3"/>
      <c r="AO903" s="3"/>
      <c r="AP903" s="3"/>
      <c r="AQ903" s="3"/>
      <c r="AR903" s="3"/>
      <c r="AS903" s="3"/>
      <c r="AT903" s="3"/>
      <c r="AU903" s="3"/>
      <c r="AV903" s="3"/>
      <c r="AW903" s="3"/>
    </row>
    <row r="904" spans="12:49" x14ac:dyDescent="0.35">
      <c r="L904" s="3"/>
      <c r="M904" s="3"/>
      <c r="N904" s="3"/>
      <c r="O904" s="65"/>
      <c r="Q904" s="3"/>
      <c r="R904" s="3"/>
      <c r="S904" s="3"/>
      <c r="T904" s="3"/>
      <c r="V904" s="3"/>
      <c r="W904" s="3"/>
      <c r="X904" s="3"/>
      <c r="Y904" s="3"/>
      <c r="Z904" s="3"/>
      <c r="AA904" s="3"/>
      <c r="AB904" s="3"/>
      <c r="AC904" s="3"/>
      <c r="AD904" s="3"/>
      <c r="AE904" s="3"/>
      <c r="AF904" s="3"/>
      <c r="AG904" s="3"/>
      <c r="AH904" s="3"/>
      <c r="AI904" s="3"/>
      <c r="AJ904" s="3"/>
      <c r="AK904" s="3"/>
      <c r="AL904" s="3"/>
      <c r="AM904" s="3"/>
      <c r="AN904" s="3"/>
      <c r="AO904" s="3"/>
      <c r="AP904" s="3"/>
      <c r="AQ904" s="3"/>
      <c r="AR904" s="3"/>
      <c r="AS904" s="3"/>
      <c r="AT904" s="3"/>
      <c r="AU904" s="3"/>
      <c r="AV904" s="3"/>
      <c r="AW904" s="3"/>
    </row>
    <row r="905" spans="12:49" x14ac:dyDescent="0.35">
      <c r="L905" s="3"/>
      <c r="M905" s="3"/>
      <c r="N905" s="3"/>
      <c r="O905" s="65"/>
      <c r="Q905" s="3"/>
      <c r="R905" s="3"/>
      <c r="S905" s="3"/>
      <c r="T905" s="3"/>
      <c r="V905" s="3"/>
      <c r="W905" s="3"/>
      <c r="X905" s="3"/>
      <c r="Y905" s="3"/>
      <c r="Z905" s="3"/>
      <c r="AA905" s="3"/>
      <c r="AB905" s="3"/>
      <c r="AC905" s="3"/>
      <c r="AD905" s="3"/>
      <c r="AE905" s="3"/>
      <c r="AF905" s="3"/>
      <c r="AG905" s="3"/>
      <c r="AH905" s="3"/>
      <c r="AI905" s="3"/>
      <c r="AJ905" s="3"/>
      <c r="AK905" s="3"/>
      <c r="AL905" s="3"/>
      <c r="AM905" s="3"/>
      <c r="AN905" s="3"/>
      <c r="AO905" s="3"/>
      <c r="AP905" s="3"/>
      <c r="AQ905" s="3"/>
      <c r="AR905" s="3"/>
      <c r="AS905" s="3"/>
      <c r="AT905" s="3"/>
      <c r="AU905" s="3"/>
      <c r="AV905" s="3"/>
      <c r="AW905" s="3"/>
    </row>
    <row r="906" spans="12:49" x14ac:dyDescent="0.35">
      <c r="L906" s="3"/>
      <c r="M906" s="3"/>
      <c r="N906" s="3"/>
      <c r="O906" s="65"/>
      <c r="Q906" s="3"/>
      <c r="R906" s="3"/>
      <c r="S906" s="3"/>
      <c r="T906" s="3"/>
      <c r="V906" s="3"/>
      <c r="W906" s="3"/>
      <c r="X906" s="3"/>
      <c r="Y906" s="3"/>
      <c r="Z906" s="3"/>
      <c r="AA906" s="3"/>
      <c r="AB906" s="3"/>
      <c r="AC906" s="3"/>
      <c r="AD906" s="3"/>
      <c r="AE906" s="3"/>
      <c r="AF906" s="3"/>
      <c r="AG906" s="3"/>
      <c r="AH906" s="3"/>
      <c r="AI906" s="3"/>
      <c r="AJ906" s="3"/>
      <c r="AK906" s="3"/>
      <c r="AL906" s="3"/>
      <c r="AM906" s="3"/>
      <c r="AN906" s="3"/>
      <c r="AO906" s="3"/>
      <c r="AP906" s="3"/>
      <c r="AQ906" s="3"/>
      <c r="AR906" s="3"/>
      <c r="AS906" s="3"/>
      <c r="AT906" s="3"/>
      <c r="AU906" s="3"/>
      <c r="AV906" s="3"/>
      <c r="AW906" s="3"/>
    </row>
    <row r="907" spans="12:49" x14ac:dyDescent="0.35">
      <c r="L907" s="3"/>
      <c r="M907" s="3"/>
      <c r="N907" s="3"/>
      <c r="O907" s="65"/>
      <c r="Q907" s="3"/>
      <c r="R907" s="3"/>
      <c r="S907" s="3"/>
      <c r="T907" s="3"/>
      <c r="V907" s="3"/>
      <c r="W907" s="3"/>
      <c r="X907" s="3"/>
      <c r="Y907" s="3"/>
      <c r="Z907" s="3"/>
      <c r="AA907" s="3"/>
      <c r="AB907" s="3"/>
      <c r="AC907" s="3"/>
      <c r="AD907" s="3"/>
      <c r="AE907" s="3"/>
      <c r="AF907" s="3"/>
      <c r="AG907" s="3"/>
      <c r="AH907" s="3"/>
      <c r="AI907" s="3"/>
      <c r="AJ907" s="3"/>
      <c r="AK907" s="3"/>
      <c r="AL907" s="3"/>
      <c r="AM907" s="3"/>
      <c r="AN907" s="3"/>
      <c r="AO907" s="3"/>
      <c r="AP907" s="3"/>
      <c r="AQ907" s="3"/>
      <c r="AR907" s="3"/>
      <c r="AS907" s="3"/>
      <c r="AT907" s="3"/>
      <c r="AU907" s="3"/>
      <c r="AV907" s="3"/>
      <c r="AW907" s="3"/>
    </row>
    <row r="908" spans="12:49" x14ac:dyDescent="0.35">
      <c r="L908" s="3"/>
      <c r="M908" s="3"/>
      <c r="N908" s="3"/>
      <c r="O908" s="65"/>
      <c r="Q908" s="3"/>
      <c r="R908" s="3"/>
      <c r="S908" s="3"/>
      <c r="T908" s="3"/>
      <c r="V908" s="3"/>
      <c r="W908" s="3"/>
      <c r="X908" s="3"/>
      <c r="Y908" s="3"/>
      <c r="Z908" s="3"/>
      <c r="AA908" s="3"/>
      <c r="AB908" s="3"/>
      <c r="AC908" s="3"/>
      <c r="AD908" s="3"/>
      <c r="AE908" s="3"/>
      <c r="AF908" s="3"/>
      <c r="AG908" s="3"/>
      <c r="AH908" s="3"/>
      <c r="AI908" s="3"/>
      <c r="AJ908" s="3"/>
      <c r="AK908" s="3"/>
      <c r="AL908" s="3"/>
      <c r="AM908" s="3"/>
      <c r="AN908" s="3"/>
      <c r="AO908" s="3"/>
      <c r="AP908" s="3"/>
      <c r="AQ908" s="3"/>
      <c r="AR908" s="3"/>
      <c r="AS908" s="3"/>
      <c r="AT908" s="3"/>
      <c r="AU908" s="3"/>
      <c r="AV908" s="3"/>
      <c r="AW908" s="3"/>
    </row>
    <row r="909" spans="12:49" x14ac:dyDescent="0.35">
      <c r="L909" s="3"/>
      <c r="M909" s="3"/>
      <c r="N909" s="3"/>
      <c r="O909" s="65"/>
      <c r="Q909" s="3"/>
      <c r="R909" s="3"/>
      <c r="S909" s="3"/>
      <c r="T909" s="3"/>
      <c r="V909" s="3"/>
      <c r="W909" s="3"/>
      <c r="X909" s="3"/>
      <c r="Y909" s="3"/>
      <c r="Z909" s="3"/>
      <c r="AA909" s="3"/>
      <c r="AB909" s="3"/>
      <c r="AC909" s="3"/>
      <c r="AD909" s="3"/>
      <c r="AE909" s="3"/>
      <c r="AF909" s="3"/>
      <c r="AG909" s="3"/>
      <c r="AH909" s="3"/>
      <c r="AI909" s="3"/>
      <c r="AJ909" s="3"/>
      <c r="AK909" s="3"/>
      <c r="AL909" s="3"/>
      <c r="AM909" s="3"/>
      <c r="AN909" s="3"/>
      <c r="AO909" s="3"/>
      <c r="AP909" s="3"/>
      <c r="AQ909" s="3"/>
      <c r="AR909" s="3"/>
      <c r="AS909" s="3"/>
      <c r="AT909" s="3"/>
      <c r="AU909" s="3"/>
      <c r="AV909" s="3"/>
      <c r="AW909" s="3"/>
    </row>
    <row r="910" spans="12:49" x14ac:dyDescent="0.35">
      <c r="L910" s="3"/>
      <c r="M910" s="3"/>
      <c r="N910" s="3"/>
      <c r="O910" s="65"/>
      <c r="Q910" s="3"/>
      <c r="R910" s="3"/>
      <c r="S910" s="3"/>
      <c r="T910" s="3"/>
      <c r="V910" s="3"/>
      <c r="W910" s="3"/>
      <c r="X910" s="3"/>
      <c r="Y910" s="3"/>
      <c r="Z910" s="3"/>
      <c r="AA910" s="3"/>
      <c r="AB910" s="3"/>
      <c r="AC910" s="3"/>
      <c r="AD910" s="3"/>
      <c r="AE910" s="3"/>
      <c r="AF910" s="3"/>
      <c r="AG910" s="3"/>
      <c r="AH910" s="3"/>
      <c r="AI910" s="3"/>
      <c r="AJ910" s="3"/>
      <c r="AK910" s="3"/>
      <c r="AL910" s="3"/>
      <c r="AM910" s="3"/>
      <c r="AN910" s="3"/>
      <c r="AO910" s="3"/>
      <c r="AP910" s="3"/>
      <c r="AQ910" s="3"/>
      <c r="AR910" s="3"/>
      <c r="AS910" s="3"/>
      <c r="AT910" s="3"/>
      <c r="AU910" s="3"/>
      <c r="AV910" s="3"/>
      <c r="AW910" s="3"/>
    </row>
    <row r="911" spans="12:49" x14ac:dyDescent="0.35">
      <c r="L911" s="3"/>
      <c r="M911" s="3"/>
      <c r="N911" s="3"/>
      <c r="O911" s="65"/>
      <c r="Q911" s="3"/>
      <c r="R911" s="3"/>
      <c r="S911" s="3"/>
      <c r="T911" s="3"/>
      <c r="V911" s="3"/>
      <c r="W911" s="3"/>
      <c r="X911" s="3"/>
      <c r="Y911" s="3"/>
      <c r="Z911" s="3"/>
      <c r="AA911" s="3"/>
      <c r="AB911" s="3"/>
      <c r="AC911" s="3"/>
      <c r="AD911" s="3"/>
      <c r="AE911" s="3"/>
      <c r="AF911" s="3"/>
      <c r="AG911" s="3"/>
      <c r="AH911" s="3"/>
      <c r="AI911" s="3"/>
      <c r="AJ911" s="3"/>
      <c r="AK911" s="3"/>
      <c r="AL911" s="3"/>
      <c r="AM911" s="3"/>
      <c r="AN911" s="3"/>
      <c r="AO911" s="3"/>
      <c r="AP911" s="3"/>
      <c r="AQ911" s="3"/>
      <c r="AR911" s="3"/>
      <c r="AS911" s="3"/>
      <c r="AT911" s="3"/>
      <c r="AU911" s="3"/>
      <c r="AV911" s="3"/>
      <c r="AW911" s="3"/>
    </row>
    <row r="912" spans="12:49" x14ac:dyDescent="0.35">
      <c r="L912" s="3"/>
      <c r="M912" s="3"/>
      <c r="N912" s="3"/>
      <c r="O912" s="65"/>
      <c r="Q912" s="3"/>
      <c r="R912" s="3"/>
      <c r="S912" s="3"/>
      <c r="T912" s="3"/>
      <c r="V912" s="3"/>
      <c r="W912" s="3"/>
      <c r="X912" s="3"/>
      <c r="Y912" s="3"/>
      <c r="Z912" s="3"/>
      <c r="AA912" s="3"/>
      <c r="AB912" s="3"/>
      <c r="AC912" s="3"/>
      <c r="AD912" s="3"/>
      <c r="AE912" s="3"/>
      <c r="AF912" s="3"/>
      <c r="AG912" s="3"/>
      <c r="AH912" s="3"/>
      <c r="AI912" s="3"/>
      <c r="AJ912" s="3"/>
      <c r="AK912" s="3"/>
      <c r="AL912" s="3"/>
      <c r="AM912" s="3"/>
      <c r="AN912" s="3"/>
      <c r="AO912" s="3"/>
      <c r="AP912" s="3"/>
      <c r="AQ912" s="3"/>
      <c r="AR912" s="3"/>
      <c r="AS912" s="3"/>
      <c r="AT912" s="3"/>
      <c r="AU912" s="3"/>
      <c r="AV912" s="3"/>
      <c r="AW912" s="3"/>
    </row>
    <row r="913" spans="12:49" x14ac:dyDescent="0.35">
      <c r="L913" s="3"/>
      <c r="M913" s="3"/>
      <c r="N913" s="3"/>
      <c r="O913" s="65"/>
      <c r="Q913" s="3"/>
      <c r="R913" s="3"/>
      <c r="S913" s="3"/>
      <c r="T913" s="3"/>
      <c r="V913" s="3"/>
      <c r="W913" s="3"/>
      <c r="X913" s="3"/>
      <c r="Y913" s="3"/>
      <c r="Z913" s="3"/>
      <c r="AA913" s="3"/>
      <c r="AB913" s="3"/>
      <c r="AC913" s="3"/>
      <c r="AD913" s="3"/>
      <c r="AE913" s="3"/>
      <c r="AF913" s="3"/>
      <c r="AG913" s="3"/>
      <c r="AH913" s="3"/>
      <c r="AI913" s="3"/>
      <c r="AJ913" s="3"/>
      <c r="AK913" s="3"/>
      <c r="AL913" s="3"/>
      <c r="AM913" s="3"/>
      <c r="AN913" s="3"/>
      <c r="AO913" s="3"/>
      <c r="AP913" s="3"/>
      <c r="AQ913" s="3"/>
      <c r="AR913" s="3"/>
      <c r="AS913" s="3"/>
      <c r="AT913" s="3"/>
      <c r="AU913" s="3"/>
      <c r="AV913" s="3"/>
      <c r="AW913" s="3"/>
    </row>
    <row r="914" spans="12:49" x14ac:dyDescent="0.35">
      <c r="L914" s="3"/>
      <c r="M914" s="3"/>
      <c r="N914" s="3"/>
      <c r="O914" s="65"/>
      <c r="Q914" s="3"/>
      <c r="R914" s="3"/>
      <c r="S914" s="3"/>
      <c r="T914" s="3"/>
      <c r="V914" s="3"/>
      <c r="W914" s="3"/>
      <c r="X914" s="3"/>
      <c r="Y914" s="3"/>
      <c r="Z914" s="3"/>
      <c r="AA914" s="3"/>
      <c r="AB914" s="3"/>
      <c r="AC914" s="3"/>
      <c r="AD914" s="3"/>
      <c r="AE914" s="3"/>
      <c r="AF914" s="3"/>
      <c r="AG914" s="3"/>
      <c r="AH914" s="3"/>
      <c r="AI914" s="3"/>
      <c r="AJ914" s="3"/>
      <c r="AK914" s="3"/>
      <c r="AL914" s="3"/>
      <c r="AM914" s="3"/>
      <c r="AN914" s="3"/>
      <c r="AO914" s="3"/>
      <c r="AP914" s="3"/>
      <c r="AQ914" s="3"/>
      <c r="AR914" s="3"/>
      <c r="AS914" s="3"/>
      <c r="AT914" s="3"/>
      <c r="AU914" s="3"/>
      <c r="AV914" s="3"/>
      <c r="AW914" s="3"/>
    </row>
    <row r="915" spans="12:49" x14ac:dyDescent="0.35">
      <c r="L915" s="3"/>
      <c r="M915" s="3"/>
      <c r="N915" s="3"/>
      <c r="O915" s="65"/>
      <c r="Q915" s="3"/>
      <c r="R915" s="3"/>
      <c r="S915" s="3"/>
      <c r="T915" s="3"/>
      <c r="V915" s="3"/>
      <c r="W915" s="3"/>
      <c r="X915" s="3"/>
      <c r="Y915" s="3"/>
      <c r="Z915" s="3"/>
      <c r="AA915" s="3"/>
      <c r="AB915" s="3"/>
      <c r="AC915" s="3"/>
      <c r="AD915" s="3"/>
      <c r="AE915" s="3"/>
      <c r="AF915" s="3"/>
      <c r="AG915" s="3"/>
      <c r="AH915" s="3"/>
      <c r="AI915" s="3"/>
      <c r="AJ915" s="3"/>
      <c r="AK915" s="3"/>
      <c r="AL915" s="3"/>
      <c r="AM915" s="3"/>
      <c r="AN915" s="3"/>
      <c r="AO915" s="3"/>
      <c r="AP915" s="3"/>
      <c r="AQ915" s="3"/>
      <c r="AR915" s="3"/>
      <c r="AS915" s="3"/>
      <c r="AT915" s="3"/>
      <c r="AU915" s="3"/>
      <c r="AV915" s="3"/>
      <c r="AW915" s="3"/>
    </row>
    <row r="916" spans="12:49" x14ac:dyDescent="0.35">
      <c r="L916" s="3"/>
      <c r="M916" s="3"/>
      <c r="N916" s="3"/>
      <c r="O916" s="65"/>
      <c r="Q916" s="3"/>
      <c r="R916" s="3"/>
      <c r="S916" s="3"/>
      <c r="T916" s="3"/>
      <c r="V916" s="3"/>
      <c r="W916" s="3"/>
      <c r="X916" s="3"/>
      <c r="Y916" s="3"/>
      <c r="Z916" s="3"/>
      <c r="AA916" s="3"/>
      <c r="AB916" s="3"/>
      <c r="AC916" s="3"/>
      <c r="AD916" s="3"/>
      <c r="AE916" s="3"/>
      <c r="AF916" s="3"/>
      <c r="AG916" s="3"/>
      <c r="AH916" s="3"/>
      <c r="AI916" s="3"/>
      <c r="AJ916" s="3"/>
      <c r="AK916" s="3"/>
      <c r="AL916" s="3"/>
      <c r="AM916" s="3"/>
      <c r="AN916" s="3"/>
      <c r="AO916" s="3"/>
      <c r="AP916" s="3"/>
      <c r="AQ916" s="3"/>
      <c r="AR916" s="3"/>
      <c r="AS916" s="3"/>
      <c r="AT916" s="3"/>
      <c r="AU916" s="3"/>
      <c r="AV916" s="3"/>
      <c r="AW916" s="3"/>
    </row>
    <row r="917" spans="12:49" x14ac:dyDescent="0.35">
      <c r="L917" s="3"/>
      <c r="M917" s="3"/>
      <c r="N917" s="3"/>
      <c r="O917" s="65"/>
      <c r="Q917" s="3"/>
      <c r="R917" s="3"/>
      <c r="S917" s="3"/>
      <c r="T917" s="3"/>
      <c r="V917" s="3"/>
      <c r="W917" s="3"/>
      <c r="X917" s="3"/>
      <c r="Y917" s="3"/>
      <c r="Z917" s="3"/>
      <c r="AA917" s="3"/>
      <c r="AB917" s="3"/>
      <c r="AC917" s="3"/>
      <c r="AD917" s="3"/>
      <c r="AE917" s="3"/>
      <c r="AF917" s="3"/>
      <c r="AG917" s="3"/>
      <c r="AH917" s="3"/>
      <c r="AI917" s="3"/>
      <c r="AJ917" s="3"/>
      <c r="AK917" s="3"/>
      <c r="AL917" s="3"/>
      <c r="AM917" s="3"/>
      <c r="AN917" s="3"/>
      <c r="AO917" s="3"/>
      <c r="AP917" s="3"/>
      <c r="AQ917" s="3"/>
      <c r="AR917" s="3"/>
      <c r="AS917" s="3"/>
      <c r="AT917" s="3"/>
      <c r="AU917" s="3"/>
      <c r="AV917" s="3"/>
      <c r="AW917" s="3"/>
    </row>
    <row r="918" spans="12:49" x14ac:dyDescent="0.35">
      <c r="L918" s="3"/>
      <c r="M918" s="3"/>
      <c r="N918" s="3"/>
      <c r="O918" s="65"/>
      <c r="Q918" s="3"/>
      <c r="R918" s="3"/>
      <c r="S918" s="3"/>
      <c r="T918" s="3"/>
      <c r="V918" s="3"/>
      <c r="W918" s="3"/>
      <c r="X918" s="3"/>
      <c r="Y918" s="3"/>
      <c r="Z918" s="3"/>
      <c r="AA918" s="3"/>
      <c r="AB918" s="3"/>
      <c r="AC918" s="3"/>
      <c r="AD918" s="3"/>
      <c r="AE918" s="3"/>
      <c r="AF918" s="3"/>
      <c r="AG918" s="3"/>
      <c r="AH918" s="3"/>
      <c r="AI918" s="3"/>
      <c r="AJ918" s="3"/>
      <c r="AK918" s="3"/>
      <c r="AL918" s="3"/>
      <c r="AM918" s="3"/>
      <c r="AN918" s="3"/>
      <c r="AO918" s="3"/>
      <c r="AP918" s="3"/>
      <c r="AQ918" s="3"/>
      <c r="AR918" s="3"/>
      <c r="AS918" s="3"/>
      <c r="AT918" s="3"/>
      <c r="AU918" s="3"/>
      <c r="AV918" s="3"/>
      <c r="AW918" s="3"/>
    </row>
    <row r="919" spans="12:49" x14ac:dyDescent="0.35">
      <c r="L919" s="3"/>
      <c r="M919" s="3"/>
      <c r="N919" s="3"/>
      <c r="O919" s="65"/>
      <c r="Q919" s="3"/>
      <c r="R919" s="3"/>
      <c r="S919" s="3"/>
      <c r="T919" s="3"/>
      <c r="V919" s="3"/>
      <c r="W919" s="3"/>
      <c r="X919" s="3"/>
      <c r="Y919" s="3"/>
      <c r="Z919" s="3"/>
      <c r="AA919" s="3"/>
      <c r="AB919" s="3"/>
      <c r="AC919" s="3"/>
      <c r="AD919" s="3"/>
      <c r="AE919" s="3"/>
      <c r="AF919" s="3"/>
      <c r="AG919" s="3"/>
      <c r="AH919" s="3"/>
      <c r="AI919" s="3"/>
      <c r="AJ919" s="3"/>
      <c r="AK919" s="3"/>
      <c r="AL919" s="3"/>
      <c r="AM919" s="3"/>
      <c r="AN919" s="3"/>
      <c r="AO919" s="3"/>
      <c r="AP919" s="3"/>
      <c r="AQ919" s="3"/>
      <c r="AR919" s="3"/>
      <c r="AS919" s="3"/>
      <c r="AT919" s="3"/>
      <c r="AU919" s="3"/>
      <c r="AV919" s="3"/>
      <c r="AW919" s="3"/>
    </row>
    <row r="920" spans="12:49" x14ac:dyDescent="0.35">
      <c r="L920" s="3"/>
      <c r="M920" s="3"/>
      <c r="N920" s="3"/>
      <c r="O920" s="65"/>
      <c r="Q920" s="3"/>
      <c r="R920" s="3"/>
      <c r="S920" s="3"/>
      <c r="T920" s="3"/>
      <c r="V920" s="3"/>
      <c r="W920" s="3"/>
      <c r="X920" s="3"/>
      <c r="Y920" s="3"/>
      <c r="Z920" s="3"/>
      <c r="AA920" s="3"/>
      <c r="AB920" s="3"/>
      <c r="AC920" s="3"/>
      <c r="AD920" s="3"/>
      <c r="AE920" s="3"/>
      <c r="AF920" s="3"/>
      <c r="AG920" s="3"/>
      <c r="AH920" s="3"/>
      <c r="AI920" s="3"/>
      <c r="AJ920" s="3"/>
      <c r="AK920" s="3"/>
      <c r="AL920" s="3"/>
      <c r="AM920" s="3"/>
      <c r="AN920" s="3"/>
      <c r="AO920" s="3"/>
      <c r="AP920" s="3"/>
      <c r="AQ920" s="3"/>
      <c r="AR920" s="3"/>
      <c r="AS920" s="3"/>
      <c r="AT920" s="3"/>
      <c r="AU920" s="3"/>
      <c r="AV920" s="3"/>
      <c r="AW920" s="3"/>
    </row>
    <row r="921" spans="12:49" x14ac:dyDescent="0.35">
      <c r="L921" s="3"/>
      <c r="M921" s="3"/>
      <c r="N921" s="3"/>
      <c r="O921" s="65"/>
      <c r="Q921" s="3"/>
      <c r="R921" s="3"/>
      <c r="S921" s="3"/>
      <c r="T921" s="3"/>
      <c r="V921" s="3"/>
      <c r="W921" s="3"/>
      <c r="X921" s="3"/>
      <c r="Y921" s="3"/>
      <c r="Z921" s="3"/>
      <c r="AA921" s="3"/>
      <c r="AB921" s="3"/>
      <c r="AC921" s="3"/>
      <c r="AD921" s="3"/>
      <c r="AE921" s="3"/>
      <c r="AF921" s="3"/>
      <c r="AG921" s="3"/>
      <c r="AH921" s="3"/>
      <c r="AI921" s="3"/>
      <c r="AJ921" s="3"/>
      <c r="AK921" s="3"/>
      <c r="AL921" s="3"/>
      <c r="AM921" s="3"/>
      <c r="AN921" s="3"/>
      <c r="AO921" s="3"/>
      <c r="AP921" s="3"/>
      <c r="AQ921" s="3"/>
      <c r="AR921" s="3"/>
      <c r="AS921" s="3"/>
      <c r="AT921" s="3"/>
      <c r="AU921" s="3"/>
      <c r="AV921" s="3"/>
      <c r="AW921" s="3"/>
    </row>
    <row r="922" spans="12:49" x14ac:dyDescent="0.35">
      <c r="L922" s="3"/>
      <c r="M922" s="3"/>
      <c r="N922" s="3"/>
      <c r="O922" s="65"/>
      <c r="Q922" s="3"/>
      <c r="R922" s="3"/>
      <c r="S922" s="3"/>
      <c r="T922" s="3"/>
      <c r="V922" s="3"/>
      <c r="W922" s="3"/>
      <c r="X922" s="3"/>
      <c r="Y922" s="3"/>
      <c r="Z922" s="3"/>
      <c r="AA922" s="3"/>
      <c r="AB922" s="3"/>
      <c r="AC922" s="3"/>
      <c r="AD922" s="3"/>
      <c r="AE922" s="3"/>
      <c r="AF922" s="3"/>
      <c r="AG922" s="3"/>
      <c r="AH922" s="3"/>
      <c r="AI922" s="3"/>
      <c r="AJ922" s="3"/>
      <c r="AK922" s="3"/>
      <c r="AL922" s="3"/>
      <c r="AM922" s="3"/>
      <c r="AN922" s="3"/>
      <c r="AO922" s="3"/>
      <c r="AP922" s="3"/>
      <c r="AQ922" s="3"/>
      <c r="AR922" s="3"/>
      <c r="AS922" s="3"/>
      <c r="AT922" s="3"/>
      <c r="AU922" s="3"/>
      <c r="AV922" s="3"/>
      <c r="AW922" s="3"/>
    </row>
    <row r="923" spans="12:49" x14ac:dyDescent="0.35">
      <c r="L923" s="3"/>
      <c r="M923" s="3"/>
      <c r="N923" s="3"/>
      <c r="O923" s="65"/>
      <c r="Q923" s="3"/>
      <c r="R923" s="3"/>
      <c r="S923" s="3"/>
      <c r="T923" s="3"/>
      <c r="V923" s="3"/>
      <c r="W923" s="3"/>
      <c r="X923" s="3"/>
      <c r="Y923" s="3"/>
      <c r="Z923" s="3"/>
      <c r="AA923" s="3"/>
      <c r="AB923" s="3"/>
      <c r="AC923" s="3"/>
      <c r="AD923" s="3"/>
      <c r="AE923" s="3"/>
      <c r="AF923" s="3"/>
      <c r="AG923" s="3"/>
      <c r="AH923" s="3"/>
      <c r="AI923" s="3"/>
      <c r="AJ923" s="3"/>
      <c r="AK923" s="3"/>
      <c r="AL923" s="3"/>
      <c r="AM923" s="3"/>
      <c r="AN923" s="3"/>
      <c r="AO923" s="3"/>
      <c r="AP923" s="3"/>
      <c r="AQ923" s="3"/>
      <c r="AR923" s="3"/>
      <c r="AS923" s="3"/>
      <c r="AT923" s="3"/>
      <c r="AU923" s="3"/>
      <c r="AV923" s="3"/>
      <c r="AW923" s="3"/>
    </row>
    <row r="924" spans="12:49" x14ac:dyDescent="0.35">
      <c r="L924" s="3"/>
      <c r="M924" s="3"/>
      <c r="N924" s="3"/>
      <c r="O924" s="65"/>
      <c r="Q924" s="3"/>
      <c r="R924" s="3"/>
      <c r="S924" s="3"/>
      <c r="T924" s="3"/>
      <c r="V924" s="3"/>
      <c r="W924" s="3"/>
      <c r="X924" s="3"/>
      <c r="Y924" s="3"/>
      <c r="Z924" s="3"/>
      <c r="AA924" s="3"/>
      <c r="AB924" s="3"/>
      <c r="AC924" s="3"/>
      <c r="AD924" s="3"/>
      <c r="AE924" s="3"/>
      <c r="AF924" s="3"/>
      <c r="AG924" s="3"/>
      <c r="AH924" s="3"/>
      <c r="AI924" s="3"/>
      <c r="AJ924" s="3"/>
      <c r="AK924" s="3"/>
      <c r="AL924" s="3"/>
      <c r="AM924" s="3"/>
      <c r="AN924" s="3"/>
      <c r="AO924" s="3"/>
      <c r="AP924" s="3"/>
      <c r="AQ924" s="3"/>
      <c r="AR924" s="3"/>
      <c r="AS924" s="3"/>
      <c r="AT924" s="3"/>
      <c r="AU924" s="3"/>
      <c r="AV924" s="3"/>
      <c r="AW924" s="3"/>
    </row>
    <row r="925" spans="12:49" x14ac:dyDescent="0.35">
      <c r="L925" s="3"/>
      <c r="M925" s="3"/>
      <c r="N925" s="3"/>
      <c r="O925" s="65"/>
      <c r="Q925" s="3"/>
      <c r="R925" s="3"/>
      <c r="S925" s="3"/>
      <c r="T925" s="3"/>
      <c r="V925" s="3"/>
      <c r="W925" s="3"/>
      <c r="X925" s="3"/>
      <c r="Y925" s="3"/>
      <c r="Z925" s="3"/>
      <c r="AA925" s="3"/>
      <c r="AB925" s="3"/>
      <c r="AC925" s="3"/>
      <c r="AD925" s="3"/>
      <c r="AE925" s="3"/>
      <c r="AF925" s="3"/>
      <c r="AG925" s="3"/>
      <c r="AH925" s="3"/>
      <c r="AI925" s="3"/>
      <c r="AJ925" s="3"/>
      <c r="AK925" s="3"/>
      <c r="AL925" s="3"/>
      <c r="AM925" s="3"/>
      <c r="AN925" s="3"/>
      <c r="AO925" s="3"/>
      <c r="AP925" s="3"/>
      <c r="AQ925" s="3"/>
      <c r="AR925" s="3"/>
      <c r="AS925" s="3"/>
      <c r="AT925" s="3"/>
      <c r="AU925" s="3"/>
      <c r="AV925" s="3"/>
      <c r="AW925" s="3"/>
    </row>
    <row r="926" spans="12:49" x14ac:dyDescent="0.35">
      <c r="L926" s="3"/>
      <c r="M926" s="3"/>
      <c r="N926" s="3"/>
      <c r="O926" s="65"/>
      <c r="Q926" s="3"/>
      <c r="R926" s="3"/>
      <c r="S926" s="3"/>
      <c r="T926" s="3"/>
      <c r="V926" s="3"/>
      <c r="W926" s="3"/>
      <c r="X926" s="3"/>
      <c r="Y926" s="3"/>
      <c r="Z926" s="3"/>
      <c r="AA926" s="3"/>
      <c r="AB926" s="3"/>
      <c r="AC926" s="3"/>
      <c r="AD926" s="3"/>
      <c r="AE926" s="3"/>
      <c r="AF926" s="3"/>
      <c r="AG926" s="3"/>
      <c r="AH926" s="3"/>
      <c r="AI926" s="3"/>
      <c r="AJ926" s="3"/>
      <c r="AK926" s="3"/>
      <c r="AL926" s="3"/>
      <c r="AM926" s="3"/>
      <c r="AN926" s="3"/>
      <c r="AO926" s="3"/>
      <c r="AP926" s="3"/>
      <c r="AQ926" s="3"/>
      <c r="AR926" s="3"/>
      <c r="AS926" s="3"/>
      <c r="AT926" s="3"/>
      <c r="AU926" s="3"/>
      <c r="AV926" s="3"/>
      <c r="AW926" s="3"/>
    </row>
    <row r="927" spans="12:49" x14ac:dyDescent="0.35">
      <c r="L927" s="3"/>
      <c r="M927" s="3"/>
      <c r="N927" s="3"/>
      <c r="O927" s="65"/>
      <c r="Q927" s="3"/>
      <c r="R927" s="3"/>
      <c r="S927" s="3"/>
      <c r="T927" s="3"/>
      <c r="V927" s="3"/>
      <c r="W927" s="3"/>
      <c r="X927" s="3"/>
      <c r="Y927" s="3"/>
      <c r="Z927" s="3"/>
      <c r="AA927" s="3"/>
      <c r="AB927" s="3"/>
      <c r="AC927" s="3"/>
      <c r="AD927" s="3"/>
      <c r="AE927" s="3"/>
      <c r="AF927" s="3"/>
      <c r="AG927" s="3"/>
      <c r="AH927" s="3"/>
      <c r="AI927" s="3"/>
      <c r="AJ927" s="3"/>
      <c r="AK927" s="3"/>
      <c r="AL927" s="3"/>
      <c r="AM927" s="3"/>
      <c r="AN927" s="3"/>
      <c r="AO927" s="3"/>
      <c r="AP927" s="3"/>
      <c r="AQ927" s="3"/>
      <c r="AR927" s="3"/>
      <c r="AS927" s="3"/>
      <c r="AT927" s="3"/>
      <c r="AU927" s="3"/>
      <c r="AV927" s="3"/>
      <c r="AW927" s="3"/>
    </row>
    <row r="928" spans="12:49" x14ac:dyDescent="0.35">
      <c r="L928" s="3"/>
      <c r="M928" s="3"/>
      <c r="N928" s="3"/>
      <c r="O928" s="65"/>
      <c r="Q928" s="3"/>
      <c r="R928" s="3"/>
      <c r="S928" s="3"/>
      <c r="T928" s="3"/>
      <c r="V928" s="3"/>
      <c r="W928" s="3"/>
      <c r="X928" s="3"/>
      <c r="Y928" s="3"/>
      <c r="Z928" s="3"/>
      <c r="AA928" s="3"/>
      <c r="AB928" s="3"/>
      <c r="AC928" s="3"/>
      <c r="AD928" s="3"/>
      <c r="AE928" s="3"/>
      <c r="AF928" s="3"/>
      <c r="AG928" s="3"/>
      <c r="AH928" s="3"/>
      <c r="AI928" s="3"/>
      <c r="AJ928" s="3"/>
      <c r="AK928" s="3"/>
      <c r="AL928" s="3"/>
      <c r="AM928" s="3"/>
      <c r="AN928" s="3"/>
      <c r="AO928" s="3"/>
      <c r="AP928" s="3"/>
      <c r="AQ928" s="3"/>
      <c r="AR928" s="3"/>
      <c r="AS928" s="3"/>
      <c r="AT928" s="3"/>
      <c r="AU928" s="3"/>
      <c r="AV928" s="3"/>
      <c r="AW928" s="3"/>
    </row>
    <row r="929" spans="12:49" x14ac:dyDescent="0.35">
      <c r="L929" s="3"/>
      <c r="M929" s="3"/>
      <c r="N929" s="3"/>
      <c r="O929" s="65"/>
      <c r="Q929" s="3"/>
      <c r="R929" s="3"/>
      <c r="S929" s="3"/>
      <c r="T929" s="3"/>
      <c r="V929" s="3"/>
      <c r="W929" s="3"/>
      <c r="X929" s="3"/>
      <c r="Y929" s="3"/>
      <c r="Z929" s="3"/>
      <c r="AA929" s="3"/>
      <c r="AB929" s="3"/>
      <c r="AC929" s="3"/>
      <c r="AD929" s="3"/>
      <c r="AE929" s="3"/>
      <c r="AF929" s="3"/>
      <c r="AG929" s="3"/>
      <c r="AH929" s="3"/>
      <c r="AI929" s="3"/>
      <c r="AJ929" s="3"/>
      <c r="AK929" s="3"/>
      <c r="AL929" s="3"/>
      <c r="AM929" s="3"/>
      <c r="AN929" s="3"/>
      <c r="AO929" s="3"/>
      <c r="AP929" s="3"/>
      <c r="AQ929" s="3"/>
      <c r="AR929" s="3"/>
      <c r="AS929" s="3"/>
      <c r="AT929" s="3"/>
      <c r="AU929" s="3"/>
      <c r="AV929" s="3"/>
      <c r="AW929" s="3"/>
    </row>
    <row r="930" spans="12:49" x14ac:dyDescent="0.35">
      <c r="L930" s="3"/>
      <c r="M930" s="3"/>
      <c r="N930" s="3"/>
      <c r="O930" s="65"/>
      <c r="Q930" s="3"/>
      <c r="R930" s="3"/>
      <c r="S930" s="3"/>
      <c r="T930" s="3"/>
      <c r="V930" s="3"/>
      <c r="W930" s="3"/>
      <c r="X930" s="3"/>
      <c r="Y930" s="3"/>
      <c r="Z930" s="3"/>
      <c r="AA930" s="3"/>
      <c r="AB930" s="3"/>
      <c r="AC930" s="3"/>
      <c r="AD930" s="3"/>
      <c r="AE930" s="3"/>
      <c r="AF930" s="3"/>
      <c r="AG930" s="3"/>
      <c r="AH930" s="3"/>
      <c r="AI930" s="3"/>
      <c r="AJ930" s="3"/>
      <c r="AK930" s="3"/>
      <c r="AL930" s="3"/>
      <c r="AM930" s="3"/>
      <c r="AN930" s="3"/>
      <c r="AO930" s="3"/>
      <c r="AP930" s="3"/>
      <c r="AQ930" s="3"/>
      <c r="AR930" s="3"/>
      <c r="AS930" s="3"/>
      <c r="AT930" s="3"/>
      <c r="AU930" s="3"/>
      <c r="AV930" s="3"/>
      <c r="AW930" s="3"/>
    </row>
    <row r="931" spans="12:49" x14ac:dyDescent="0.35">
      <c r="L931" s="3"/>
      <c r="M931" s="3"/>
      <c r="N931" s="3"/>
      <c r="O931" s="65"/>
      <c r="Q931" s="3"/>
      <c r="R931" s="3"/>
      <c r="S931" s="3"/>
      <c r="T931" s="3"/>
      <c r="V931" s="3"/>
      <c r="W931" s="3"/>
      <c r="X931" s="3"/>
      <c r="Y931" s="3"/>
      <c r="Z931" s="3"/>
      <c r="AA931" s="3"/>
      <c r="AB931" s="3"/>
      <c r="AC931" s="3"/>
      <c r="AD931" s="3"/>
      <c r="AE931" s="3"/>
      <c r="AF931" s="3"/>
      <c r="AG931" s="3"/>
      <c r="AH931" s="3"/>
      <c r="AI931" s="3"/>
      <c r="AJ931" s="3"/>
      <c r="AK931" s="3"/>
      <c r="AL931" s="3"/>
      <c r="AM931" s="3"/>
      <c r="AN931" s="3"/>
      <c r="AO931" s="3"/>
      <c r="AP931" s="3"/>
      <c r="AQ931" s="3"/>
      <c r="AR931" s="3"/>
      <c r="AS931" s="3"/>
      <c r="AT931" s="3"/>
      <c r="AU931" s="3"/>
      <c r="AV931" s="3"/>
      <c r="AW931" s="3"/>
    </row>
    <row r="932" spans="12:49" x14ac:dyDescent="0.35">
      <c r="Q932" s="3"/>
      <c r="R932" s="3"/>
      <c r="S932" s="3"/>
      <c r="T932" s="3"/>
      <c r="V932" s="3"/>
      <c r="W932" s="3"/>
      <c r="X932" s="3"/>
      <c r="Y932" s="3"/>
      <c r="Z932" s="3"/>
      <c r="AA932" s="3"/>
      <c r="AB932" s="3"/>
      <c r="AC932" s="3"/>
      <c r="AD932" s="3"/>
      <c r="AE932" s="3"/>
      <c r="AF932" s="3"/>
      <c r="AG932" s="3"/>
      <c r="AH932" s="3"/>
      <c r="AI932" s="3"/>
      <c r="AJ932" s="3"/>
      <c r="AK932" s="3"/>
      <c r="AL932" s="3"/>
      <c r="AM932" s="3"/>
      <c r="AN932" s="3"/>
      <c r="AO932" s="3"/>
      <c r="AP932" s="3"/>
      <c r="AQ932" s="3"/>
      <c r="AR932" s="3"/>
      <c r="AS932" s="3"/>
      <c r="AT932" s="3"/>
      <c r="AU932" s="3"/>
      <c r="AV932" s="3"/>
      <c r="AW932" s="3"/>
    </row>
    <row r="933" spans="12:49" x14ac:dyDescent="0.35">
      <c r="Q933" s="3"/>
      <c r="R933" s="3"/>
      <c r="S933" s="3"/>
      <c r="T933" s="3"/>
      <c r="V933" s="3"/>
      <c r="W933" s="3"/>
      <c r="X933" s="3"/>
      <c r="Y933" s="3"/>
      <c r="Z933" s="3"/>
      <c r="AA933" s="3"/>
      <c r="AB933" s="3"/>
      <c r="AC933" s="3"/>
      <c r="AD933" s="3"/>
      <c r="AE933" s="3"/>
      <c r="AF933" s="3"/>
      <c r="AG933" s="3"/>
      <c r="AH933" s="3"/>
      <c r="AI933" s="3"/>
      <c r="AJ933" s="3"/>
      <c r="AK933" s="3"/>
      <c r="AL933" s="3"/>
      <c r="AM933" s="3"/>
      <c r="AN933" s="3"/>
      <c r="AO933" s="3"/>
      <c r="AP933" s="3"/>
      <c r="AQ933" s="3"/>
      <c r="AR933" s="3"/>
      <c r="AS933" s="3"/>
      <c r="AT933" s="3"/>
      <c r="AU933" s="3"/>
      <c r="AV933" s="3"/>
      <c r="AW933" s="3"/>
    </row>
    <row r="934" spans="12:49" x14ac:dyDescent="0.35">
      <c r="Q934" s="3"/>
      <c r="R934" s="3"/>
      <c r="S934" s="3"/>
      <c r="T934" s="3"/>
      <c r="V934" s="3"/>
      <c r="W934" s="3"/>
      <c r="X934" s="3"/>
      <c r="Y934" s="3"/>
      <c r="Z934" s="3"/>
      <c r="AA934" s="3"/>
      <c r="AB934" s="3"/>
      <c r="AC934" s="3"/>
      <c r="AD934" s="3"/>
      <c r="AE934" s="3"/>
      <c r="AF934" s="3"/>
      <c r="AG934" s="3"/>
      <c r="AH934" s="3"/>
      <c r="AI934" s="3"/>
      <c r="AJ934" s="3"/>
      <c r="AK934" s="3"/>
      <c r="AL934" s="3"/>
      <c r="AM934" s="3"/>
      <c r="AN934" s="3"/>
      <c r="AO934" s="3"/>
      <c r="AP934" s="3"/>
      <c r="AQ934" s="3"/>
      <c r="AR934" s="3"/>
      <c r="AS934" s="3"/>
      <c r="AT934" s="3"/>
      <c r="AU934" s="3"/>
      <c r="AV934" s="3"/>
      <c r="AW934" s="3"/>
    </row>
    <row r="935" spans="12:49" x14ac:dyDescent="0.35">
      <c r="Q935" s="3"/>
      <c r="R935" s="3"/>
      <c r="S935" s="3"/>
      <c r="T935" s="3"/>
      <c r="V935" s="3"/>
      <c r="W935" s="3"/>
      <c r="X935" s="3"/>
      <c r="Y935" s="3"/>
      <c r="Z935" s="3"/>
      <c r="AA935" s="3"/>
      <c r="AB935" s="3"/>
      <c r="AC935" s="3"/>
      <c r="AD935" s="3"/>
      <c r="AE935" s="3"/>
      <c r="AF935" s="3"/>
      <c r="AG935" s="3"/>
      <c r="AH935" s="3"/>
      <c r="AI935" s="3"/>
      <c r="AJ935" s="3"/>
      <c r="AK935" s="3"/>
      <c r="AL935" s="3"/>
      <c r="AM935" s="3"/>
      <c r="AN935" s="3"/>
      <c r="AO935" s="3"/>
      <c r="AP935" s="3"/>
      <c r="AQ935" s="3"/>
      <c r="AR935" s="3"/>
      <c r="AS935" s="3"/>
      <c r="AT935" s="3"/>
      <c r="AU935" s="3"/>
      <c r="AV935" s="3"/>
      <c r="AW935" s="3"/>
    </row>
    <row r="936" spans="12:49" x14ac:dyDescent="0.35">
      <c r="Q936" s="3"/>
      <c r="R936" s="3"/>
      <c r="S936" s="3"/>
      <c r="T936" s="3"/>
      <c r="V936" s="3"/>
      <c r="W936" s="3"/>
      <c r="X936" s="3"/>
      <c r="Y936" s="3"/>
      <c r="Z936" s="3"/>
      <c r="AA936" s="3"/>
      <c r="AB936" s="3"/>
      <c r="AC936" s="3"/>
      <c r="AD936" s="3"/>
      <c r="AE936" s="3"/>
      <c r="AF936" s="3"/>
      <c r="AG936" s="3"/>
      <c r="AH936" s="3"/>
      <c r="AI936" s="3"/>
      <c r="AJ936" s="3"/>
      <c r="AK936" s="3"/>
      <c r="AL936" s="3"/>
      <c r="AM936" s="3"/>
      <c r="AN936" s="3"/>
      <c r="AO936" s="3"/>
      <c r="AP936" s="3"/>
      <c r="AQ936" s="3"/>
      <c r="AR936" s="3"/>
      <c r="AS936" s="3"/>
      <c r="AT936" s="3"/>
      <c r="AU936" s="3"/>
      <c r="AV936" s="3"/>
      <c r="AW936" s="3"/>
    </row>
  </sheetData>
  <mergeCells count="73">
    <mergeCell ref="L36:O36"/>
    <mergeCell ref="M37:N37"/>
    <mergeCell ref="G84:J84"/>
    <mergeCell ref="G52:J52"/>
    <mergeCell ref="G95:J95"/>
    <mergeCell ref="H61:I61"/>
    <mergeCell ref="G68:J68"/>
    <mergeCell ref="H69:I69"/>
    <mergeCell ref="H77:I77"/>
    <mergeCell ref="H161:I161"/>
    <mergeCell ref="G108:J108"/>
    <mergeCell ref="H104:I104"/>
    <mergeCell ref="H109:I109"/>
    <mergeCell ref="H122:I122"/>
    <mergeCell ref="H140:I140"/>
    <mergeCell ref="G144:J144"/>
    <mergeCell ref="H145:I145"/>
    <mergeCell ref="H152:I152"/>
    <mergeCell ref="AK1:AN1"/>
    <mergeCell ref="AP1:AS1"/>
    <mergeCell ref="B2:E2"/>
    <mergeCell ref="B82:E82"/>
    <mergeCell ref="B16:E16"/>
    <mergeCell ref="B32:E32"/>
    <mergeCell ref="B57:E57"/>
    <mergeCell ref="B69:E69"/>
    <mergeCell ref="B1:E1"/>
    <mergeCell ref="G1:J1"/>
    <mergeCell ref="L1:O1"/>
    <mergeCell ref="Q1:T1"/>
    <mergeCell ref="V1:Y1"/>
    <mergeCell ref="AA1:AD1"/>
    <mergeCell ref="H28:I28"/>
    <mergeCell ref="G41:J41"/>
    <mergeCell ref="C65:D65"/>
    <mergeCell ref="C70:D70"/>
    <mergeCell ref="AF1:AI1"/>
    <mergeCell ref="G2:J2"/>
    <mergeCell ref="H3:I3"/>
    <mergeCell ref="C3:D3"/>
    <mergeCell ref="H8:I8"/>
    <mergeCell ref="H13:I13"/>
    <mergeCell ref="R2:S2"/>
    <mergeCell ref="R6:S6"/>
    <mergeCell ref="M22:N22"/>
    <mergeCell ref="G19:J19"/>
    <mergeCell ref="M2:N2"/>
    <mergeCell ref="M8:N8"/>
    <mergeCell ref="M15:N15"/>
    <mergeCell ref="H20:I20"/>
    <mergeCell ref="C28:D28"/>
    <mergeCell ref="C33:D33"/>
    <mergeCell ref="C7:D7"/>
    <mergeCell ref="C20:D20"/>
    <mergeCell ref="C38:D38"/>
    <mergeCell ref="C13:D13"/>
    <mergeCell ref="C17:D17"/>
    <mergeCell ref="C51:D51"/>
    <mergeCell ref="C149:D149"/>
    <mergeCell ref="C155:D155"/>
    <mergeCell ref="C73:D73"/>
    <mergeCell ref="C78:D78"/>
    <mergeCell ref="C83:D83"/>
    <mergeCell ref="C94:D94"/>
    <mergeCell ref="B97:E97"/>
    <mergeCell ref="C98:D98"/>
    <mergeCell ref="B143:E143"/>
    <mergeCell ref="C134:D134"/>
    <mergeCell ref="C144:D144"/>
    <mergeCell ref="C87:D87"/>
    <mergeCell ref="C103:D103"/>
    <mergeCell ref="C58:D58"/>
    <mergeCell ref="C61:D61"/>
  </mergeCells>
  <conditionalFormatting sqref="D29:D31 D25:D27">
    <cfRule type="containsText" dxfId="32" priority="15" operator="containsText" text="FALSE">
      <formula>NOT(ISERROR(SEARCH("FALSE",D25)))</formula>
    </cfRule>
    <cfRule type="containsText" dxfId="31" priority="16" operator="containsText" text="TRUE">
      <formula>NOT(ISERROR(SEARCH("TRUE",D25)))</formula>
    </cfRule>
  </conditionalFormatting>
  <conditionalFormatting sqref="D84">
    <cfRule type="containsText" dxfId="30" priority="13" operator="containsText" text="FALSE">
      <formula>NOT(ISERROR(SEARCH("FALSE",D84)))</formula>
    </cfRule>
    <cfRule type="containsText" dxfId="29" priority="14" operator="containsText" text="TRUE">
      <formula>NOT(ISERROR(SEARCH("TRUE",D84)))</formula>
    </cfRule>
  </conditionalFormatting>
  <conditionalFormatting sqref="C61">
    <cfRule type="containsText" dxfId="28" priority="7" operator="containsText" text="FALSE">
      <formula>NOT(ISERROR(SEARCH("FALSE",C61)))</formula>
    </cfRule>
    <cfRule type="containsText" dxfId="27" priority="8" operator="containsText" text="TRUE">
      <formula>NOT(ISERROR(SEARCH("TRUE",C61)))</formula>
    </cfRule>
  </conditionalFormatting>
  <conditionalFormatting sqref="C151">
    <cfRule type="containsText" dxfId="26" priority="5" operator="containsText" text="FALSE">
      <formula>NOT(ISERROR(SEARCH("FALSE",C151)))</formula>
    </cfRule>
    <cfRule type="containsText" dxfId="25" priority="6" operator="containsText" text="TRUE">
      <formula>NOT(ISERROR(SEARCH("TRUE",C151)))</formula>
    </cfRule>
  </conditionalFormatting>
  <conditionalFormatting sqref="O32">
    <cfRule type="cellIs" dxfId="24" priority="1" operator="greaterThan">
      <formula>1.05</formula>
    </cfRule>
    <cfRule type="cellIs" dxfId="23" priority="2" operator="lessThan">
      <formula>0.95</formula>
    </cfRule>
    <cfRule type="cellIs" dxfId="22" priority="3" operator="between">
      <formula>0.985</formula>
      <formula>1.015</formula>
    </cfRule>
    <cfRule type="cellIs" dxfId="21" priority="4" operator="between">
      <formula>0.95</formula>
      <formula>1.05</formula>
    </cfRule>
  </conditionalFormatting>
  <hyperlinks>
    <hyperlink ref="E21" r:id="rId1" location=":~:text=Typically%2C%20a%20150%20bu%2Fac,Figure%203."/>
    <hyperlink ref="E9" r:id="rId2" location=":~:text=Considering%20an%20average%20percent%20emergence,2)."/>
    <hyperlink ref="E88" r:id="rId3"/>
    <hyperlink ref="E39" r:id="rId4"/>
    <hyperlink ref="E63" r:id="rId5"/>
    <hyperlink ref="J9" r:id="rId6"/>
    <hyperlink ref="J29" r:id="rId7"/>
    <hyperlink ref="J34" r:id="rId8" location=":~:text=The%20flow%2Drates%20and%20temperature,1%20%C2%B0C%E2%88%921)."/>
    <hyperlink ref="J44" r:id="rId9"/>
    <hyperlink ref="J48" r:id="rId10"/>
    <hyperlink ref="J77" r:id="rId11"/>
    <hyperlink ref="O9" r:id="rId12"/>
    <hyperlink ref="O10" r:id="rId13" location=":~:text=We%20found%20that%20producing%2086,optimal%20for%20thermal%20energy%20consumption.&amp;text=Hydrous%20ethanol%20production%20can%20reduce,and%20emissions%20by%20%E2%88%BC8%25.&amp;text=Hyd"/>
    <hyperlink ref="O13" r:id="rId14"/>
    <hyperlink ref="E74" r:id="rId15"/>
    <hyperlink ref="J155" r:id="rId16"/>
    <hyperlink ref="E152" r:id="rId17"/>
    <hyperlink ref="E34" r:id="rId18"/>
    <hyperlink ref="E105" r:id="rId19"/>
    <hyperlink ref="E129" r:id="rId20" location=":~:text=During%20photosynthesis%2C%20plants%20absorb%20carbon,(Illustration%20adapted%20from%20P.J."/>
    <hyperlink ref="J174" r:id="rId21"/>
    <hyperlink ref="J175" r:id="rId22"/>
  </hyperlinks>
  <pageMargins left="0.7" right="0.7" top="0.75" bottom="0.75" header="0.3" footer="0.3"/>
  <legacyDrawing r:id="rId2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FF00"/>
  </sheetPr>
  <dimension ref="A1:AN164"/>
  <sheetViews>
    <sheetView topLeftCell="R4" zoomScaleNormal="100" workbookViewId="0">
      <selection activeCell="C164" sqref="C164"/>
    </sheetView>
  </sheetViews>
  <sheetFormatPr defaultRowHeight="14.5" x14ac:dyDescent="0.35"/>
  <cols>
    <col min="2" max="2" width="7.26953125" style="54" customWidth="1"/>
    <col min="3" max="3" width="20.1796875" style="54" customWidth="1"/>
    <col min="4" max="13" width="18.54296875" customWidth="1"/>
    <col min="14" max="14" width="10.1796875" customWidth="1"/>
    <col min="15" max="15" width="10.7265625" style="54" customWidth="1"/>
    <col min="17" max="17" width="11.26953125" customWidth="1"/>
    <col min="18" max="18" width="12.26953125" customWidth="1"/>
    <col min="19" max="28" width="18.54296875" customWidth="1"/>
    <col min="31" max="40" width="18.54296875" customWidth="1"/>
  </cols>
  <sheetData>
    <row r="1" spans="1:15" ht="39.65" customHeight="1" x14ac:dyDescent="0.35">
      <c r="D1" s="351" t="s">
        <v>398</v>
      </c>
      <c r="E1" s="351"/>
      <c r="F1" s="351"/>
      <c r="G1" s="351"/>
      <c r="H1" s="351"/>
      <c r="I1" s="351"/>
      <c r="J1" s="351"/>
      <c r="K1" s="351"/>
      <c r="L1" s="351"/>
      <c r="M1" s="351"/>
    </row>
    <row r="2" spans="1:15" ht="37.9" customHeight="1" x14ac:dyDescent="0.35">
      <c r="C2" s="54" t="s">
        <v>412</v>
      </c>
      <c r="D2" s="71" t="s">
        <v>399</v>
      </c>
      <c r="E2" s="71" t="s">
        <v>400</v>
      </c>
      <c r="F2" s="71" t="s">
        <v>401</v>
      </c>
      <c r="G2" s="71" t="s">
        <v>402</v>
      </c>
      <c r="H2" s="71" t="s">
        <v>403</v>
      </c>
      <c r="I2" s="71" t="s">
        <v>404</v>
      </c>
      <c r="J2" s="71" t="s">
        <v>405</v>
      </c>
      <c r="K2" s="71" t="s">
        <v>406</v>
      </c>
      <c r="L2" s="71" t="s">
        <v>407</v>
      </c>
      <c r="M2" s="71" t="s">
        <v>408</v>
      </c>
      <c r="N2" s="50" t="s">
        <v>431</v>
      </c>
    </row>
    <row r="3" spans="1:15" x14ac:dyDescent="0.35">
      <c r="A3" s="350"/>
      <c r="B3" s="350"/>
      <c r="C3" s="54" t="s">
        <v>414</v>
      </c>
      <c r="D3">
        <v>3.8580000000000003E-2</v>
      </c>
      <c r="E3">
        <v>3.7730399999999999</v>
      </c>
      <c r="F3">
        <v>3.61E-2</v>
      </c>
      <c r="G3">
        <v>1.6543000000000001</v>
      </c>
      <c r="H3" s="68">
        <v>5.6301100000000001E-8</v>
      </c>
      <c r="I3" s="68">
        <v>1.58457E-7</v>
      </c>
      <c r="J3" s="68">
        <v>8.8655400000000004E-8</v>
      </c>
      <c r="K3">
        <v>0.11379</v>
      </c>
      <c r="L3">
        <v>0.83565</v>
      </c>
      <c r="M3">
        <v>2.2599999999999999E-3</v>
      </c>
      <c r="N3" t="s">
        <v>430</v>
      </c>
      <c r="O3" s="54" t="s">
        <v>434</v>
      </c>
    </row>
    <row r="4" spans="1:15" x14ac:dyDescent="0.35">
      <c r="A4" s="350"/>
      <c r="B4" s="350"/>
      <c r="C4" s="54" t="s">
        <v>415</v>
      </c>
      <c r="D4">
        <v>1.41E-3</v>
      </c>
      <c r="E4" s="68">
        <v>2.2372200000000002</v>
      </c>
      <c r="F4" s="68">
        <v>1.91E-3</v>
      </c>
      <c r="G4">
        <v>0.37251000000000001</v>
      </c>
      <c r="H4" s="68">
        <v>4.61062E-8</v>
      </c>
      <c r="I4" s="68">
        <v>8.45877E-8</v>
      </c>
      <c r="J4" s="68">
        <v>2.6435000000000001E-8</v>
      </c>
      <c r="K4" s="68">
        <v>1.7520000000000001E-2</v>
      </c>
      <c r="L4" s="68">
        <v>0.41002</v>
      </c>
      <c r="M4" s="68">
        <v>6.7000000000000002E-4</v>
      </c>
      <c r="N4" t="s">
        <v>432</v>
      </c>
      <c r="O4" s="54" t="s">
        <v>433</v>
      </c>
    </row>
    <row r="5" spans="1:15" x14ac:dyDescent="0.35">
      <c r="A5" s="350"/>
      <c r="B5" s="350"/>
      <c r="C5" s="55" t="s">
        <v>416</v>
      </c>
      <c r="D5">
        <v>1.8100000000000002E-2</v>
      </c>
      <c r="E5" s="68">
        <v>11.997719999999999</v>
      </c>
      <c r="F5" s="68">
        <v>5.8599999999999998E-3</v>
      </c>
      <c r="G5">
        <v>3.3584000000000001</v>
      </c>
      <c r="H5" s="68">
        <v>9.3520400000000001E-8</v>
      </c>
      <c r="I5" s="68">
        <v>5.5895099999999999E-7</v>
      </c>
      <c r="J5" s="68">
        <v>5.9734000000000003E-7</v>
      </c>
      <c r="K5" s="68">
        <v>0.10778</v>
      </c>
      <c r="L5" s="68">
        <v>7.5389099999999996</v>
      </c>
      <c r="M5" s="68">
        <v>3.0300000000000001E-3</v>
      </c>
      <c r="N5" t="s">
        <v>442</v>
      </c>
      <c r="O5" s="54" t="s">
        <v>436</v>
      </c>
    </row>
    <row r="6" spans="1:15" x14ac:dyDescent="0.35">
      <c r="A6" s="350"/>
      <c r="B6" s="350"/>
      <c r="C6" s="54" t="s">
        <v>417</v>
      </c>
      <c r="D6">
        <v>8.3700000000000007E-3</v>
      </c>
      <c r="E6">
        <v>7.4187799999999999</v>
      </c>
      <c r="F6">
        <v>5.4099999999999999E-3</v>
      </c>
      <c r="G6">
        <v>1.1305000000000001</v>
      </c>
      <c r="H6" s="68">
        <v>5.9694900000000001E-8</v>
      </c>
      <c r="I6" s="68">
        <v>4.13859E-7</v>
      </c>
      <c r="J6" s="68">
        <v>1.3561699999999999E-7</v>
      </c>
      <c r="K6">
        <v>0.15945000000000001</v>
      </c>
      <c r="L6">
        <v>1.6351</v>
      </c>
      <c r="M6">
        <v>1.73E-3</v>
      </c>
      <c r="N6" t="s">
        <v>435</v>
      </c>
      <c r="O6" s="54" t="s">
        <v>436</v>
      </c>
    </row>
    <row r="7" spans="1:15" x14ac:dyDescent="0.35">
      <c r="A7" s="350"/>
      <c r="B7" s="350"/>
      <c r="C7" s="54" t="s">
        <v>418</v>
      </c>
      <c r="D7" s="68">
        <v>2.0400000000000001E-3</v>
      </c>
      <c r="E7">
        <v>5.1751699999999996</v>
      </c>
      <c r="F7">
        <v>1.72E-3</v>
      </c>
      <c r="G7">
        <v>0.52849999999999997</v>
      </c>
      <c r="H7" s="68">
        <v>3.7701000000000001E-8</v>
      </c>
      <c r="I7" s="68">
        <v>2.4575199999999999E-7</v>
      </c>
      <c r="J7" s="68">
        <v>9.3607600000000005E-8</v>
      </c>
      <c r="K7">
        <v>2.7009999999999999E-2</v>
      </c>
      <c r="L7">
        <v>0.96584000000000003</v>
      </c>
      <c r="M7" s="68">
        <v>3.4000000000000002E-4</v>
      </c>
      <c r="N7" t="s">
        <v>437</v>
      </c>
      <c r="O7" s="54" t="s">
        <v>436</v>
      </c>
    </row>
    <row r="8" spans="1:15" x14ac:dyDescent="0.35">
      <c r="A8" s="350"/>
      <c r="B8" s="350"/>
      <c r="C8" s="54" t="s">
        <v>419</v>
      </c>
      <c r="D8">
        <v>3.15E-3</v>
      </c>
      <c r="E8">
        <v>0.21995999999999999</v>
      </c>
      <c r="F8">
        <v>2.9999999999999997E-4</v>
      </c>
      <c r="G8">
        <v>0.97606000000000004</v>
      </c>
      <c r="H8" s="68">
        <v>4.0926900000000003E-9</v>
      </c>
      <c r="I8" s="68">
        <v>8.1703200000000008E-9</v>
      </c>
      <c r="J8" s="68">
        <v>8.8547799999999996E-8</v>
      </c>
      <c r="K8" s="68">
        <v>4.761E-2</v>
      </c>
      <c r="L8" s="68">
        <v>0.60616999999999999</v>
      </c>
      <c r="M8" s="68">
        <v>2.5000000000000001E-4</v>
      </c>
      <c r="N8" t="s">
        <v>438</v>
      </c>
      <c r="O8" s="54" t="s">
        <v>436</v>
      </c>
    </row>
    <row r="9" spans="1:15" x14ac:dyDescent="0.35">
      <c r="A9" s="350"/>
      <c r="B9" s="350"/>
      <c r="C9" s="54" t="s">
        <v>51</v>
      </c>
      <c r="D9">
        <v>3.6819999999999999E-2</v>
      </c>
      <c r="E9">
        <v>42.264040000000001</v>
      </c>
      <c r="F9">
        <v>3.3300000000000003E-2</v>
      </c>
      <c r="G9">
        <v>8.8202200000000008</v>
      </c>
      <c r="H9" s="68">
        <v>4.5605400000000002E-7</v>
      </c>
      <c r="I9" s="68">
        <v>1.9692199999999998E-6</v>
      </c>
      <c r="J9" s="68">
        <v>1.9382599999999999E-6</v>
      </c>
      <c r="K9">
        <v>0.44130000000000003</v>
      </c>
      <c r="L9">
        <v>14.1059</v>
      </c>
      <c r="M9" s="68">
        <v>7.4900000000000001E-3</v>
      </c>
      <c r="N9" t="s">
        <v>439</v>
      </c>
      <c r="O9" s="54" t="s">
        <v>436</v>
      </c>
    </row>
    <row r="10" spans="1:15" x14ac:dyDescent="0.35">
      <c r="A10" s="72"/>
      <c r="B10" s="72"/>
      <c r="C10" s="54" t="s">
        <v>448</v>
      </c>
      <c r="D10">
        <v>0.36276000000000003</v>
      </c>
      <c r="E10">
        <v>270.84419000000003</v>
      </c>
      <c r="F10">
        <v>0.14602999999999999</v>
      </c>
      <c r="G10">
        <v>57.131450000000001</v>
      </c>
      <c r="H10" s="68">
        <v>5.28846E-6</v>
      </c>
      <c r="I10" s="68">
        <v>9.9845999999999992E-6</v>
      </c>
      <c r="J10" s="68">
        <v>7.6537900000000005E-6</v>
      </c>
      <c r="K10" s="68">
        <v>7.9703499999999998</v>
      </c>
      <c r="L10" s="68">
        <v>66.697630000000004</v>
      </c>
      <c r="M10" s="68">
        <v>7.8369999999999995E-2</v>
      </c>
      <c r="N10" t="s">
        <v>452</v>
      </c>
      <c r="O10" s="66" t="s">
        <v>434</v>
      </c>
    </row>
    <row r="11" spans="1:15" x14ac:dyDescent="0.35">
      <c r="A11" s="72"/>
      <c r="B11" s="72"/>
      <c r="C11" s="66" t="s">
        <v>457</v>
      </c>
      <c r="D11">
        <v>0.13045000000000001</v>
      </c>
      <c r="E11">
        <v>83.376099999999994</v>
      </c>
      <c r="F11">
        <v>4.3459999999999999E-2</v>
      </c>
      <c r="G11">
        <v>17.24485</v>
      </c>
      <c r="H11" s="68">
        <v>1.03678E-6</v>
      </c>
      <c r="I11" s="68">
        <v>3.7643300000000001E-6</v>
      </c>
      <c r="J11" s="68">
        <v>3.0117599999999999E-6</v>
      </c>
      <c r="K11" s="68">
        <v>3.17198</v>
      </c>
      <c r="L11" s="68">
        <v>26.205690000000001</v>
      </c>
      <c r="M11" s="68">
        <v>1.9990000000000001E-2</v>
      </c>
      <c r="N11" t="s">
        <v>450</v>
      </c>
      <c r="O11" s="66" t="s">
        <v>434</v>
      </c>
    </row>
    <row r="12" spans="1:15" x14ac:dyDescent="0.35">
      <c r="A12" s="72"/>
      <c r="B12" s="72"/>
      <c r="C12" s="66" t="s">
        <v>447</v>
      </c>
      <c r="D12">
        <v>0.88478000000000001</v>
      </c>
      <c r="E12">
        <v>547.03817000000004</v>
      </c>
      <c r="F12">
        <v>0.28473999999999999</v>
      </c>
      <c r="G12">
        <v>113.82844</v>
      </c>
      <c r="H12" s="68">
        <v>6.6293199999999999E-6</v>
      </c>
      <c r="I12" s="68">
        <v>2.48619E-5</v>
      </c>
      <c r="J12" s="68">
        <v>2.01212E-5</v>
      </c>
      <c r="K12" s="68">
        <v>21.88522</v>
      </c>
      <c r="L12" s="68">
        <v>174.78767999999999</v>
      </c>
      <c r="M12" s="68">
        <v>7.4770000000000003E-2</v>
      </c>
      <c r="N12" t="s">
        <v>451</v>
      </c>
      <c r="O12" s="66" t="s">
        <v>434</v>
      </c>
    </row>
    <row r="13" spans="1:15" x14ac:dyDescent="0.35">
      <c r="A13" s="72"/>
      <c r="B13" s="72"/>
      <c r="C13" s="54" t="s">
        <v>449</v>
      </c>
      <c r="D13">
        <v>0.29953999999999997</v>
      </c>
      <c r="E13">
        <v>77.610789999999994</v>
      </c>
      <c r="F13">
        <v>5.6489999999999999E-2</v>
      </c>
      <c r="G13">
        <v>33.603029999999997</v>
      </c>
      <c r="H13" s="68">
        <v>1.10935E-6</v>
      </c>
      <c r="I13" s="68">
        <v>3.3766399999999998E-6</v>
      </c>
      <c r="J13" s="68">
        <v>6.9960399999999999E-6</v>
      </c>
      <c r="K13" s="68">
        <v>8.4742300000000004</v>
      </c>
      <c r="L13" s="68">
        <v>59.1584</v>
      </c>
      <c r="M13" s="68">
        <v>3.7280000000000001E-2</v>
      </c>
      <c r="N13" t="s">
        <v>453</v>
      </c>
      <c r="O13" s="66" t="s">
        <v>434</v>
      </c>
    </row>
    <row r="14" spans="1:15" x14ac:dyDescent="0.35">
      <c r="A14" s="72"/>
      <c r="B14" s="72"/>
      <c r="C14" s="66" t="s">
        <v>454</v>
      </c>
      <c r="D14">
        <v>2.7499999999999998E-3</v>
      </c>
      <c r="E14">
        <v>0.91886000000000001</v>
      </c>
      <c r="F14">
        <v>9.8999999999999999E-4</v>
      </c>
      <c r="G14">
        <v>0.44936999999999999</v>
      </c>
      <c r="H14" s="68">
        <v>1.7480799999999999E-8</v>
      </c>
      <c r="I14" s="68">
        <v>4.1644300000000002E-8</v>
      </c>
      <c r="J14" s="68">
        <v>1.19081E-8</v>
      </c>
      <c r="K14" s="68">
        <v>2.1440000000000001E-2</v>
      </c>
      <c r="L14" s="68">
        <v>0.14374000000000001</v>
      </c>
      <c r="M14" s="68">
        <v>3.2000000000000003E-4</v>
      </c>
      <c r="N14" t="s">
        <v>455</v>
      </c>
      <c r="O14" s="66" t="s">
        <v>456</v>
      </c>
    </row>
    <row r="15" spans="1:15" x14ac:dyDescent="0.35">
      <c r="A15" s="72"/>
      <c r="B15" s="72"/>
      <c r="C15" s="66" t="s">
        <v>459</v>
      </c>
      <c r="D15">
        <v>3.363E-2</v>
      </c>
      <c r="E15">
        <v>13.99701</v>
      </c>
      <c r="F15">
        <v>8.8400000000000006E-3</v>
      </c>
      <c r="G15">
        <v>4.3605299999999998</v>
      </c>
      <c r="H15" s="68">
        <v>2.3195300000000001E-7</v>
      </c>
      <c r="I15" s="68">
        <v>5.7852399999999997E-7</v>
      </c>
      <c r="J15" s="68">
        <v>8.0178299999999995E-7</v>
      </c>
      <c r="K15" s="68">
        <v>0.87414999999999998</v>
      </c>
      <c r="L15" s="68">
        <v>6.85717</v>
      </c>
      <c r="M15" s="68">
        <v>5.8500000000000002E-3</v>
      </c>
      <c r="N15" t="s">
        <v>462</v>
      </c>
      <c r="O15" s="66" t="s">
        <v>461</v>
      </c>
    </row>
    <row r="16" spans="1:15" x14ac:dyDescent="0.35">
      <c r="A16" s="72"/>
      <c r="B16" s="72"/>
      <c r="C16" s="54" t="s">
        <v>458</v>
      </c>
      <c r="D16">
        <v>1.213E-2</v>
      </c>
      <c r="E16">
        <v>1.7846</v>
      </c>
      <c r="F16">
        <v>1.8E-3</v>
      </c>
      <c r="G16">
        <v>1.3833200000000001</v>
      </c>
      <c r="H16" s="68">
        <v>2.5667999999999999E-8</v>
      </c>
      <c r="I16" s="68">
        <v>7.7519799999999998E-8</v>
      </c>
      <c r="J16" s="68">
        <v>3.1462699999999998E-7</v>
      </c>
      <c r="K16" s="68">
        <v>0.35165999999999997</v>
      </c>
      <c r="L16" s="68">
        <v>2.64039</v>
      </c>
      <c r="M16" s="68">
        <v>1.75E-3</v>
      </c>
      <c r="N16" t="s">
        <v>460</v>
      </c>
      <c r="O16" s="54" t="s">
        <v>461</v>
      </c>
    </row>
    <row r="17" spans="1:32" x14ac:dyDescent="0.35">
      <c r="A17" s="350"/>
      <c r="B17" s="350"/>
      <c r="C17" s="54" t="s">
        <v>464</v>
      </c>
      <c r="D17">
        <v>1.33E-3</v>
      </c>
      <c r="E17">
        <v>0.83613000000000004</v>
      </c>
      <c r="F17">
        <v>5.0000000000000001E-4</v>
      </c>
      <c r="G17">
        <v>0.21273</v>
      </c>
      <c r="H17" s="68">
        <v>2.06647E-8</v>
      </c>
      <c r="I17" s="68">
        <v>3.5711500000000002E-8</v>
      </c>
      <c r="J17" s="68">
        <v>2.81763E-8</v>
      </c>
      <c r="K17" s="68">
        <v>2.7210000000000002E-2</v>
      </c>
      <c r="L17" s="68">
        <v>0.25014999999999998</v>
      </c>
      <c r="M17" s="68">
        <v>2.5999999999999998E-4</v>
      </c>
      <c r="N17" t="s">
        <v>463</v>
      </c>
      <c r="O17" s="54" t="s">
        <v>465</v>
      </c>
      <c r="P17" s="3"/>
      <c r="Q17" s="3"/>
      <c r="R17" s="3"/>
      <c r="S17" s="3"/>
      <c r="T17" s="3"/>
      <c r="U17" s="3"/>
      <c r="V17" s="3"/>
      <c r="W17" s="3"/>
      <c r="X17" s="3"/>
      <c r="Y17" s="3"/>
      <c r="Z17" s="3"/>
      <c r="AA17" s="3"/>
      <c r="AB17" s="3"/>
      <c r="AC17" s="3"/>
      <c r="AD17" s="3"/>
      <c r="AE17" s="3"/>
      <c r="AF17" s="3"/>
    </row>
    <row r="18" spans="1:32" ht="14.5" customHeight="1" x14ac:dyDescent="0.35">
      <c r="A18" s="72"/>
      <c r="B18" s="72"/>
      <c r="C18" s="66" t="s">
        <v>472</v>
      </c>
      <c r="D18">
        <v>1.01E-3</v>
      </c>
      <c r="E18">
        <v>0.42836000000000002</v>
      </c>
      <c r="F18">
        <v>1.9000000000000001E-4</v>
      </c>
      <c r="G18">
        <v>0.16350999999999999</v>
      </c>
      <c r="H18" s="68">
        <v>4.7793699999999998E-9</v>
      </c>
      <c r="I18" s="68">
        <v>1.6463700000000001E-8</v>
      </c>
      <c r="J18" s="68">
        <v>4.0467299999999997E-8</v>
      </c>
      <c r="K18" s="68">
        <v>2.7570000000000001E-2</v>
      </c>
      <c r="L18" s="68">
        <v>0.33983999999999998</v>
      </c>
      <c r="M18" s="68">
        <v>9.7881700000000002E-5</v>
      </c>
      <c r="N18" t="s">
        <v>470</v>
      </c>
      <c r="O18" s="66" t="s">
        <v>471</v>
      </c>
      <c r="P18" s="3"/>
      <c r="Q18" s="3"/>
      <c r="R18" s="3"/>
      <c r="S18" s="3"/>
      <c r="T18" s="3"/>
      <c r="U18" s="3"/>
      <c r="V18" s="3"/>
      <c r="W18" s="3"/>
      <c r="X18" s="3"/>
      <c r="Y18" s="3"/>
      <c r="Z18" s="3"/>
      <c r="AA18" s="3"/>
      <c r="AB18" s="3"/>
      <c r="AC18" s="3"/>
      <c r="AD18" s="3"/>
      <c r="AE18" s="3"/>
      <c r="AF18" s="3"/>
    </row>
    <row r="19" spans="1:32" ht="14.5" customHeight="1" x14ac:dyDescent="0.35">
      <c r="A19" s="73"/>
      <c r="B19" s="73"/>
      <c r="C19" s="66" t="s">
        <v>468</v>
      </c>
      <c r="D19" s="68">
        <v>6.0754600000000003E-5</v>
      </c>
      <c r="E19">
        <v>3.4770000000000002E-2</v>
      </c>
      <c r="F19" s="68">
        <v>1.7603200000000001E-5</v>
      </c>
      <c r="G19">
        <v>7.5620000000000007E-2</v>
      </c>
      <c r="H19" s="68">
        <v>6.79297E-10</v>
      </c>
      <c r="I19" s="68">
        <v>1.5251500000000001E-9</v>
      </c>
      <c r="J19" s="68">
        <v>1.19528E-8</v>
      </c>
      <c r="K19" s="68">
        <v>1.0200000000000001E-3</v>
      </c>
      <c r="L19" s="68">
        <v>0.16972000000000001</v>
      </c>
      <c r="M19" s="68">
        <v>6.1555800000000003E-6</v>
      </c>
      <c r="N19" t="s">
        <v>469</v>
      </c>
      <c r="O19" s="66" t="s">
        <v>465</v>
      </c>
      <c r="P19" s="3"/>
      <c r="Q19" s="3"/>
      <c r="R19" s="3"/>
      <c r="S19" s="3"/>
      <c r="T19" s="3"/>
      <c r="U19" s="3"/>
      <c r="V19" s="3"/>
      <c r="W19" s="3"/>
      <c r="X19" s="3"/>
      <c r="Y19" s="3"/>
      <c r="Z19" s="3"/>
      <c r="AA19" s="3"/>
      <c r="AB19" s="3"/>
      <c r="AC19" s="3"/>
      <c r="AD19" s="3"/>
      <c r="AE19" s="3"/>
      <c r="AF19" s="3"/>
    </row>
    <row r="20" spans="1:32" ht="14.5" customHeight="1" x14ac:dyDescent="0.35">
      <c r="A20" s="73"/>
      <c r="B20" s="73"/>
      <c r="C20" s="54" t="s">
        <v>466</v>
      </c>
      <c r="D20">
        <v>2.7699999999999999E-3</v>
      </c>
      <c r="E20">
        <v>5.8578700000000001</v>
      </c>
      <c r="F20">
        <v>7.9399999999999991E-3</v>
      </c>
      <c r="G20">
        <v>0.77376999999999996</v>
      </c>
      <c r="H20" s="68">
        <v>8.2953800000000005E-8</v>
      </c>
      <c r="I20" s="68">
        <v>2.3481900000000001E-7</v>
      </c>
      <c r="J20" s="68">
        <v>3.19017E-8</v>
      </c>
      <c r="K20" s="68">
        <v>2.4910000000000002E-2</v>
      </c>
      <c r="L20" s="68">
        <v>0.16850000000000001</v>
      </c>
      <c r="M20" s="68">
        <v>2.8E-3</v>
      </c>
      <c r="N20" t="s">
        <v>594</v>
      </c>
      <c r="O20" s="54" t="s">
        <v>467</v>
      </c>
      <c r="P20" s="3"/>
      <c r="Q20" s="3"/>
      <c r="R20" s="3"/>
      <c r="S20" s="3"/>
      <c r="T20" s="3"/>
      <c r="U20" s="3"/>
      <c r="V20" s="3"/>
      <c r="W20" s="3"/>
      <c r="X20" s="3"/>
      <c r="Y20" s="3"/>
      <c r="Z20" s="3"/>
      <c r="AA20" s="3"/>
      <c r="AB20" s="3"/>
      <c r="AC20" s="3"/>
      <c r="AD20" s="3"/>
      <c r="AE20" s="3"/>
      <c r="AF20" s="3"/>
    </row>
    <row r="21" spans="1:32" s="43" customFormat="1" ht="13.15" customHeight="1" x14ac:dyDescent="0.35">
      <c r="A21" s="67"/>
      <c r="B21" s="73"/>
      <c r="C21" s="54" t="s">
        <v>420</v>
      </c>
      <c r="D21" s="68">
        <v>3.3444199999999998E-6</v>
      </c>
      <c r="E21">
        <v>2.3500000000000001E-3</v>
      </c>
      <c r="F21" s="68">
        <v>2.6391100000000001E-6</v>
      </c>
      <c r="G21">
        <v>7.5000000000000002E-4</v>
      </c>
      <c r="H21" s="68">
        <v>4.0996800000000002E-11</v>
      </c>
      <c r="I21" s="68">
        <v>1.1062E-11</v>
      </c>
      <c r="J21" s="68">
        <v>4.3034599999999998E-11</v>
      </c>
      <c r="K21" s="68">
        <v>3.7761400000000001E-5</v>
      </c>
      <c r="L21" s="68">
        <v>4.6000000000000001E-4</v>
      </c>
      <c r="M21" s="68">
        <v>1.0899900000000001E-6</v>
      </c>
      <c r="N21" t="s">
        <v>440</v>
      </c>
      <c r="O21" s="54" t="s">
        <v>436</v>
      </c>
      <c r="P21" s="3"/>
      <c r="Q21" s="3"/>
      <c r="R21" s="3"/>
      <c r="S21" s="3"/>
      <c r="T21" s="3"/>
      <c r="U21" s="3"/>
      <c r="V21" s="3"/>
      <c r="W21" s="3"/>
      <c r="X21" s="3"/>
      <c r="Y21" s="3"/>
      <c r="Z21" s="3"/>
      <c r="AA21" s="3"/>
      <c r="AB21" s="3"/>
      <c r="AC21" s="3"/>
      <c r="AD21" s="3"/>
      <c r="AE21" s="3"/>
      <c r="AF21" s="3"/>
    </row>
    <row r="22" spans="1:32" ht="15.65" customHeight="1" x14ac:dyDescent="0.35">
      <c r="A22" s="78"/>
      <c r="B22" s="78"/>
      <c r="C22" s="54" t="s">
        <v>421</v>
      </c>
      <c r="D22">
        <v>7.1000000000000004E-3</v>
      </c>
      <c r="E22">
        <v>2.00041</v>
      </c>
      <c r="F22" s="68">
        <v>6.9999999999999999E-4</v>
      </c>
      <c r="G22">
        <v>0.11217000000000001</v>
      </c>
      <c r="H22" s="68">
        <v>1.30666E-8</v>
      </c>
      <c r="I22" s="68">
        <v>9.3693099999999996E-8</v>
      </c>
      <c r="J22" s="68">
        <v>4.92528E-8</v>
      </c>
      <c r="K22" s="68">
        <v>1.8960000000000001E-2</v>
      </c>
      <c r="L22" s="68">
        <v>0.90805999999999998</v>
      </c>
      <c r="M22" s="68">
        <v>4.8999999999999998E-4</v>
      </c>
      <c r="N22" t="s">
        <v>441</v>
      </c>
      <c r="O22" s="54" t="s">
        <v>436</v>
      </c>
      <c r="P22" s="3"/>
      <c r="Q22" s="3"/>
      <c r="R22" s="3"/>
      <c r="S22" s="3"/>
      <c r="T22" s="3"/>
      <c r="U22" s="3"/>
      <c r="V22" s="3"/>
      <c r="W22" s="3"/>
      <c r="X22" s="3"/>
      <c r="Y22" s="3"/>
      <c r="Z22" s="3"/>
      <c r="AA22" s="3"/>
      <c r="AB22" s="3"/>
      <c r="AC22" s="3"/>
      <c r="AD22" s="3"/>
      <c r="AE22" s="3"/>
      <c r="AF22" s="3"/>
    </row>
    <row r="23" spans="1:32" x14ac:dyDescent="0.35">
      <c r="A23" s="78"/>
      <c r="B23" s="78"/>
      <c r="C23" s="54" t="s">
        <v>422</v>
      </c>
      <c r="D23" s="1">
        <v>4.4900000000000001E-3</v>
      </c>
      <c r="E23" s="1">
        <v>3.9368599999999998</v>
      </c>
      <c r="F23" s="1">
        <v>1.7099999999999999E-3</v>
      </c>
      <c r="G23" s="1">
        <v>1.9076900000000001</v>
      </c>
      <c r="H23" s="138">
        <v>2.92462E-8</v>
      </c>
      <c r="I23" s="138">
        <v>1.76622E-7</v>
      </c>
      <c r="J23" s="138">
        <v>3.5444100000000002E-7</v>
      </c>
      <c r="K23" s="1">
        <v>5.0169999999999999E-2</v>
      </c>
      <c r="L23" s="1">
        <v>5.0208899999999996</v>
      </c>
      <c r="M23" s="1">
        <v>7.2999999999999996E-4</v>
      </c>
      <c r="N23" t="s">
        <v>500</v>
      </c>
      <c r="O23" s="54" t="s">
        <v>436</v>
      </c>
    </row>
    <row r="24" spans="1:32" x14ac:dyDescent="0.35">
      <c r="A24" s="78"/>
      <c r="B24" s="78"/>
      <c r="C24" s="104" t="s">
        <v>423</v>
      </c>
      <c r="D24">
        <v>1.004E-2</v>
      </c>
      <c r="E24">
        <v>10.16409</v>
      </c>
      <c r="F24">
        <v>1.916E-2</v>
      </c>
      <c r="G24">
        <v>1.4872399999999999</v>
      </c>
      <c r="H24" s="68">
        <v>8.2877499999999996E-8</v>
      </c>
      <c r="I24" s="68">
        <v>4.0380499999999998E-7</v>
      </c>
      <c r="J24" s="68">
        <v>1.54231E-7</v>
      </c>
      <c r="K24" s="68">
        <v>8.3430000000000004E-2</v>
      </c>
      <c r="L24" s="68">
        <v>1.4336599999999999</v>
      </c>
      <c r="M24" s="68">
        <v>1.4300000000000001E-3</v>
      </c>
      <c r="N24" t="s">
        <v>443</v>
      </c>
      <c r="O24" s="54" t="s">
        <v>436</v>
      </c>
    </row>
    <row r="25" spans="1:32" ht="15" thickBot="1" x14ac:dyDescent="0.4">
      <c r="A25" s="78"/>
      <c r="B25" s="107"/>
      <c r="C25" s="105" t="s">
        <v>424</v>
      </c>
      <c r="D25">
        <v>4.9540000000000001E-2</v>
      </c>
      <c r="E25">
        <v>4.1063299999999998</v>
      </c>
      <c r="F25">
        <v>2.4099999999999998E-3</v>
      </c>
      <c r="G25">
        <v>0.39594000000000001</v>
      </c>
      <c r="H25" s="68">
        <v>3.46661E-8</v>
      </c>
      <c r="I25" s="68">
        <v>1.8729200000000001E-7</v>
      </c>
      <c r="J25" s="68">
        <v>1.3589699999999999E-7</v>
      </c>
      <c r="K25" s="68">
        <v>1.678E-2</v>
      </c>
      <c r="L25" s="68">
        <v>2.3723399999999999</v>
      </c>
      <c r="M25" s="68">
        <v>3.1900000000000001E-3</v>
      </c>
      <c r="N25" t="s">
        <v>444</v>
      </c>
      <c r="O25" s="54" t="s">
        <v>436</v>
      </c>
      <c r="Q25">
        <v>8.9700000000000005E-3</v>
      </c>
      <c r="R25" t="s">
        <v>431</v>
      </c>
    </row>
    <row r="26" spans="1:32" ht="15" thickBot="1" x14ac:dyDescent="0.4">
      <c r="A26" s="78"/>
      <c r="B26" s="78"/>
      <c r="C26" s="106" t="s">
        <v>425</v>
      </c>
      <c r="D26" s="1">
        <v>8.4600000000000005E-3</v>
      </c>
      <c r="E26" s="138">
        <v>5.0424600000000002E-6</v>
      </c>
      <c r="F26" s="1">
        <v>1.3999999999999999E-4</v>
      </c>
      <c r="G26" s="285">
        <v>8.9700000000000005E-3</v>
      </c>
      <c r="H26" s="138">
        <v>3.18618E-14</v>
      </c>
      <c r="I26" s="138">
        <v>3.2638199999999999E-15</v>
      </c>
      <c r="J26" s="138">
        <v>0</v>
      </c>
      <c r="K26" s="138">
        <v>7.3999999999999999E-4</v>
      </c>
      <c r="L26" s="138">
        <v>1.133E-2</v>
      </c>
      <c r="M26" s="138">
        <v>5.1000000000000004E-4</v>
      </c>
      <c r="N26" s="68" t="s">
        <v>484</v>
      </c>
      <c r="O26" s="54" t="s">
        <v>436</v>
      </c>
      <c r="Q26">
        <f>1.85</f>
        <v>1.85</v>
      </c>
      <c r="R26" t="s">
        <v>991</v>
      </c>
      <c r="S26" t="s">
        <v>613</v>
      </c>
    </row>
    <row r="27" spans="1:32" x14ac:dyDescent="0.35">
      <c r="A27" s="78"/>
      <c r="B27" s="78"/>
      <c r="C27" s="55" t="s">
        <v>426</v>
      </c>
      <c r="D27">
        <v>9.5499999999999995E-3</v>
      </c>
      <c r="E27">
        <v>15.38213</v>
      </c>
      <c r="F27">
        <v>6.0099999999999997E-3</v>
      </c>
      <c r="G27">
        <v>2.1245799999999999</v>
      </c>
      <c r="H27" s="68">
        <v>1.17521E-7</v>
      </c>
      <c r="I27" s="68">
        <v>7.3343499999999995E-7</v>
      </c>
      <c r="J27" s="68">
        <v>1.7277400000000001E-7</v>
      </c>
      <c r="K27">
        <v>8.6010000000000003E-2</v>
      </c>
      <c r="L27">
        <v>2.5118200000000002</v>
      </c>
      <c r="M27">
        <v>1.4499999999999999E-3</v>
      </c>
      <c r="N27" t="s">
        <v>499</v>
      </c>
      <c r="O27" s="54" t="s">
        <v>436</v>
      </c>
    </row>
    <row r="28" spans="1:32" x14ac:dyDescent="0.35">
      <c r="A28" s="78"/>
      <c r="B28" s="78"/>
      <c r="C28" s="55" t="s">
        <v>428</v>
      </c>
      <c r="D28">
        <v>2.2000000000000001E-3</v>
      </c>
      <c r="E28">
        <v>1.3925399999999999</v>
      </c>
      <c r="F28">
        <v>1.6199999999999999E-3</v>
      </c>
      <c r="G28">
        <v>0.46973999999999999</v>
      </c>
      <c r="H28" s="68">
        <v>2.36678E-8</v>
      </c>
      <c r="I28" s="68">
        <v>6.5518799999999995E-8</v>
      </c>
      <c r="J28" s="68">
        <v>2.3159400000000001E-8</v>
      </c>
      <c r="K28" s="68">
        <v>2.598E-2</v>
      </c>
      <c r="L28" s="68">
        <v>0.28538000000000002</v>
      </c>
      <c r="M28" s="68">
        <v>8.3000000000000001E-4</v>
      </c>
      <c r="N28" t="s">
        <v>446</v>
      </c>
      <c r="O28" s="54" t="s">
        <v>436</v>
      </c>
    </row>
    <row r="29" spans="1:32" x14ac:dyDescent="0.35">
      <c r="A29" s="78"/>
      <c r="B29" s="78"/>
      <c r="C29" s="54" t="s">
        <v>429</v>
      </c>
      <c r="D29">
        <v>7.7200000000000003E-3</v>
      </c>
      <c r="E29">
        <v>7.1994199999999999</v>
      </c>
      <c r="F29">
        <v>3.7200000000000002E-3</v>
      </c>
      <c r="G29">
        <v>0.88746999999999998</v>
      </c>
      <c r="H29" s="68">
        <v>5.9127100000000003E-8</v>
      </c>
      <c r="I29" s="68">
        <v>3.4331900000000001E-7</v>
      </c>
      <c r="J29" s="68">
        <v>3.9493799999999999E-8</v>
      </c>
      <c r="K29">
        <v>4.444E-2</v>
      </c>
      <c r="L29">
        <v>0.37431999999999999</v>
      </c>
      <c r="M29" s="68">
        <v>8.1999999999999998E-4</v>
      </c>
      <c r="N29" t="s">
        <v>445</v>
      </c>
      <c r="O29" s="54" t="s">
        <v>436</v>
      </c>
    </row>
    <row r="30" spans="1:32" ht="15" thickBot="1" x14ac:dyDescent="0.4">
      <c r="A30" s="78"/>
      <c r="B30" s="78"/>
      <c r="C30" s="54" t="s">
        <v>587</v>
      </c>
      <c r="D30" s="115">
        <v>0</v>
      </c>
      <c r="E30" s="115">
        <v>0</v>
      </c>
      <c r="F30" s="115">
        <v>0</v>
      </c>
      <c r="G30" s="115">
        <v>2.2499999999999998E-3</v>
      </c>
      <c r="H30" s="116">
        <v>0</v>
      </c>
      <c r="I30" s="116">
        <v>0</v>
      </c>
      <c r="J30" s="116">
        <v>0</v>
      </c>
      <c r="K30" s="116">
        <v>0</v>
      </c>
      <c r="L30" s="116">
        <v>0</v>
      </c>
      <c r="M30" s="116">
        <v>0</v>
      </c>
      <c r="N30" t="s">
        <v>593</v>
      </c>
      <c r="O30" s="54" t="s">
        <v>588</v>
      </c>
      <c r="Q30">
        <f>1.37128</f>
        <v>1.3712800000000001</v>
      </c>
      <c r="R30" t="s">
        <v>431</v>
      </c>
    </row>
    <row r="31" spans="1:32" ht="15" thickBot="1" x14ac:dyDescent="0.4">
      <c r="A31" s="78"/>
      <c r="B31" s="78"/>
      <c r="C31" s="76" t="s">
        <v>602</v>
      </c>
      <c r="D31" s="3">
        <v>6.7600000000000004E-3</v>
      </c>
      <c r="E31" s="3">
        <v>7.3634199999999996</v>
      </c>
      <c r="F31" s="3">
        <v>5.7499999999999999E-3</v>
      </c>
      <c r="G31" s="284">
        <v>1.37218</v>
      </c>
      <c r="H31" s="79">
        <v>8.7628400000000004E-8</v>
      </c>
      <c r="I31" s="79">
        <v>3.4722299999999999E-7</v>
      </c>
      <c r="J31" s="79">
        <v>7.5704899999999999E-7</v>
      </c>
      <c r="K31" s="79">
        <v>7.6539999999999997E-2</v>
      </c>
      <c r="L31" s="79">
        <v>0.92137000000000002</v>
      </c>
      <c r="M31" s="79">
        <v>1.8E-3</v>
      </c>
      <c r="N31" t="s">
        <v>973</v>
      </c>
      <c r="O31" s="75" t="s">
        <v>436</v>
      </c>
      <c r="Q31">
        <v>2.62</v>
      </c>
      <c r="R31" t="s">
        <v>992</v>
      </c>
      <c r="S31" t="s">
        <v>613</v>
      </c>
    </row>
    <row r="32" spans="1:32" x14ac:dyDescent="0.35">
      <c r="A32" s="78"/>
      <c r="B32" s="78"/>
      <c r="C32" s="76" t="s">
        <v>607</v>
      </c>
      <c r="D32" s="115">
        <v>0</v>
      </c>
      <c r="E32" s="115">
        <v>0</v>
      </c>
      <c r="F32" s="115">
        <v>0</v>
      </c>
      <c r="G32" s="115">
        <v>1.3</v>
      </c>
      <c r="H32" s="116">
        <v>0</v>
      </c>
      <c r="I32" s="116">
        <v>0</v>
      </c>
      <c r="J32" s="116">
        <v>0</v>
      </c>
      <c r="K32" s="116">
        <v>0</v>
      </c>
      <c r="L32" s="116">
        <v>0</v>
      </c>
      <c r="M32" s="116">
        <v>0</v>
      </c>
      <c r="O32" s="75" t="s">
        <v>436</v>
      </c>
    </row>
    <row r="33" spans="1:19" x14ac:dyDescent="0.35">
      <c r="A33" s="78"/>
      <c r="B33" s="78"/>
      <c r="C33" s="70" t="s">
        <v>413</v>
      </c>
      <c r="D33" s="68">
        <v>0</v>
      </c>
      <c r="E33" s="68">
        <v>0</v>
      </c>
      <c r="F33" s="68">
        <v>0</v>
      </c>
      <c r="G33" s="68">
        <v>0</v>
      </c>
      <c r="H33" s="68">
        <v>0</v>
      </c>
      <c r="I33" s="68">
        <v>0</v>
      </c>
      <c r="J33" s="68">
        <v>0</v>
      </c>
      <c r="K33" s="68">
        <v>0</v>
      </c>
      <c r="L33" s="68">
        <v>0</v>
      </c>
      <c r="M33" s="68">
        <v>0</v>
      </c>
    </row>
    <row r="34" spans="1:19" x14ac:dyDescent="0.35">
      <c r="A34" s="78"/>
      <c r="B34" s="78"/>
      <c r="C34" s="70" t="s">
        <v>590</v>
      </c>
      <c r="D34" s="68"/>
      <c r="E34" s="68"/>
      <c r="F34" s="68"/>
      <c r="G34" s="68"/>
      <c r="H34" s="68"/>
      <c r="I34" s="68"/>
      <c r="J34" s="68"/>
      <c r="K34" s="68"/>
      <c r="L34" s="68"/>
      <c r="M34" s="68"/>
      <c r="O34" s="75"/>
    </row>
    <row r="35" spans="1:19" x14ac:dyDescent="0.35">
      <c r="A35" s="78"/>
      <c r="B35" s="78"/>
      <c r="C35" s="70" t="s">
        <v>427</v>
      </c>
      <c r="D35" s="68">
        <v>0</v>
      </c>
      <c r="E35" s="68">
        <v>0</v>
      </c>
      <c r="F35" s="68">
        <v>0</v>
      </c>
      <c r="G35" s="68">
        <v>0</v>
      </c>
      <c r="H35" s="68">
        <v>0</v>
      </c>
      <c r="I35" s="68">
        <v>0</v>
      </c>
      <c r="J35" s="68">
        <v>0</v>
      </c>
      <c r="K35" s="68">
        <v>0</v>
      </c>
      <c r="L35" s="68">
        <v>0</v>
      </c>
      <c r="M35" s="68">
        <v>0</v>
      </c>
    </row>
    <row r="36" spans="1:19" x14ac:dyDescent="0.35">
      <c r="A36" s="43"/>
      <c r="B36" s="69"/>
      <c r="C36" s="69"/>
      <c r="D36" s="43"/>
      <c r="E36" s="43"/>
      <c r="F36" s="43"/>
      <c r="G36" s="43"/>
      <c r="H36" s="43"/>
      <c r="I36" s="43"/>
      <c r="J36" s="43"/>
      <c r="K36" s="43"/>
      <c r="L36" s="43"/>
      <c r="M36" s="43"/>
      <c r="N36" s="43"/>
      <c r="O36" s="69"/>
    </row>
    <row r="38" spans="1:19" x14ac:dyDescent="0.35">
      <c r="A38" s="77"/>
      <c r="B38" s="77"/>
      <c r="C38" s="65"/>
    </row>
    <row r="39" spans="1:19" ht="43.5" x14ac:dyDescent="0.35">
      <c r="A39" s="77"/>
      <c r="B39" s="77" t="s">
        <v>485</v>
      </c>
      <c r="C39" s="66" t="s">
        <v>412</v>
      </c>
      <c r="D39" s="71" t="s">
        <v>399</v>
      </c>
      <c r="E39" s="71" t="s">
        <v>400</v>
      </c>
      <c r="F39" s="71" t="s">
        <v>401</v>
      </c>
      <c r="G39" s="71" t="s">
        <v>402</v>
      </c>
      <c r="H39" s="71" t="s">
        <v>403</v>
      </c>
      <c r="I39" s="71" t="s">
        <v>404</v>
      </c>
      <c r="J39" s="71" t="s">
        <v>405</v>
      </c>
      <c r="K39" s="71" t="s">
        <v>406</v>
      </c>
      <c r="L39" s="71" t="s">
        <v>407</v>
      </c>
      <c r="M39" s="71" t="s">
        <v>408</v>
      </c>
      <c r="N39" s="238"/>
      <c r="O39" s="316"/>
    </row>
    <row r="40" spans="1:19" x14ac:dyDescent="0.35">
      <c r="A40" s="77"/>
      <c r="B40" s="77">
        <f>Seeds_Per_Acre_Input</f>
        <v>17.694590000000002</v>
      </c>
      <c r="C40" s="97" t="s">
        <v>414</v>
      </c>
      <c r="D40" s="68">
        <f t="shared" ref="D40:M40" si="0">D3*$B40</f>
        <v>0.6826572822000001</v>
      </c>
      <c r="E40" s="68">
        <f t="shared" si="0"/>
        <v>66.762395853600012</v>
      </c>
      <c r="F40" s="68">
        <f t="shared" si="0"/>
        <v>0.63877469900000006</v>
      </c>
      <c r="G40" s="68">
        <f t="shared" si="0"/>
        <v>29.272160237000005</v>
      </c>
      <c r="H40" s="68">
        <f t="shared" si="0"/>
        <v>9.9622488104900004E-7</v>
      </c>
      <c r="I40" s="68">
        <f t="shared" si="0"/>
        <v>2.8038316476300001E-6</v>
      </c>
      <c r="J40" s="68">
        <f t="shared" si="0"/>
        <v>1.5687209542860001E-6</v>
      </c>
      <c r="K40" s="68">
        <f t="shared" si="0"/>
        <v>2.0134673961000003</v>
      </c>
      <c r="L40" s="68">
        <f t="shared" si="0"/>
        <v>14.786484133500002</v>
      </c>
      <c r="M40" s="68">
        <f t="shared" si="0"/>
        <v>3.9989773399999998E-2</v>
      </c>
    </row>
    <row r="41" spans="1:19" x14ac:dyDescent="0.35">
      <c r="A41" s="77">
        <f>B41/Biomass_Input_To_BP</f>
        <v>0</v>
      </c>
      <c r="B41" s="112">
        <v>0</v>
      </c>
      <c r="C41" s="97" t="s">
        <v>415</v>
      </c>
      <c r="D41" s="68">
        <f t="shared" ref="D41:M41" si="1">D4*$B41</f>
        <v>0</v>
      </c>
      <c r="E41" s="68">
        <f t="shared" si="1"/>
        <v>0</v>
      </c>
      <c r="F41" s="68">
        <f t="shared" si="1"/>
        <v>0</v>
      </c>
      <c r="G41" s="68">
        <f t="shared" si="1"/>
        <v>0</v>
      </c>
      <c r="H41" s="68">
        <f t="shared" si="1"/>
        <v>0</v>
      </c>
      <c r="I41" s="68">
        <f t="shared" si="1"/>
        <v>0</v>
      </c>
      <c r="J41" s="68">
        <f t="shared" si="1"/>
        <v>0</v>
      </c>
      <c r="K41" s="68">
        <f t="shared" si="1"/>
        <v>0</v>
      </c>
      <c r="L41" s="68">
        <f t="shared" si="1"/>
        <v>0</v>
      </c>
      <c r="M41" s="68">
        <f t="shared" si="1"/>
        <v>0</v>
      </c>
    </row>
    <row r="42" spans="1:19" x14ac:dyDescent="0.35">
      <c r="A42" s="3"/>
      <c r="B42" s="65">
        <f>Inputs!A6</f>
        <v>161.37</v>
      </c>
      <c r="C42" s="97" t="s">
        <v>416</v>
      </c>
      <c r="D42" s="68">
        <f t="shared" ref="D42:M42" si="2">D5*$B42</f>
        <v>2.9207970000000003</v>
      </c>
      <c r="E42" s="68">
        <f t="shared" si="2"/>
        <v>1936.0720764</v>
      </c>
      <c r="F42" s="68">
        <f t="shared" si="2"/>
        <v>0.94562820000000003</v>
      </c>
      <c r="G42" s="68">
        <f t="shared" si="2"/>
        <v>541.94500800000003</v>
      </c>
      <c r="H42" s="68">
        <f t="shared" si="2"/>
        <v>1.5091386948000001E-5</v>
      </c>
      <c r="I42" s="68">
        <f t="shared" si="2"/>
        <v>9.0197922870000001E-5</v>
      </c>
      <c r="J42" s="68">
        <f t="shared" si="2"/>
        <v>9.6392755800000013E-5</v>
      </c>
      <c r="K42" s="68">
        <f t="shared" si="2"/>
        <v>17.392458600000001</v>
      </c>
      <c r="L42" s="68">
        <f t="shared" si="2"/>
        <v>1216.5539067</v>
      </c>
      <c r="M42" s="68">
        <f t="shared" si="2"/>
        <v>0.48895110000000003</v>
      </c>
      <c r="R42" t="s">
        <v>496</v>
      </c>
    </row>
    <row r="43" spans="1:19" x14ac:dyDescent="0.35">
      <c r="A43" s="3"/>
      <c r="B43" s="76">
        <f>Inputs!A7</f>
        <v>15.65</v>
      </c>
      <c r="C43" s="97" t="s">
        <v>417</v>
      </c>
      <c r="D43" s="68">
        <f t="shared" ref="D43:M43" si="3">D6*$B43</f>
        <v>0.13099050000000001</v>
      </c>
      <c r="E43" s="68">
        <f t="shared" si="3"/>
        <v>116.10390700000001</v>
      </c>
      <c r="F43" s="68">
        <f t="shared" si="3"/>
        <v>8.4666500000000006E-2</v>
      </c>
      <c r="G43" s="68">
        <f t="shared" si="3"/>
        <v>17.692325</v>
      </c>
      <c r="H43" s="68">
        <f t="shared" si="3"/>
        <v>9.3422518500000008E-7</v>
      </c>
      <c r="I43" s="68">
        <f t="shared" si="3"/>
        <v>6.4768933500000004E-6</v>
      </c>
      <c r="J43" s="68">
        <f t="shared" si="3"/>
        <v>2.1224060499999999E-6</v>
      </c>
      <c r="K43" s="68">
        <f t="shared" si="3"/>
        <v>2.4953925000000003</v>
      </c>
      <c r="L43" s="68">
        <f t="shared" si="3"/>
        <v>25.589314999999999</v>
      </c>
      <c r="M43" s="68">
        <f t="shared" si="3"/>
        <v>2.7074500000000001E-2</v>
      </c>
      <c r="Q43">
        <f>R43/Final_Anhydrous_Eth_Mass</f>
        <v>18.496386329346358</v>
      </c>
      <c r="R43" s="74">
        <v>26100</v>
      </c>
    </row>
    <row r="44" spans="1:19" x14ac:dyDescent="0.35">
      <c r="A44" s="3"/>
      <c r="B44" s="76">
        <f>Inputs!A8</f>
        <v>76.09</v>
      </c>
      <c r="C44" s="97" t="s">
        <v>418</v>
      </c>
      <c r="D44" s="68">
        <f t="shared" ref="D44:M44" si="4">D7*$B44</f>
        <v>0.15522360000000002</v>
      </c>
      <c r="E44" s="68">
        <f t="shared" si="4"/>
        <v>393.77868530000001</v>
      </c>
      <c r="F44" s="68">
        <f t="shared" si="4"/>
        <v>0.13087480000000001</v>
      </c>
      <c r="G44" s="68">
        <f t="shared" si="4"/>
        <v>40.213565000000003</v>
      </c>
      <c r="H44" s="68">
        <f t="shared" si="4"/>
        <v>2.8686690900000001E-6</v>
      </c>
      <c r="I44" s="68">
        <f t="shared" si="4"/>
        <v>1.8699269679999999E-5</v>
      </c>
      <c r="J44" s="68">
        <f t="shared" si="4"/>
        <v>7.1226022840000005E-6</v>
      </c>
      <c r="K44" s="68">
        <f t="shared" si="4"/>
        <v>2.0551908999999999</v>
      </c>
      <c r="L44" s="68">
        <f t="shared" si="4"/>
        <v>73.490765600000003</v>
      </c>
      <c r="M44" s="68">
        <f t="shared" si="4"/>
        <v>2.5870600000000004E-2</v>
      </c>
      <c r="Q44" s="54"/>
      <c r="R44" t="s">
        <v>483</v>
      </c>
    </row>
    <row r="45" spans="1:19" x14ac:dyDescent="0.35">
      <c r="A45" s="3"/>
      <c r="B45" s="65">
        <f>Lime_Treat_Input</f>
        <v>452.3</v>
      </c>
      <c r="C45" s="97" t="s">
        <v>419</v>
      </c>
      <c r="D45" s="68">
        <f t="shared" ref="D45:M45" si="5">D8*$B45</f>
        <v>1.4247450000000002</v>
      </c>
      <c r="E45" s="68">
        <f t="shared" si="5"/>
        <v>99.487908000000004</v>
      </c>
      <c r="F45" s="68">
        <f t="shared" si="5"/>
        <v>0.13569000000000001</v>
      </c>
      <c r="G45" s="68">
        <f t="shared" si="5"/>
        <v>441.47193800000002</v>
      </c>
      <c r="H45" s="68">
        <f t="shared" si="5"/>
        <v>1.8511236870000002E-6</v>
      </c>
      <c r="I45" s="68">
        <f t="shared" si="5"/>
        <v>3.6954357360000003E-6</v>
      </c>
      <c r="J45" s="68">
        <f t="shared" si="5"/>
        <v>4.0050169939999997E-5</v>
      </c>
      <c r="K45" s="68">
        <f t="shared" si="5"/>
        <v>21.534003000000002</v>
      </c>
      <c r="L45" s="68">
        <f t="shared" si="5"/>
        <v>274.17069099999998</v>
      </c>
      <c r="M45" s="68">
        <f t="shared" si="5"/>
        <v>0.11307500000000001</v>
      </c>
      <c r="P45" s="4" t="s">
        <v>473</v>
      </c>
      <c r="Q45" s="82">
        <f>D77*Q$43</f>
        <v>127.7283431969301</v>
      </c>
      <c r="R45">
        <v>558.14410999999996</v>
      </c>
      <c r="S45" s="74">
        <f>(Q45/R45)*100</f>
        <v>22.884473903510351</v>
      </c>
    </row>
    <row r="46" spans="1:19" x14ac:dyDescent="0.35">
      <c r="A46" s="3"/>
      <c r="B46" s="65">
        <f>Fertilizer_Use_Input</f>
        <v>1.2130000000000001</v>
      </c>
      <c r="C46" s="97" t="s">
        <v>51</v>
      </c>
      <c r="D46" s="68">
        <f t="shared" ref="D46:M46" si="6">D9*$B46</f>
        <v>4.466266E-2</v>
      </c>
      <c r="E46" s="68">
        <f t="shared" si="6"/>
        <v>51.266280520000002</v>
      </c>
      <c r="F46" s="68">
        <f t="shared" si="6"/>
        <v>4.0392900000000009E-2</v>
      </c>
      <c r="G46" s="68">
        <f t="shared" si="6"/>
        <v>10.698926860000002</v>
      </c>
      <c r="H46" s="68">
        <f t="shared" si="6"/>
        <v>5.531935020000001E-7</v>
      </c>
      <c r="I46" s="68">
        <f t="shared" si="6"/>
        <v>2.3886638599999999E-6</v>
      </c>
      <c r="J46" s="68">
        <f t="shared" si="6"/>
        <v>2.35110938E-6</v>
      </c>
      <c r="K46" s="68">
        <f t="shared" si="6"/>
        <v>0.53529690000000008</v>
      </c>
      <c r="L46" s="68">
        <f t="shared" si="6"/>
        <v>17.1104567</v>
      </c>
      <c r="M46" s="68">
        <f t="shared" si="6"/>
        <v>9.0853700000000006E-3</v>
      </c>
      <c r="N46" s="3"/>
      <c r="P46" s="4" t="s">
        <v>474</v>
      </c>
      <c r="Q46" s="82">
        <f>E77*Q43</f>
        <v>51155.091110632078</v>
      </c>
      <c r="R46">
        <v>1873.3412599999999</v>
      </c>
      <c r="S46" s="74">
        <f t="shared" ref="S46:S54" si="7">(Q46/R46)*100</f>
        <v>2730.687259332135</v>
      </c>
    </row>
    <row r="47" spans="1:19" ht="14.5" customHeight="1" x14ac:dyDescent="0.35">
      <c r="A47" s="3"/>
      <c r="B47" s="65">
        <v>1</v>
      </c>
      <c r="C47" s="97" t="s">
        <v>448</v>
      </c>
      <c r="D47" s="68">
        <f t="shared" ref="D47:M47" si="8">D10*$B47</f>
        <v>0.36276000000000003</v>
      </c>
      <c r="E47" s="68">
        <f t="shared" si="8"/>
        <v>270.84419000000003</v>
      </c>
      <c r="F47" s="68">
        <f t="shared" si="8"/>
        <v>0.14602999999999999</v>
      </c>
      <c r="G47" s="68">
        <f t="shared" si="8"/>
        <v>57.131450000000001</v>
      </c>
      <c r="H47" s="68">
        <f t="shared" si="8"/>
        <v>5.28846E-6</v>
      </c>
      <c r="I47" s="68">
        <f t="shared" si="8"/>
        <v>9.9845999999999992E-6</v>
      </c>
      <c r="J47" s="68">
        <f t="shared" si="8"/>
        <v>7.6537900000000005E-6</v>
      </c>
      <c r="K47" s="68">
        <f t="shared" si="8"/>
        <v>7.9703499999999998</v>
      </c>
      <c r="L47" s="68">
        <f t="shared" si="8"/>
        <v>66.697630000000004</v>
      </c>
      <c r="M47" s="68">
        <f t="shared" si="8"/>
        <v>7.8369999999999995E-2</v>
      </c>
      <c r="N47" s="3"/>
      <c r="P47" s="4" t="s">
        <v>475</v>
      </c>
      <c r="Q47" s="82">
        <f>F77*Q43</f>
        <v>42.978981585822261</v>
      </c>
      <c r="R47" s="68">
        <v>36279.1</v>
      </c>
      <c r="S47" s="74">
        <f t="shared" si="7"/>
        <v>0.11846760693022225</v>
      </c>
    </row>
    <row r="48" spans="1:19" ht="15" customHeight="1" x14ac:dyDescent="0.35">
      <c r="A48" s="3"/>
      <c r="B48" s="65">
        <v>1</v>
      </c>
      <c r="C48" s="97" t="s">
        <v>457</v>
      </c>
      <c r="D48" s="68">
        <f t="shared" ref="D48:M48" si="9">D11*$B48</f>
        <v>0.13045000000000001</v>
      </c>
      <c r="E48" s="68">
        <f t="shared" si="9"/>
        <v>83.376099999999994</v>
      </c>
      <c r="F48" s="68">
        <f t="shared" si="9"/>
        <v>4.3459999999999999E-2</v>
      </c>
      <c r="G48" s="68">
        <f t="shared" si="9"/>
        <v>17.24485</v>
      </c>
      <c r="H48" s="68">
        <f t="shared" si="9"/>
        <v>1.03678E-6</v>
      </c>
      <c r="I48" s="68">
        <f t="shared" si="9"/>
        <v>3.7643300000000001E-6</v>
      </c>
      <c r="J48" s="68">
        <f t="shared" si="9"/>
        <v>3.0117599999999999E-6</v>
      </c>
      <c r="K48" s="68">
        <f t="shared" si="9"/>
        <v>3.17198</v>
      </c>
      <c r="L48" s="68">
        <f t="shared" si="9"/>
        <v>26.205690000000001</v>
      </c>
      <c r="M48" s="68">
        <f t="shared" si="9"/>
        <v>1.9990000000000001E-2</v>
      </c>
      <c r="N48" s="3"/>
      <c r="P48" s="4" t="s">
        <v>476</v>
      </c>
      <c r="Q48" s="82">
        <f>G77*Q43</f>
        <v>18753.356338572579</v>
      </c>
      <c r="R48" s="68">
        <v>126692</v>
      </c>
      <c r="S48" s="74">
        <f t="shared" si="7"/>
        <v>14.802320855754569</v>
      </c>
    </row>
    <row r="49" spans="1:19" x14ac:dyDescent="0.35">
      <c r="B49" s="54">
        <v>1</v>
      </c>
      <c r="C49" s="97" t="s">
        <v>447</v>
      </c>
      <c r="D49" s="68">
        <f t="shared" ref="D49:M49" si="10">D12*$B49</f>
        <v>0.88478000000000001</v>
      </c>
      <c r="E49" s="68">
        <f t="shared" si="10"/>
        <v>547.03817000000004</v>
      </c>
      <c r="F49" s="68">
        <f t="shared" si="10"/>
        <v>0.28473999999999999</v>
      </c>
      <c r="G49" s="68">
        <f t="shared" si="10"/>
        <v>113.82844</v>
      </c>
      <c r="H49" s="68">
        <f t="shared" si="10"/>
        <v>6.6293199999999999E-6</v>
      </c>
      <c r="I49" s="68">
        <f t="shared" si="10"/>
        <v>2.48619E-5</v>
      </c>
      <c r="J49" s="68">
        <f t="shared" si="10"/>
        <v>2.01212E-5</v>
      </c>
      <c r="K49" s="68">
        <f t="shared" si="10"/>
        <v>21.88522</v>
      </c>
      <c r="L49" s="68">
        <f t="shared" si="10"/>
        <v>174.78767999999999</v>
      </c>
      <c r="M49" s="68">
        <f t="shared" si="10"/>
        <v>7.4770000000000003E-2</v>
      </c>
      <c r="N49" s="3"/>
      <c r="P49" s="4" t="s">
        <v>477</v>
      </c>
      <c r="Q49" s="82">
        <f>H77*Q43</f>
        <v>3.6664838130109082E-4</v>
      </c>
      <c r="R49" s="68">
        <v>9.5686399999999996E-6</v>
      </c>
      <c r="S49" s="74">
        <f t="shared" si="7"/>
        <v>3831.7710907829201</v>
      </c>
    </row>
    <row r="50" spans="1:19" x14ac:dyDescent="0.35">
      <c r="B50" s="54">
        <v>1</v>
      </c>
      <c r="C50" s="97" t="s">
        <v>449</v>
      </c>
      <c r="D50" s="68">
        <f t="shared" ref="D50:M50" si="11">D13*$B50</f>
        <v>0.29953999999999997</v>
      </c>
      <c r="E50" s="68">
        <f t="shared" si="11"/>
        <v>77.610789999999994</v>
      </c>
      <c r="F50" s="68">
        <f t="shared" si="11"/>
        <v>5.6489999999999999E-2</v>
      </c>
      <c r="G50" s="68">
        <f t="shared" si="11"/>
        <v>33.603029999999997</v>
      </c>
      <c r="H50" s="68">
        <f t="shared" si="11"/>
        <v>1.10935E-6</v>
      </c>
      <c r="I50" s="68">
        <f t="shared" si="11"/>
        <v>3.3766399999999998E-6</v>
      </c>
      <c r="J50" s="68">
        <f t="shared" si="11"/>
        <v>6.9960399999999999E-6</v>
      </c>
      <c r="K50" s="68">
        <f t="shared" si="11"/>
        <v>8.4742300000000004</v>
      </c>
      <c r="L50" s="68">
        <f t="shared" si="11"/>
        <v>59.1584</v>
      </c>
      <c r="M50" s="68">
        <f t="shared" si="11"/>
        <v>3.7280000000000001E-2</v>
      </c>
      <c r="N50" s="3"/>
      <c r="P50" s="4" t="s">
        <v>478</v>
      </c>
      <c r="Q50" s="82">
        <f>I77*Q43</f>
        <v>2.3064298960164867E-3</v>
      </c>
      <c r="R50" s="68">
        <v>3.5E-4</v>
      </c>
      <c r="S50" s="74">
        <f t="shared" si="7"/>
        <v>658.97997029042483</v>
      </c>
    </row>
    <row r="51" spans="1:19" x14ac:dyDescent="0.35">
      <c r="A51" t="s">
        <v>498</v>
      </c>
      <c r="B51" s="112">
        <v>0</v>
      </c>
      <c r="C51" s="97" t="s">
        <v>454</v>
      </c>
      <c r="D51" s="68">
        <f t="shared" ref="D51:M51" si="12">D14*$B51</f>
        <v>0</v>
      </c>
      <c r="E51" s="68">
        <f t="shared" si="12"/>
        <v>0</v>
      </c>
      <c r="F51" s="68">
        <f t="shared" si="12"/>
        <v>0</v>
      </c>
      <c r="G51" s="68">
        <f t="shared" si="12"/>
        <v>0</v>
      </c>
      <c r="H51" s="68">
        <f t="shared" si="12"/>
        <v>0</v>
      </c>
      <c r="I51" s="68">
        <f t="shared" si="12"/>
        <v>0</v>
      </c>
      <c r="J51" s="68">
        <f t="shared" si="12"/>
        <v>0</v>
      </c>
      <c r="K51" s="68">
        <f t="shared" si="12"/>
        <v>0</v>
      </c>
      <c r="L51" s="68">
        <f t="shared" si="12"/>
        <v>0</v>
      </c>
      <c r="M51" s="68">
        <f t="shared" si="12"/>
        <v>0</v>
      </c>
      <c r="N51" s="3"/>
      <c r="P51" s="4" t="s">
        <v>479</v>
      </c>
      <c r="Q51" s="82">
        <f>J77*Q43</f>
        <v>4.3140283823668059E-3</v>
      </c>
      <c r="R51" s="68">
        <v>4.1525900000000002E-5</v>
      </c>
      <c r="S51" s="74">
        <f t="shared" si="7"/>
        <v>10388.765523123655</v>
      </c>
    </row>
    <row r="52" spans="1:19" x14ac:dyDescent="0.35">
      <c r="B52" s="54">
        <v>8.9480000000000004</v>
      </c>
      <c r="C52" s="97" t="s">
        <v>459</v>
      </c>
      <c r="D52" s="68">
        <f t="shared" ref="D52:M52" si="13">D15*$B52</f>
        <v>0.30092124000000003</v>
      </c>
      <c r="E52" s="68">
        <f t="shared" si="13"/>
        <v>125.24524547999999</v>
      </c>
      <c r="F52" s="68">
        <f t="shared" si="13"/>
        <v>7.9100320000000016E-2</v>
      </c>
      <c r="G52" s="68">
        <f t="shared" si="13"/>
        <v>39.018022440000003</v>
      </c>
      <c r="H52" s="68">
        <f t="shared" si="13"/>
        <v>2.0755154440000004E-6</v>
      </c>
      <c r="I52" s="68">
        <f t="shared" si="13"/>
        <v>5.1766327519999999E-6</v>
      </c>
      <c r="J52" s="68">
        <f t="shared" si="13"/>
        <v>7.1743542840000001E-6</v>
      </c>
      <c r="K52" s="68">
        <f t="shared" si="13"/>
        <v>7.8218942</v>
      </c>
      <c r="L52" s="68">
        <f t="shared" si="13"/>
        <v>61.357957160000005</v>
      </c>
      <c r="M52" s="68">
        <f t="shared" si="13"/>
        <v>5.2345800000000005E-2</v>
      </c>
      <c r="N52" s="3"/>
      <c r="P52" s="4" t="s">
        <v>480</v>
      </c>
      <c r="Q52" s="82">
        <f>K77*Q43</f>
        <v>1202.3720723049228</v>
      </c>
      <c r="R52" s="68">
        <v>3989.2715499999999</v>
      </c>
      <c r="S52" s="74">
        <f t="shared" si="7"/>
        <v>30.140141056703019</v>
      </c>
    </row>
    <row r="53" spans="1:19" x14ac:dyDescent="0.35">
      <c r="B53" s="54">
        <v>8.9480000000000004</v>
      </c>
      <c r="C53" s="97" t="s">
        <v>458</v>
      </c>
      <c r="D53" s="68">
        <f t="shared" ref="D53:M53" si="14">D16*$B53</f>
        <v>0.10853924000000001</v>
      </c>
      <c r="E53" s="68">
        <f t="shared" si="14"/>
        <v>15.968600800000001</v>
      </c>
      <c r="F53" s="68">
        <f t="shared" si="14"/>
        <v>1.61064E-2</v>
      </c>
      <c r="G53" s="68">
        <f t="shared" si="14"/>
        <v>12.377947360000002</v>
      </c>
      <c r="H53" s="68">
        <f t="shared" si="14"/>
        <v>2.29677264E-7</v>
      </c>
      <c r="I53" s="68">
        <f t="shared" si="14"/>
        <v>6.9364717040000001E-7</v>
      </c>
      <c r="J53" s="68">
        <f t="shared" si="14"/>
        <v>2.8152823960000001E-6</v>
      </c>
      <c r="K53" s="68">
        <f t="shared" si="14"/>
        <v>3.14665368</v>
      </c>
      <c r="L53" s="68">
        <f t="shared" si="14"/>
        <v>23.626209720000002</v>
      </c>
      <c r="M53" s="68">
        <f t="shared" si="14"/>
        <v>1.5658999999999999E-2</v>
      </c>
      <c r="N53" s="3"/>
      <c r="P53" s="4" t="s">
        <v>481</v>
      </c>
      <c r="Q53" s="82">
        <f>L77*Q43</f>
        <v>30232.832347883203</v>
      </c>
      <c r="R53" s="68">
        <v>262.0874</v>
      </c>
      <c r="S53" s="74">
        <f t="shared" si="7"/>
        <v>11535.400918885533</v>
      </c>
    </row>
    <row r="54" spans="1:19" x14ac:dyDescent="0.35">
      <c r="B54" s="114">
        <f>Diesel_Use_Crop_Input/'Conversions Page'!D13*22.77</f>
        <v>337.59711101307386</v>
      </c>
      <c r="C54" s="97" t="s">
        <v>464</v>
      </c>
      <c r="D54" s="68">
        <f t="shared" ref="D54:M54" si="15">D17*$B54</f>
        <v>0.44900415764738821</v>
      </c>
      <c r="E54" s="68">
        <f t="shared" si="15"/>
        <v>282.27507243136148</v>
      </c>
      <c r="F54" s="68">
        <f t="shared" si="15"/>
        <v>0.16879855550653694</v>
      </c>
      <c r="G54" s="68">
        <f t="shared" si="15"/>
        <v>71.817033425811204</v>
      </c>
      <c r="H54" s="68">
        <f t="shared" si="15"/>
        <v>6.9763430199518676E-6</v>
      </c>
      <c r="I54" s="68">
        <f t="shared" si="15"/>
        <v>1.2056099229943387E-5</v>
      </c>
      <c r="J54" s="68">
        <f t="shared" si="15"/>
        <v>9.5122374790376721E-6</v>
      </c>
      <c r="K54" s="68">
        <f t="shared" si="15"/>
        <v>9.1860173906657394</v>
      </c>
      <c r="L54" s="68">
        <f t="shared" si="15"/>
        <v>84.449917319920417</v>
      </c>
      <c r="M54" s="68">
        <f t="shared" si="15"/>
        <v>8.77752488633992E-2</v>
      </c>
      <c r="N54" s="3"/>
      <c r="P54" s="4" t="s">
        <v>482</v>
      </c>
      <c r="Q54" s="82">
        <f>M77*Q43</f>
        <v>3.4793232694475873</v>
      </c>
      <c r="R54" s="68">
        <v>44.672879999999999</v>
      </c>
      <c r="S54" s="74">
        <f t="shared" si="7"/>
        <v>7.788446299964515</v>
      </c>
    </row>
    <row r="55" spans="1:19" x14ac:dyDescent="0.35">
      <c r="B55" s="54">
        <f>Avg_km_To_Biorefinery*('Process Model'!C146/1000)</f>
        <v>316.53236135625696</v>
      </c>
      <c r="C55" s="97" t="s">
        <v>472</v>
      </c>
      <c r="D55" s="68">
        <f t="shared" ref="D55:M55" si="16">D18*$B55</f>
        <v>0.31969768496981954</v>
      </c>
      <c r="E55" s="68">
        <f t="shared" si="16"/>
        <v>135.58980231056623</v>
      </c>
      <c r="F55" s="68">
        <f t="shared" si="16"/>
        <v>6.0141148657688825E-2</v>
      </c>
      <c r="G55" s="68">
        <f t="shared" si="16"/>
        <v>51.756206405361574</v>
      </c>
      <c r="H55" s="68">
        <f t="shared" si="16"/>
        <v>1.5128252718952537E-6</v>
      </c>
      <c r="I55" s="68">
        <f t="shared" si="16"/>
        <v>5.2112938376610084E-6</v>
      </c>
      <c r="J55" s="68">
        <f t="shared" si="16"/>
        <v>1.2809210026712056E-5</v>
      </c>
      <c r="K55" s="68">
        <f t="shared" si="16"/>
        <v>8.7267972025920049</v>
      </c>
      <c r="L55" s="68">
        <f t="shared" si="16"/>
        <v>107.57035768331036</v>
      </c>
      <c r="M55" s="68">
        <f t="shared" si="16"/>
        <v>3.0982725634564737E-2</v>
      </c>
      <c r="N55" s="3"/>
    </row>
    <row r="56" spans="1:19" x14ac:dyDescent="0.35">
      <c r="B56" s="80"/>
      <c r="C56" s="80"/>
      <c r="D56" s="81"/>
      <c r="E56" s="81"/>
      <c r="F56" s="81"/>
      <c r="G56" s="81"/>
      <c r="H56" s="81"/>
      <c r="I56" s="81"/>
      <c r="J56" s="81"/>
      <c r="K56" s="81"/>
      <c r="L56" s="81"/>
      <c r="M56" s="81"/>
      <c r="N56" s="3"/>
    </row>
    <row r="57" spans="1:19" x14ac:dyDescent="0.35">
      <c r="B57" s="75"/>
      <c r="C57" s="76" t="s">
        <v>486</v>
      </c>
      <c r="D57" s="68">
        <f>SUM(D40:D55)</f>
        <v>8.2147683648172087</v>
      </c>
      <c r="E57" s="68">
        <f t="shared" ref="E57:M57" si="17">SUM(E40:E55)</f>
        <v>4201.4192240955272</v>
      </c>
      <c r="F57" s="68">
        <f t="shared" si="17"/>
        <v>2.8308935231642263</v>
      </c>
      <c r="G57" s="68">
        <f>SUM(G40:G55)</f>
        <v>1478.070902728173</v>
      </c>
      <c r="H57" s="68">
        <f t="shared" si="17"/>
        <v>4.7153094292896124E-5</v>
      </c>
      <c r="I57" s="68">
        <f t="shared" si="17"/>
        <v>1.8938716013363442E-4</v>
      </c>
      <c r="J57" s="68">
        <f t="shared" si="17"/>
        <v>2.1970163859403574E-4</v>
      </c>
      <c r="K57" s="68">
        <f t="shared" si="17"/>
        <v>116.40895176935776</v>
      </c>
      <c r="L57" s="68">
        <f t="shared" si="17"/>
        <v>2225.5554610167305</v>
      </c>
      <c r="M57" s="68">
        <f t="shared" si="17"/>
        <v>1.1012191178979638</v>
      </c>
      <c r="N57" s="119">
        <f>N58+N61</f>
        <v>20.104959834937461</v>
      </c>
      <c r="O57" s="120">
        <v>21.6</v>
      </c>
      <c r="P57" s="6">
        <f>O57-N57</f>
        <v>1.4950401650625409</v>
      </c>
      <c r="Q57">
        <v>15.7</v>
      </c>
      <c r="R57" t="s">
        <v>591</v>
      </c>
    </row>
    <row r="58" spans="1:19" x14ac:dyDescent="0.35">
      <c r="B58" s="75"/>
      <c r="C58" s="76" t="s">
        <v>583</v>
      </c>
      <c r="D58" s="68">
        <f>D57*Outputs!$M$9</f>
        <v>2.6488172270357393</v>
      </c>
      <c r="E58" s="68">
        <f>E57*Outputs!$M$9</f>
        <v>1354.7298139831355</v>
      </c>
      <c r="F58" s="68">
        <f>F57*Outputs!$M$9</f>
        <v>0.91280961301069563</v>
      </c>
      <c r="G58" s="68">
        <f>G57*Outputs!$M$9</f>
        <v>476.59769527947844</v>
      </c>
      <c r="H58" s="68">
        <f>H57*Outputs!$M$9</f>
        <v>1.5204315316545518E-5</v>
      </c>
      <c r="I58" s="68">
        <f>I57*Outputs!$M$9</f>
        <v>6.1067086747066131E-5</v>
      </c>
      <c r="J58" s="68">
        <f>J57*Outputs!$M$9</f>
        <v>7.0841861787397E-5</v>
      </c>
      <c r="K58" s="68">
        <f>K57*Outputs!$M$9</f>
        <v>37.535572901660089</v>
      </c>
      <c r="L58" s="68">
        <f>L57*Outputs!$M$9</f>
        <v>717.62092162117312</v>
      </c>
      <c r="M58" s="68">
        <f>M57*Outputs!$M$9</f>
        <v>0.35508343518510566</v>
      </c>
      <c r="N58" s="22">
        <f>G58/'Process Model'!R9*1000</f>
        <v>11.70340652973352</v>
      </c>
      <c r="Q58">
        <f>Q57*'Process Model'!R9/1000</f>
        <v>639.35092717472105</v>
      </c>
      <c r="R58" t="s">
        <v>592</v>
      </c>
    </row>
    <row r="59" spans="1:19" x14ac:dyDescent="0.35">
      <c r="B59" s="75"/>
      <c r="C59" s="76"/>
      <c r="D59" s="68"/>
      <c r="E59" s="68"/>
      <c r="F59" s="68"/>
      <c r="G59" s="68"/>
      <c r="H59" s="68"/>
      <c r="I59" s="68"/>
      <c r="J59" s="68"/>
      <c r="K59" s="68"/>
      <c r="L59" s="68"/>
      <c r="M59" s="68"/>
      <c r="N59" s="76" t="s">
        <v>614</v>
      </c>
      <c r="O59" s="75" t="s">
        <v>613</v>
      </c>
    </row>
    <row r="60" spans="1:19" x14ac:dyDescent="0.35">
      <c r="A60">
        <v>-24986</v>
      </c>
      <c r="B60" s="112">
        <v>0</v>
      </c>
      <c r="C60" s="98" t="s">
        <v>468</v>
      </c>
      <c r="D60" s="68">
        <f t="shared" ref="D60:M60" si="18">D19*$B60*$Q$60</f>
        <v>0</v>
      </c>
      <c r="E60" s="68">
        <f t="shared" si="18"/>
        <v>0</v>
      </c>
      <c r="F60" s="68">
        <f t="shared" si="18"/>
        <v>0</v>
      </c>
      <c r="G60" s="68">
        <f t="shared" si="18"/>
        <v>0</v>
      </c>
      <c r="H60" s="68">
        <f t="shared" si="18"/>
        <v>0</v>
      </c>
      <c r="I60" s="68">
        <f t="shared" si="18"/>
        <v>0</v>
      </c>
      <c r="J60" s="68">
        <f t="shared" si="18"/>
        <v>0</v>
      </c>
      <c r="K60" s="68">
        <f t="shared" si="18"/>
        <v>0</v>
      </c>
      <c r="L60" s="68">
        <f t="shared" si="18"/>
        <v>0</v>
      </c>
      <c r="M60" s="68">
        <f t="shared" si="18"/>
        <v>0</v>
      </c>
      <c r="N60" s="83">
        <f>G60/'Process Model'!$R$9*1000</f>
        <v>0</v>
      </c>
      <c r="O60" s="54">
        <v>3</v>
      </c>
      <c r="P60" t="s">
        <v>615</v>
      </c>
      <c r="Q60">
        <f>3/136</f>
        <v>2.2058823529411766E-2</v>
      </c>
    </row>
    <row r="61" spans="1:19" x14ac:dyDescent="0.35">
      <c r="B61" s="54">
        <f>'Process Model'!R16</f>
        <v>442.16803800055965</v>
      </c>
      <c r="C61" s="98" t="s">
        <v>466</v>
      </c>
      <c r="D61" s="68">
        <f t="shared" ref="D61:M61" si="19">D20*$B61</f>
        <v>1.2248054652615501</v>
      </c>
      <c r="E61" s="68">
        <f t="shared" si="19"/>
        <v>2590.1628847623383</v>
      </c>
      <c r="F61" s="68">
        <f t="shared" si="19"/>
        <v>3.5108142217244431</v>
      </c>
      <c r="G61" s="79">
        <f t="shared" si="19"/>
        <v>342.136362763693</v>
      </c>
      <c r="H61" s="68">
        <f t="shared" si="19"/>
        <v>3.6679518990690829E-5</v>
      </c>
      <c r="I61" s="68">
        <f t="shared" si="19"/>
        <v>1.0382945651525341E-4</v>
      </c>
      <c r="J61" s="68">
        <f t="shared" si="19"/>
        <v>1.4105912097882454E-5</v>
      </c>
      <c r="K61" s="68">
        <f t="shared" si="19"/>
        <v>11.014405826593942</v>
      </c>
      <c r="L61" s="68">
        <f t="shared" si="19"/>
        <v>74.505314403094303</v>
      </c>
      <c r="M61" s="68">
        <f t="shared" si="19"/>
        <v>1.2380705064015669</v>
      </c>
      <c r="N61" s="117">
        <f>G61/'Process Model'!$R$9*1000</f>
        <v>8.4015533052039384</v>
      </c>
      <c r="O61" s="113">
        <v>7.72</v>
      </c>
      <c r="P61" s="56">
        <f>O61-N61</f>
        <v>-0.68155330520393864</v>
      </c>
      <c r="S61" t="s">
        <v>1031</v>
      </c>
    </row>
    <row r="62" spans="1:19" x14ac:dyDescent="0.35">
      <c r="B62" s="8">
        <f>Outputs!F22/3.6</f>
        <v>754.5456058333333</v>
      </c>
      <c r="C62" s="98" t="s">
        <v>595</v>
      </c>
      <c r="D62" s="68">
        <f t="shared" ref="D62:M62" si="20">-1*$B62*D20</f>
        <v>-2.0900913281583331</v>
      </c>
      <c r="E62" s="68">
        <f t="shared" si="20"/>
        <v>-4420.0300680429082</v>
      </c>
      <c r="F62" s="68">
        <f t="shared" si="20"/>
        <v>-5.9910921103166661</v>
      </c>
      <c r="G62" s="68">
        <f t="shared" si="20"/>
        <v>-583.84475342565827</v>
      </c>
      <c r="H62" s="68">
        <f t="shared" si="20"/>
        <v>-6.2592425277177162E-5</v>
      </c>
      <c r="I62" s="68">
        <f t="shared" si="20"/>
        <v>-1.7718164461617749E-4</v>
      </c>
      <c r="J62" s="68">
        <f t="shared" si="20"/>
        <v>-2.4071287553613249E-5</v>
      </c>
      <c r="K62" s="68">
        <f t="shared" si="20"/>
        <v>-18.795731041308333</v>
      </c>
      <c r="L62" s="68">
        <f t="shared" si="20"/>
        <v>-127.14093458291667</v>
      </c>
      <c r="M62" s="68">
        <f t="shared" si="20"/>
        <v>-2.1127276963333332</v>
      </c>
      <c r="N62" s="83">
        <f>G62/'Process Model'!$R$9*1000</f>
        <v>-14.336981834512709</v>
      </c>
      <c r="O62" s="54">
        <v>-14.9</v>
      </c>
      <c r="R62" s="5">
        <f>G62/'Process Model'!R9*1000</f>
        <v>-14.336981834512709</v>
      </c>
      <c r="S62" t="s">
        <v>1030</v>
      </c>
    </row>
    <row r="63" spans="1:19" x14ac:dyDescent="0.35">
      <c r="B63" s="54">
        <f>DAH_Dilution_Water_I+EH_Dilution_Water_Input</f>
        <v>42586.712539200002</v>
      </c>
      <c r="C63" s="98" t="s">
        <v>420</v>
      </c>
      <c r="D63" s="68">
        <f t="shared" ref="D63:M63" si="21">D21*$B63</f>
        <v>0.14242785315035125</v>
      </c>
      <c r="E63" s="68">
        <f t="shared" si="21"/>
        <v>100.07877446712001</v>
      </c>
      <c r="F63" s="68">
        <f t="shared" si="21"/>
        <v>0.11239101892932812</v>
      </c>
      <c r="G63" s="68">
        <f t="shared" si="21"/>
        <v>31.940034404400002</v>
      </c>
      <c r="H63" s="68">
        <f t="shared" si="21"/>
        <v>1.7459189366270748E-6</v>
      </c>
      <c r="I63" s="68">
        <f t="shared" si="21"/>
        <v>4.7109421410863039E-7</v>
      </c>
      <c r="J63" s="68">
        <f t="shared" si="21"/>
        <v>1.8327021394394562E-6</v>
      </c>
      <c r="K63" s="68">
        <f t="shared" si="21"/>
        <v>1.6081338868777471</v>
      </c>
      <c r="L63" s="68">
        <f t="shared" si="21"/>
        <v>19.589887768032</v>
      </c>
      <c r="M63" s="68">
        <f t="shared" si="21"/>
        <v>4.6419090800602615E-2</v>
      </c>
      <c r="N63" s="83">
        <f>G63/'Process Model'!$R$9*1000</f>
        <v>0.78432441220507065</v>
      </c>
      <c r="O63" s="54" t="s">
        <v>612</v>
      </c>
    </row>
    <row r="64" spans="1:19" ht="13.9" customHeight="1" x14ac:dyDescent="0.35">
      <c r="B64" s="54">
        <f>Sulf_Acid_DAH_I</f>
        <v>172.67800320000001</v>
      </c>
      <c r="C64" s="98" t="s">
        <v>421</v>
      </c>
      <c r="D64" s="68">
        <f t="shared" ref="D64:M64" si="22">D22*$B64</f>
        <v>1.2260138227200001</v>
      </c>
      <c r="E64" s="68">
        <f t="shared" si="22"/>
        <v>345.42680438131202</v>
      </c>
      <c r="F64" s="68">
        <f t="shared" si="22"/>
        <v>0.12087460224</v>
      </c>
      <c r="G64" s="68">
        <f t="shared" si="22"/>
        <v>19.369291618944001</v>
      </c>
      <c r="H64" s="68">
        <f t="shared" si="22"/>
        <v>2.2563143966131202E-6</v>
      </c>
      <c r="I64" s="68">
        <f t="shared" si="22"/>
        <v>1.617873742161792E-5</v>
      </c>
      <c r="J64" s="68">
        <f t="shared" si="22"/>
        <v>8.5048751560089597E-6</v>
      </c>
      <c r="K64" s="68">
        <f t="shared" si="22"/>
        <v>3.2739749406720002</v>
      </c>
      <c r="L64" s="68">
        <f t="shared" si="22"/>
        <v>156.80198758579201</v>
      </c>
      <c r="M64" s="68">
        <f t="shared" si="22"/>
        <v>8.4612221567999996E-2</v>
      </c>
      <c r="N64" s="83">
        <f>G64/'Process Model'!$R$9*1000</f>
        <v>0.47563531308419815</v>
      </c>
      <c r="O64" s="54">
        <v>0.17399999999999999</v>
      </c>
    </row>
    <row r="65" spans="1:40" x14ac:dyDescent="0.35">
      <c r="B65" s="54">
        <f>'Process Model'!R15</f>
        <v>81.75216587119894</v>
      </c>
      <c r="C65" s="99" t="s">
        <v>422</v>
      </c>
      <c r="D65" s="68">
        <f t="shared" ref="D65:M65" si="23">D23*$B65</f>
        <v>0.36706722476168324</v>
      </c>
      <c r="E65" s="68">
        <f t="shared" si="23"/>
        <v>321.84683173168827</v>
      </c>
      <c r="F65" s="68">
        <f t="shared" si="23"/>
        <v>0.13979620363975018</v>
      </c>
      <c r="G65" s="68">
        <f t="shared" si="23"/>
        <v>155.95778931082751</v>
      </c>
      <c r="H65" s="68">
        <f t="shared" si="23"/>
        <v>2.3909401935022586E-6</v>
      </c>
      <c r="I65" s="68">
        <f t="shared" si="23"/>
        <v>1.44392310405029E-5</v>
      </c>
      <c r="J65" s="68">
        <f t="shared" si="23"/>
        <v>2.8976319423553626E-5</v>
      </c>
      <c r="K65" s="68">
        <f t="shared" si="23"/>
        <v>4.1015061617580511</v>
      </c>
      <c r="L65" s="68">
        <f t="shared" si="23"/>
        <v>410.46863210104402</v>
      </c>
      <c r="M65" s="68">
        <f t="shared" si="23"/>
        <v>5.9679081085975222E-2</v>
      </c>
      <c r="N65" s="117">
        <f>G65/'Process Model'!$R$9*1000</f>
        <v>3.8297235338345859</v>
      </c>
      <c r="O65" s="113">
        <v>5.34</v>
      </c>
      <c r="P65" s="56">
        <f>O65-N65</f>
        <v>1.510276466165414</v>
      </c>
    </row>
    <row r="66" spans="1:40" x14ac:dyDescent="0.35">
      <c r="B66" s="8">
        <f>'Process Model'!H111</f>
        <v>140</v>
      </c>
      <c r="C66" s="100" t="s">
        <v>423</v>
      </c>
      <c r="D66" s="68">
        <f t="shared" ref="D66:M66" si="24">D24*$B66</f>
        <v>1.4056</v>
      </c>
      <c r="E66" s="68">
        <f t="shared" si="24"/>
        <v>1422.9726000000001</v>
      </c>
      <c r="F66" s="68">
        <f t="shared" si="24"/>
        <v>2.6823999999999999</v>
      </c>
      <c r="G66" s="68">
        <f t="shared" si="24"/>
        <v>208.21359999999999</v>
      </c>
      <c r="H66" s="68">
        <f t="shared" si="24"/>
        <v>1.160285E-5</v>
      </c>
      <c r="I66" s="68">
        <f t="shared" si="24"/>
        <v>5.6532699999999995E-5</v>
      </c>
      <c r="J66" s="68">
        <f t="shared" si="24"/>
        <v>2.1592339999999999E-5</v>
      </c>
      <c r="K66" s="68">
        <f t="shared" si="24"/>
        <v>11.680200000000001</v>
      </c>
      <c r="L66" s="68">
        <f t="shared" si="24"/>
        <v>200.7124</v>
      </c>
      <c r="M66" s="68">
        <f t="shared" si="24"/>
        <v>0.20020000000000002</v>
      </c>
      <c r="N66" s="83">
        <f>G66/'Process Model'!$R$9*1000</f>
        <v>5.1129252825915801</v>
      </c>
      <c r="O66" s="54">
        <v>4.1399999999999997</v>
      </c>
    </row>
    <row r="67" spans="1:40" x14ac:dyDescent="0.35">
      <c r="B67" s="54">
        <f>SO2_EP_I</f>
        <v>0.90327199999999996</v>
      </c>
      <c r="C67" s="99" t="s">
        <v>424</v>
      </c>
      <c r="D67" s="68">
        <f t="shared" ref="D67:M67" si="25">D25*$B67</f>
        <v>4.4748094879999999E-2</v>
      </c>
      <c r="E67" s="68">
        <f t="shared" si="25"/>
        <v>3.7091329117599998</v>
      </c>
      <c r="F67" s="68">
        <f t="shared" si="25"/>
        <v>2.1768855199999996E-3</v>
      </c>
      <c r="G67" s="68">
        <f t="shared" si="25"/>
        <v>0.35764151568000002</v>
      </c>
      <c r="H67" s="68">
        <f t="shared" si="25"/>
        <v>3.1312917479199997E-8</v>
      </c>
      <c r="I67" s="68">
        <f t="shared" si="25"/>
        <v>1.69175619424E-7</v>
      </c>
      <c r="J67" s="68">
        <f t="shared" si="25"/>
        <v>1.2275195498399998E-7</v>
      </c>
      <c r="K67" s="68">
        <f t="shared" si="25"/>
        <v>1.515690416E-2</v>
      </c>
      <c r="L67" s="68">
        <f t="shared" si="25"/>
        <v>2.1428682964799997</v>
      </c>
      <c r="M67" s="68">
        <f t="shared" si="25"/>
        <v>2.88143768E-3</v>
      </c>
      <c r="N67" s="83">
        <f>G67/'Process Model'!$R$9*1000</f>
        <v>8.7823002321877411E-3</v>
      </c>
      <c r="O67" s="54" t="s">
        <v>612</v>
      </c>
    </row>
    <row r="68" spans="1:40" x14ac:dyDescent="0.35">
      <c r="B68" s="8">
        <f>CSL_EP_I+'Process Model'!H148</f>
        <v>87.250059800322674</v>
      </c>
      <c r="C68" s="100" t="s">
        <v>425</v>
      </c>
      <c r="D68" s="84">
        <f t="shared" ref="D68:M68" si="26">D26*$B68</f>
        <v>0.73813550591072985</v>
      </c>
      <c r="E68" s="68">
        <f t="shared" si="26"/>
        <v>4.399549365407351E-4</v>
      </c>
      <c r="F68" s="68">
        <f t="shared" si="26"/>
        <v>1.2215008372045174E-2</v>
      </c>
      <c r="G68" s="68">
        <f>G26*$B68</f>
        <v>0.78263303640889448</v>
      </c>
      <c r="H68" s="68">
        <f t="shared" si="26"/>
        <v>2.7799439553459211E-12</v>
      </c>
      <c r="I68" s="68">
        <f t="shared" si="26"/>
        <v>2.8476849017748912E-13</v>
      </c>
      <c r="J68" s="68">
        <f t="shared" si="26"/>
        <v>0</v>
      </c>
      <c r="K68" s="68">
        <f t="shared" si="26"/>
        <v>6.4565044252238774E-2</v>
      </c>
      <c r="L68" s="68">
        <f t="shared" si="26"/>
        <v>0.98854317753765586</v>
      </c>
      <c r="M68" s="68">
        <f t="shared" si="26"/>
        <v>4.4497530498164566E-2</v>
      </c>
      <c r="N68" s="117">
        <f>G68/'Process Model'!$R$9*1000</f>
        <v>1.9218457578402435E-2</v>
      </c>
      <c r="O68" s="113">
        <v>4.22</v>
      </c>
      <c r="P68" s="56">
        <f>O68-N68</f>
        <v>4.2007815424215975</v>
      </c>
    </row>
    <row r="69" spans="1:40" ht="13.9" customHeight="1" x14ac:dyDescent="0.35">
      <c r="B69" s="54">
        <f>Ammon_Sulfate_EP</f>
        <v>1.041768</v>
      </c>
      <c r="C69" s="101" t="s">
        <v>426</v>
      </c>
      <c r="D69" s="68">
        <f t="shared" ref="D69:M69" si="27">D27*$B69</f>
        <v>9.9488844E-3</v>
      </c>
      <c r="E69" s="68">
        <f t="shared" si="27"/>
        <v>16.024610805840002</v>
      </c>
      <c r="F69" s="68">
        <f t="shared" si="27"/>
        <v>6.2610256799999998E-3</v>
      </c>
      <c r="G69" s="68">
        <f t="shared" si="27"/>
        <v>2.2133194574399999</v>
      </c>
      <c r="H69" s="68">
        <f t="shared" si="27"/>
        <v>1.22429617128E-7</v>
      </c>
      <c r="I69" s="68">
        <f t="shared" si="27"/>
        <v>7.6406911307999993E-7</v>
      </c>
      <c r="J69" s="68">
        <f t="shared" si="27"/>
        <v>1.7999042443200003E-7</v>
      </c>
      <c r="K69" s="68">
        <f t="shared" si="27"/>
        <v>8.9602465680000007E-2</v>
      </c>
      <c r="L69" s="68">
        <f t="shared" si="27"/>
        <v>2.6167336977600004</v>
      </c>
      <c r="M69" s="68">
        <f t="shared" si="27"/>
        <v>1.5105635999999999E-3</v>
      </c>
      <c r="N69" s="83">
        <f>G69/'Process Model'!$R$9*1000</f>
        <v>5.4350614044408517E-2</v>
      </c>
      <c r="O69" s="54" t="s">
        <v>612</v>
      </c>
      <c r="R69" t="s">
        <v>412</v>
      </c>
      <c r="S69" s="71" t="s">
        <v>487</v>
      </c>
      <c r="T69" s="71" t="s">
        <v>488</v>
      </c>
      <c r="U69" s="71" t="s">
        <v>489</v>
      </c>
      <c r="V69" s="71" t="s">
        <v>476</v>
      </c>
      <c r="W69" s="71" t="s">
        <v>490</v>
      </c>
      <c r="X69" s="71" t="s">
        <v>491</v>
      </c>
      <c r="Y69" s="71" t="s">
        <v>492</v>
      </c>
      <c r="Z69" s="71" t="s">
        <v>493</v>
      </c>
      <c r="AA69" s="71" t="s">
        <v>494</v>
      </c>
      <c r="AB69" s="71" t="s">
        <v>495</v>
      </c>
      <c r="AD69" t="s">
        <v>412</v>
      </c>
      <c r="AE69" s="71" t="s">
        <v>487</v>
      </c>
      <c r="AF69" s="71" t="s">
        <v>488</v>
      </c>
      <c r="AG69" s="71" t="s">
        <v>489</v>
      </c>
      <c r="AH69" s="71" t="s">
        <v>476</v>
      </c>
      <c r="AI69" s="71" t="s">
        <v>490</v>
      </c>
      <c r="AJ69" s="71" t="s">
        <v>491</v>
      </c>
      <c r="AK69" s="71" t="s">
        <v>492</v>
      </c>
      <c r="AL69" s="71" t="s">
        <v>493</v>
      </c>
      <c r="AM69" s="71" t="s">
        <v>494</v>
      </c>
      <c r="AN69" s="71" t="s">
        <v>495</v>
      </c>
    </row>
    <row r="70" spans="1:40" x14ac:dyDescent="0.35">
      <c r="B70" s="54">
        <f>Mg_Sulfate_EP_I</f>
        <v>0.22323599999999999</v>
      </c>
      <c r="C70" s="98" t="s">
        <v>428</v>
      </c>
      <c r="D70" s="68">
        <f t="shared" ref="D70:M70" si="28">D28*$B70</f>
        <v>4.911192E-4</v>
      </c>
      <c r="E70" s="68">
        <f t="shared" si="28"/>
        <v>0.31086505943999998</v>
      </c>
      <c r="F70" s="68">
        <f t="shared" si="28"/>
        <v>3.6164231999999999E-4</v>
      </c>
      <c r="G70" s="68">
        <f t="shared" si="28"/>
        <v>0.10486287863999999</v>
      </c>
      <c r="H70" s="68">
        <f t="shared" si="28"/>
        <v>5.2835050008E-9</v>
      </c>
      <c r="I70" s="68">
        <f t="shared" si="28"/>
        <v>1.4626154836799998E-8</v>
      </c>
      <c r="J70" s="68">
        <f t="shared" si="28"/>
        <v>5.1700118183999997E-9</v>
      </c>
      <c r="K70" s="68">
        <f t="shared" si="28"/>
        <v>5.7996712799999999E-3</v>
      </c>
      <c r="L70" s="68">
        <f t="shared" si="28"/>
        <v>6.3707089679999995E-2</v>
      </c>
      <c r="M70" s="68">
        <f t="shared" si="28"/>
        <v>1.8528587999999999E-4</v>
      </c>
      <c r="N70" s="83">
        <f>G70/'Process Model'!$R$9*1000</f>
        <v>2.5750290250194444E-3</v>
      </c>
      <c r="O70" s="54" t="s">
        <v>612</v>
      </c>
      <c r="Q70">
        <v>100</v>
      </c>
      <c r="R70" t="s">
        <v>414</v>
      </c>
      <c r="S70" s="68">
        <f>D40</f>
        <v>0.6826572822000001</v>
      </c>
      <c r="T70" s="68">
        <f t="shared" ref="T70:AA85" si="29">E40</f>
        <v>66.762395853600012</v>
      </c>
      <c r="U70" s="68">
        <f t="shared" si="29"/>
        <v>0.63877469900000006</v>
      </c>
      <c r="V70" s="68">
        <f t="shared" si="29"/>
        <v>29.272160237000005</v>
      </c>
      <c r="W70" s="68">
        <f t="shared" si="29"/>
        <v>9.9622488104900004E-7</v>
      </c>
      <c r="X70" s="68">
        <f t="shared" si="29"/>
        <v>2.8038316476300001E-6</v>
      </c>
      <c r="Y70" s="68">
        <f t="shared" si="29"/>
        <v>1.5687209542860001E-6</v>
      </c>
      <c r="Z70" s="68">
        <f t="shared" si="29"/>
        <v>2.0134673961000003</v>
      </c>
      <c r="AA70" s="68">
        <f t="shared" si="29"/>
        <v>14.786484133500002</v>
      </c>
      <c r="AB70" s="68">
        <f>M40</f>
        <v>3.9989773399999998E-2</v>
      </c>
      <c r="AD70" t="s">
        <v>468</v>
      </c>
      <c r="AE70" s="68">
        <f>D60</f>
        <v>0</v>
      </c>
      <c r="AF70" s="68">
        <f t="shared" ref="AF70:AN71" si="30">E60</f>
        <v>0</v>
      </c>
      <c r="AG70" s="68">
        <f t="shared" si="30"/>
        <v>0</v>
      </c>
      <c r="AH70" s="68">
        <f t="shared" si="30"/>
        <v>0</v>
      </c>
      <c r="AI70" s="68">
        <f t="shared" si="30"/>
        <v>0</v>
      </c>
      <c r="AJ70" s="68">
        <f t="shared" si="30"/>
        <v>0</v>
      </c>
      <c r="AK70" s="68">
        <f t="shared" si="30"/>
        <v>0</v>
      </c>
      <c r="AL70" s="68">
        <f t="shared" si="30"/>
        <v>0</v>
      </c>
      <c r="AM70" s="68">
        <f t="shared" si="30"/>
        <v>0</v>
      </c>
      <c r="AN70" s="68">
        <f t="shared" si="30"/>
        <v>0</v>
      </c>
    </row>
    <row r="71" spans="1:40" x14ac:dyDescent="0.35">
      <c r="B71" s="54">
        <f>Inputs!A32</f>
        <v>0.27648</v>
      </c>
      <c r="C71" s="98" t="s">
        <v>429</v>
      </c>
      <c r="D71" s="68">
        <f t="shared" ref="D71:M71" si="31">D29*$B71</f>
        <v>2.1344255999999999E-3</v>
      </c>
      <c r="E71" s="68">
        <f t="shared" si="31"/>
        <v>1.9904956415999999</v>
      </c>
      <c r="F71" s="68">
        <f t="shared" si="31"/>
        <v>1.0285056000000001E-3</v>
      </c>
      <c r="G71" s="68">
        <f t="shared" si="31"/>
        <v>0.24536770559999999</v>
      </c>
      <c r="H71" s="68">
        <f t="shared" si="31"/>
        <v>1.6347460608E-8</v>
      </c>
      <c r="I71" s="68">
        <f t="shared" si="31"/>
        <v>9.4920837120000002E-8</v>
      </c>
      <c r="J71" s="68">
        <f t="shared" si="31"/>
        <v>1.0919245823999999E-8</v>
      </c>
      <c r="K71" s="68">
        <f t="shared" si="31"/>
        <v>1.2286771200000001E-2</v>
      </c>
      <c r="L71" s="68">
        <f t="shared" si="31"/>
        <v>0.1034919936</v>
      </c>
      <c r="M71" s="68">
        <f t="shared" si="31"/>
        <v>2.2671360000000001E-4</v>
      </c>
      <c r="N71" s="83">
        <f>G71/'Process Model'!$R$9*1000</f>
        <v>6.0252872314475511E-3</v>
      </c>
      <c r="O71" s="54" t="s">
        <v>612</v>
      </c>
      <c r="Q71">
        <v>100</v>
      </c>
      <c r="R71" t="s">
        <v>415</v>
      </c>
      <c r="S71" s="68">
        <f t="shared" ref="S71:S85" si="32">D41</f>
        <v>0</v>
      </c>
      <c r="T71" s="68">
        <f t="shared" si="29"/>
        <v>0</v>
      </c>
      <c r="U71" s="68">
        <f t="shared" si="29"/>
        <v>0</v>
      </c>
      <c r="V71" s="68">
        <f t="shared" si="29"/>
        <v>0</v>
      </c>
      <c r="W71" s="68">
        <f t="shared" si="29"/>
        <v>0</v>
      </c>
      <c r="X71" s="68">
        <f t="shared" si="29"/>
        <v>0</v>
      </c>
      <c r="Y71" s="68">
        <f t="shared" si="29"/>
        <v>0</v>
      </c>
      <c r="Z71" s="68">
        <f t="shared" si="29"/>
        <v>0</v>
      </c>
      <c r="AA71" s="68">
        <f t="shared" si="29"/>
        <v>0</v>
      </c>
      <c r="AB71" s="68">
        <f t="shared" ref="AB71:AB85" si="33">M41</f>
        <v>0</v>
      </c>
      <c r="AD71" t="s">
        <v>466</v>
      </c>
      <c r="AE71" s="68">
        <f>D61</f>
        <v>1.2248054652615501</v>
      </c>
      <c r="AF71" s="68">
        <f t="shared" si="30"/>
        <v>2590.1628847623383</v>
      </c>
      <c r="AG71" s="68">
        <f t="shared" si="30"/>
        <v>3.5108142217244431</v>
      </c>
      <c r="AH71" s="68">
        <f t="shared" si="30"/>
        <v>342.136362763693</v>
      </c>
      <c r="AI71" s="68">
        <f t="shared" si="30"/>
        <v>3.6679518990690829E-5</v>
      </c>
      <c r="AJ71" s="68">
        <f t="shared" si="30"/>
        <v>1.0382945651525341E-4</v>
      </c>
      <c r="AK71" s="68">
        <f t="shared" si="30"/>
        <v>1.4105912097882454E-5</v>
      </c>
      <c r="AL71" s="68">
        <f t="shared" si="30"/>
        <v>11.014405826593942</v>
      </c>
      <c r="AM71" s="68">
        <f t="shared" si="30"/>
        <v>74.505314403094303</v>
      </c>
      <c r="AN71" s="68">
        <f t="shared" si="30"/>
        <v>1.2380705064015669</v>
      </c>
    </row>
    <row r="72" spans="1:40" ht="14.5" customHeight="1" x14ac:dyDescent="0.35">
      <c r="A72" s="294">
        <f>G72/Final_MJ_Output*1000</f>
        <v>4.6238937106727747</v>
      </c>
      <c r="B72" s="75">
        <f>137.226</f>
        <v>137.226</v>
      </c>
      <c r="C72" s="98" t="s">
        <v>603</v>
      </c>
      <c r="D72" s="68">
        <f t="shared" ref="D72:M72" si="34">D31*$B72</f>
        <v>0.92764776000000004</v>
      </c>
      <c r="E72" s="68">
        <f t="shared" si="34"/>
        <v>1010.4526729199999</v>
      </c>
      <c r="F72" s="68">
        <f t="shared" si="34"/>
        <v>0.78904949999999996</v>
      </c>
      <c r="G72" s="68">
        <f t="shared" si="34"/>
        <v>188.29877267999998</v>
      </c>
      <c r="H72" s="68">
        <f t="shared" si="34"/>
        <v>1.2024894818400001E-5</v>
      </c>
      <c r="I72" s="68">
        <f t="shared" si="34"/>
        <v>4.7648023397999997E-5</v>
      </c>
      <c r="J72" s="68">
        <f t="shared" si="34"/>
        <v>1.03886806074E-4</v>
      </c>
      <c r="K72" s="68">
        <f t="shared" si="34"/>
        <v>10.50327804</v>
      </c>
      <c r="L72" s="68">
        <f t="shared" si="34"/>
        <v>126.43591962000001</v>
      </c>
      <c r="M72" s="68">
        <f t="shared" si="34"/>
        <v>0.2470068</v>
      </c>
      <c r="N72" s="117">
        <f>G72/'Process Model'!$R$9*1000</f>
        <v>4.6238937106727747</v>
      </c>
      <c r="O72" s="113">
        <v>10.1</v>
      </c>
      <c r="Q72">
        <v>100</v>
      </c>
      <c r="R72" t="s">
        <v>416</v>
      </c>
      <c r="S72" s="68">
        <f t="shared" si="32"/>
        <v>2.9207970000000003</v>
      </c>
      <c r="T72" s="68">
        <f t="shared" si="29"/>
        <v>1936.0720764</v>
      </c>
      <c r="U72" s="68">
        <f t="shared" si="29"/>
        <v>0.94562820000000003</v>
      </c>
      <c r="V72" s="68">
        <f t="shared" si="29"/>
        <v>541.94500800000003</v>
      </c>
      <c r="W72" s="68">
        <f t="shared" si="29"/>
        <v>1.5091386948000001E-5</v>
      </c>
      <c r="X72" s="68">
        <f t="shared" si="29"/>
        <v>9.0197922870000001E-5</v>
      </c>
      <c r="Y72" s="68">
        <f t="shared" si="29"/>
        <v>9.6392755800000013E-5</v>
      </c>
      <c r="Z72" s="68">
        <f t="shared" si="29"/>
        <v>17.392458600000001</v>
      </c>
      <c r="AA72" s="68">
        <f t="shared" si="29"/>
        <v>1216.5539067</v>
      </c>
      <c r="AB72" s="68">
        <f t="shared" si="33"/>
        <v>0.48895110000000003</v>
      </c>
      <c r="AD72" t="s">
        <v>420</v>
      </c>
      <c r="AE72" s="68">
        <f t="shared" ref="AE72:AE80" si="35">D63</f>
        <v>0.14242785315035125</v>
      </c>
      <c r="AF72" s="68">
        <f t="shared" ref="AF72:AF80" si="36">E63</f>
        <v>100.07877446712001</v>
      </c>
      <c r="AG72" s="68">
        <f t="shared" ref="AG72:AG80" si="37">F63</f>
        <v>0.11239101892932812</v>
      </c>
      <c r="AH72" s="68">
        <f t="shared" ref="AH72:AH80" si="38">G63</f>
        <v>31.940034404400002</v>
      </c>
      <c r="AI72" s="68">
        <f t="shared" ref="AI72:AI80" si="39">H63</f>
        <v>1.7459189366270748E-6</v>
      </c>
      <c r="AJ72" s="68">
        <f t="shared" ref="AJ72:AJ80" si="40">I63</f>
        <v>4.7109421410863039E-7</v>
      </c>
      <c r="AK72" s="68">
        <f t="shared" ref="AK72:AK80" si="41">J63</f>
        <v>1.8327021394394562E-6</v>
      </c>
      <c r="AL72" s="68">
        <f t="shared" ref="AL72:AL80" si="42">K63</f>
        <v>1.6081338868777471</v>
      </c>
      <c r="AM72" s="68">
        <f t="shared" ref="AM72:AM80" si="43">L63</f>
        <v>19.589887768032</v>
      </c>
      <c r="AN72" s="68">
        <f t="shared" ref="AN72:AN80" si="44">M63</f>
        <v>4.6419090800602615E-2</v>
      </c>
    </row>
    <row r="73" spans="1:40" x14ac:dyDescent="0.35">
      <c r="B73" s="8">
        <f>'Process Model'!R12</f>
        <v>81.853207873961097</v>
      </c>
      <c r="C73" s="98" t="s">
        <v>604</v>
      </c>
      <c r="D73" s="68">
        <f t="shared" ref="D73:M73" si="45">$B$73*D8</f>
        <v>0.25783760480297746</v>
      </c>
      <c r="E73" s="68">
        <f t="shared" si="45"/>
        <v>18.004431603956483</v>
      </c>
      <c r="F73" s="68">
        <f t="shared" si="45"/>
        <v>2.4555962362188329E-2</v>
      </c>
      <c r="G73" s="68">
        <f t="shared" si="45"/>
        <v>79.893642077458466</v>
      </c>
      <c r="H73" s="68">
        <f t="shared" si="45"/>
        <v>3.3499980533368186E-7</v>
      </c>
      <c r="I73" s="68">
        <f t="shared" si="45"/>
        <v>6.6876690135678188E-7</v>
      </c>
      <c r="J73" s="68">
        <f t="shared" si="45"/>
        <v>7.2479214801819322E-6</v>
      </c>
      <c r="K73" s="68">
        <f t="shared" si="45"/>
        <v>3.8970312268792879</v>
      </c>
      <c r="L73" s="68">
        <f t="shared" si="45"/>
        <v>49.616959016958994</v>
      </c>
      <c r="M73" s="68">
        <f t="shared" si="45"/>
        <v>2.0463301968490274E-2</v>
      </c>
      <c r="N73" s="117">
        <f>G73/'Process Model'!$R$9*1000</f>
        <v>1.9618805999999998</v>
      </c>
      <c r="O73" s="113">
        <v>2</v>
      </c>
      <c r="Q73">
        <v>100</v>
      </c>
      <c r="R73" t="s">
        <v>417</v>
      </c>
      <c r="S73" s="68">
        <f t="shared" si="32"/>
        <v>0.13099050000000001</v>
      </c>
      <c r="T73" s="68">
        <f t="shared" si="29"/>
        <v>116.10390700000001</v>
      </c>
      <c r="U73" s="68">
        <f t="shared" si="29"/>
        <v>8.4666500000000006E-2</v>
      </c>
      <c r="V73" s="68">
        <f t="shared" si="29"/>
        <v>17.692325</v>
      </c>
      <c r="W73" s="68">
        <f t="shared" si="29"/>
        <v>9.3422518500000008E-7</v>
      </c>
      <c r="X73" s="68">
        <f t="shared" si="29"/>
        <v>6.4768933500000004E-6</v>
      </c>
      <c r="Y73" s="68">
        <f t="shared" si="29"/>
        <v>2.1224060499999999E-6</v>
      </c>
      <c r="Z73" s="68">
        <f t="shared" si="29"/>
        <v>2.4953925000000003</v>
      </c>
      <c r="AA73" s="68">
        <f t="shared" si="29"/>
        <v>25.589314999999999</v>
      </c>
      <c r="AB73" s="68">
        <f t="shared" si="33"/>
        <v>2.7074500000000001E-2</v>
      </c>
      <c r="AD73" t="s">
        <v>421</v>
      </c>
      <c r="AE73" s="68">
        <f t="shared" si="35"/>
        <v>1.2260138227200001</v>
      </c>
      <c r="AF73" s="68">
        <f t="shared" si="36"/>
        <v>345.42680438131202</v>
      </c>
      <c r="AG73" s="68">
        <f t="shared" si="37"/>
        <v>0.12087460224</v>
      </c>
      <c r="AH73" s="68">
        <f t="shared" si="38"/>
        <v>19.369291618944001</v>
      </c>
      <c r="AI73" s="68">
        <f t="shared" si="39"/>
        <v>2.2563143966131202E-6</v>
      </c>
      <c r="AJ73" s="68">
        <f t="shared" si="40"/>
        <v>1.617873742161792E-5</v>
      </c>
      <c r="AK73" s="68">
        <f t="shared" si="41"/>
        <v>8.5048751560089597E-6</v>
      </c>
      <c r="AL73" s="68">
        <f t="shared" si="42"/>
        <v>3.2739749406720002</v>
      </c>
      <c r="AM73" s="68">
        <f t="shared" si="43"/>
        <v>156.80198758579201</v>
      </c>
      <c r="AN73" s="68">
        <f t="shared" si="44"/>
        <v>8.4612221567999996E-2</v>
      </c>
    </row>
    <row r="74" spans="1:40" x14ac:dyDescent="0.35">
      <c r="B74" s="75">
        <f>'Process Model'!R9</f>
        <v>40722.988992020451</v>
      </c>
      <c r="C74" s="98" t="s">
        <v>587</v>
      </c>
      <c r="D74" s="68">
        <f t="shared" ref="D74:M74" si="46">D30*$B74</f>
        <v>0</v>
      </c>
      <c r="E74" s="68">
        <f t="shared" si="46"/>
        <v>0</v>
      </c>
      <c r="F74" s="68">
        <f t="shared" si="46"/>
        <v>0</v>
      </c>
      <c r="G74" s="68">
        <f t="shared" si="46"/>
        <v>91.626725232046013</v>
      </c>
      <c r="H74" s="68">
        <f t="shared" si="46"/>
        <v>0</v>
      </c>
      <c r="I74" s="68">
        <f t="shared" si="46"/>
        <v>0</v>
      </c>
      <c r="J74" s="68">
        <f t="shared" si="46"/>
        <v>0</v>
      </c>
      <c r="K74" s="68">
        <f t="shared" si="46"/>
        <v>0</v>
      </c>
      <c r="L74" s="68">
        <f t="shared" si="46"/>
        <v>0</v>
      </c>
      <c r="M74" s="68">
        <f t="shared" si="46"/>
        <v>0</v>
      </c>
      <c r="N74" s="117">
        <f>G74/'Process Model'!$R$9*1000</f>
        <v>2.25</v>
      </c>
      <c r="O74" s="113">
        <v>3.07</v>
      </c>
      <c r="Q74">
        <v>100</v>
      </c>
      <c r="R74" t="s">
        <v>417</v>
      </c>
      <c r="S74" s="68">
        <f t="shared" si="32"/>
        <v>0.15522360000000002</v>
      </c>
      <c r="T74" s="68">
        <f t="shared" si="29"/>
        <v>393.77868530000001</v>
      </c>
      <c r="U74" s="68">
        <f t="shared" si="29"/>
        <v>0.13087480000000001</v>
      </c>
      <c r="V74" s="68">
        <f t="shared" si="29"/>
        <v>40.213565000000003</v>
      </c>
      <c r="W74" s="68">
        <f t="shared" si="29"/>
        <v>2.8686690900000001E-6</v>
      </c>
      <c r="X74" s="68">
        <f t="shared" si="29"/>
        <v>1.8699269679999999E-5</v>
      </c>
      <c r="Y74" s="68">
        <f t="shared" si="29"/>
        <v>7.1226022840000005E-6</v>
      </c>
      <c r="Z74" s="68">
        <f t="shared" si="29"/>
        <v>2.0551908999999999</v>
      </c>
      <c r="AA74" s="68">
        <f t="shared" si="29"/>
        <v>73.490765600000003</v>
      </c>
      <c r="AB74" s="68">
        <f t="shared" si="33"/>
        <v>2.5870600000000004E-2</v>
      </c>
      <c r="AD74" t="s">
        <v>422</v>
      </c>
      <c r="AE74" s="68">
        <f t="shared" si="35"/>
        <v>0.36706722476168324</v>
      </c>
      <c r="AF74" s="68">
        <f t="shared" si="36"/>
        <v>321.84683173168827</v>
      </c>
      <c r="AG74" s="68">
        <f t="shared" si="37"/>
        <v>0.13979620363975018</v>
      </c>
      <c r="AH74" s="68">
        <f t="shared" si="38"/>
        <v>155.95778931082751</v>
      </c>
      <c r="AI74" s="68">
        <f t="shared" si="39"/>
        <v>2.3909401935022586E-6</v>
      </c>
      <c r="AJ74" s="68">
        <f t="shared" si="40"/>
        <v>1.44392310405029E-5</v>
      </c>
      <c r="AK74" s="68">
        <f t="shared" si="41"/>
        <v>2.8976319423553626E-5</v>
      </c>
      <c r="AL74" s="68">
        <f t="shared" si="42"/>
        <v>4.1015061617580511</v>
      </c>
      <c r="AM74" s="68">
        <f t="shared" si="43"/>
        <v>410.46863210104402</v>
      </c>
      <c r="AN74" s="68">
        <f t="shared" si="44"/>
        <v>5.9679081085975222E-2</v>
      </c>
    </row>
    <row r="75" spans="1:40" x14ac:dyDescent="0.35">
      <c r="B75" s="80"/>
      <c r="C75" s="80"/>
      <c r="D75" s="81"/>
      <c r="E75" s="81"/>
      <c r="F75" s="81"/>
      <c r="G75" s="81"/>
      <c r="H75" s="81"/>
      <c r="I75" s="81"/>
      <c r="J75" s="81"/>
      <c r="K75" s="81"/>
      <c r="L75" s="81"/>
      <c r="M75" s="81"/>
      <c r="N75" s="119">
        <f>SUM(N60,N62:N74)</f>
        <v>4.7923527059869624</v>
      </c>
      <c r="O75" s="120">
        <f>SUM(O60,O62:O74)</f>
        <v>17.143999999999998</v>
      </c>
      <c r="Q75">
        <v>100</v>
      </c>
      <c r="R75" t="s">
        <v>417</v>
      </c>
      <c r="S75" s="68">
        <f t="shared" si="32"/>
        <v>1.4247450000000002</v>
      </c>
      <c r="T75" s="68">
        <f t="shared" si="29"/>
        <v>99.487908000000004</v>
      </c>
      <c r="U75" s="68">
        <f t="shared" si="29"/>
        <v>0.13569000000000001</v>
      </c>
      <c r="V75" s="68">
        <f t="shared" si="29"/>
        <v>441.47193800000002</v>
      </c>
      <c r="W75" s="68">
        <f t="shared" si="29"/>
        <v>1.8511236870000002E-6</v>
      </c>
      <c r="X75" s="68">
        <f t="shared" si="29"/>
        <v>3.6954357360000003E-6</v>
      </c>
      <c r="Y75" s="68">
        <f t="shared" si="29"/>
        <v>4.0050169939999997E-5</v>
      </c>
      <c r="Z75" s="68">
        <f t="shared" si="29"/>
        <v>21.534003000000002</v>
      </c>
      <c r="AA75" s="68">
        <f t="shared" si="29"/>
        <v>274.17069099999998</v>
      </c>
      <c r="AB75" s="68">
        <f t="shared" si="33"/>
        <v>0.11307500000000001</v>
      </c>
      <c r="AD75" t="s">
        <v>423</v>
      </c>
      <c r="AE75" s="68">
        <f t="shared" si="35"/>
        <v>1.4056</v>
      </c>
      <c r="AF75" s="68">
        <f t="shared" si="36"/>
        <v>1422.9726000000001</v>
      </c>
      <c r="AG75" s="68">
        <f t="shared" si="37"/>
        <v>2.6823999999999999</v>
      </c>
      <c r="AH75" s="68">
        <f t="shared" si="38"/>
        <v>208.21359999999999</v>
      </c>
      <c r="AI75" s="68">
        <f t="shared" si="39"/>
        <v>1.160285E-5</v>
      </c>
      <c r="AJ75" s="68">
        <f t="shared" si="40"/>
        <v>5.6532699999999995E-5</v>
      </c>
      <c r="AK75" s="68">
        <f t="shared" si="41"/>
        <v>2.1592339999999999E-5</v>
      </c>
      <c r="AL75" s="68">
        <f t="shared" si="42"/>
        <v>11.680200000000001</v>
      </c>
      <c r="AM75" s="68">
        <f t="shared" si="43"/>
        <v>200.7124</v>
      </c>
      <c r="AN75" s="68">
        <f t="shared" si="44"/>
        <v>0.20020000000000002</v>
      </c>
    </row>
    <row r="76" spans="1:40" x14ac:dyDescent="0.35">
      <c r="B76" s="76"/>
      <c r="C76" s="76"/>
      <c r="D76" s="79"/>
      <c r="E76" s="79"/>
      <c r="F76" s="79"/>
      <c r="G76" s="79"/>
      <c r="H76" s="79"/>
      <c r="I76" s="79"/>
      <c r="J76" s="79"/>
      <c r="K76" s="79"/>
      <c r="L76" s="79"/>
      <c r="M76" s="79"/>
      <c r="N76" s="3"/>
      <c r="Q76">
        <v>100</v>
      </c>
      <c r="R76" t="s">
        <v>417</v>
      </c>
      <c r="S76" s="68">
        <f t="shared" si="32"/>
        <v>4.466266E-2</v>
      </c>
      <c r="T76" s="68">
        <f t="shared" si="29"/>
        <v>51.266280520000002</v>
      </c>
      <c r="U76" s="68">
        <f t="shared" si="29"/>
        <v>4.0392900000000009E-2</v>
      </c>
      <c r="V76" s="68">
        <f t="shared" si="29"/>
        <v>10.698926860000002</v>
      </c>
      <c r="W76" s="68">
        <f t="shared" si="29"/>
        <v>5.531935020000001E-7</v>
      </c>
      <c r="X76" s="68">
        <f t="shared" si="29"/>
        <v>2.3886638599999999E-6</v>
      </c>
      <c r="Y76" s="68">
        <f t="shared" si="29"/>
        <v>2.35110938E-6</v>
      </c>
      <c r="Z76" s="68">
        <f t="shared" si="29"/>
        <v>0.53529690000000008</v>
      </c>
      <c r="AA76" s="68">
        <f t="shared" si="29"/>
        <v>17.1104567</v>
      </c>
      <c r="AB76" s="68">
        <f t="shared" si="33"/>
        <v>9.0853700000000006E-3</v>
      </c>
      <c r="AD76" t="s">
        <v>424</v>
      </c>
      <c r="AE76" s="68">
        <f t="shared" si="35"/>
        <v>4.4748094879999999E-2</v>
      </c>
      <c r="AF76" s="68">
        <f t="shared" si="36"/>
        <v>3.7091329117599998</v>
      </c>
      <c r="AG76" s="68">
        <f t="shared" si="37"/>
        <v>2.1768855199999996E-3</v>
      </c>
      <c r="AH76" s="68">
        <f t="shared" si="38"/>
        <v>0.35764151568000002</v>
      </c>
      <c r="AI76" s="68">
        <f t="shared" si="39"/>
        <v>3.1312917479199997E-8</v>
      </c>
      <c r="AJ76" s="68">
        <f t="shared" si="40"/>
        <v>1.69175619424E-7</v>
      </c>
      <c r="AK76" s="68">
        <f t="shared" si="41"/>
        <v>1.2275195498399998E-7</v>
      </c>
      <c r="AL76" s="68">
        <f t="shared" si="42"/>
        <v>1.515690416E-2</v>
      </c>
      <c r="AM76" s="68">
        <f t="shared" si="43"/>
        <v>2.1428682964799997</v>
      </c>
      <c r="AN76" s="68">
        <f t="shared" si="44"/>
        <v>2.88143768E-3</v>
      </c>
    </row>
    <row r="77" spans="1:40" x14ac:dyDescent="0.35">
      <c r="C77" s="65" t="s">
        <v>486</v>
      </c>
      <c r="D77" s="22">
        <f t="shared" ref="D77:L77" si="47">SUM(D58:D74)</f>
        <v>6.9055836595646998</v>
      </c>
      <c r="E77" s="22">
        <f t="shared" si="47"/>
        <v>2765.6802901802193</v>
      </c>
      <c r="F77" s="22">
        <f t="shared" si="47"/>
        <v>2.3236420790817842</v>
      </c>
      <c r="G77" s="22">
        <f t="shared" si="47"/>
        <v>1013.8929845349581</v>
      </c>
      <c r="H77" s="22">
        <f t="shared" si="47"/>
        <v>1.9822703460695275E-5</v>
      </c>
      <c r="I77" s="22">
        <f t="shared" si="47"/>
        <v>1.246962436309576E-4</v>
      </c>
      <c r="J77" s="22">
        <f t="shared" si="47"/>
        <v>2.3323628224190853E-4</v>
      </c>
      <c r="K77" s="22">
        <f t="shared" si="47"/>
        <v>65.005782799705031</v>
      </c>
      <c r="L77" s="22">
        <f t="shared" si="47"/>
        <v>1634.5264317882356</v>
      </c>
      <c r="M77" s="22">
        <f>ABS(SUM(M58:M74))</f>
        <v>0.18810827193457214</v>
      </c>
      <c r="N77" s="3"/>
      <c r="Q77">
        <v>100</v>
      </c>
      <c r="R77" t="s">
        <v>417</v>
      </c>
      <c r="S77" s="68">
        <f t="shared" si="32"/>
        <v>0.36276000000000003</v>
      </c>
      <c r="T77" s="68">
        <f t="shared" si="29"/>
        <v>270.84419000000003</v>
      </c>
      <c r="U77" s="68">
        <f t="shared" si="29"/>
        <v>0.14602999999999999</v>
      </c>
      <c r="V77" s="68">
        <f t="shared" si="29"/>
        <v>57.131450000000001</v>
      </c>
      <c r="W77" s="68">
        <f t="shared" si="29"/>
        <v>5.28846E-6</v>
      </c>
      <c r="X77" s="68">
        <f t="shared" si="29"/>
        <v>9.9845999999999992E-6</v>
      </c>
      <c r="Y77" s="68">
        <f t="shared" si="29"/>
        <v>7.6537900000000005E-6</v>
      </c>
      <c r="Z77" s="68">
        <f t="shared" si="29"/>
        <v>7.9703499999999998</v>
      </c>
      <c r="AA77" s="68">
        <f t="shared" si="29"/>
        <v>66.697630000000004</v>
      </c>
      <c r="AB77" s="68">
        <f t="shared" si="33"/>
        <v>7.8369999999999995E-2</v>
      </c>
      <c r="AD77" t="s">
        <v>425</v>
      </c>
      <c r="AE77" s="68">
        <f t="shared" si="35"/>
        <v>0.73813550591072985</v>
      </c>
      <c r="AF77" s="68">
        <f t="shared" si="36"/>
        <v>4.399549365407351E-4</v>
      </c>
      <c r="AG77" s="68">
        <f t="shared" si="37"/>
        <v>1.2215008372045174E-2</v>
      </c>
      <c r="AH77" s="68">
        <f t="shared" si="38"/>
        <v>0.78263303640889448</v>
      </c>
      <c r="AI77" s="68">
        <f t="shared" si="39"/>
        <v>2.7799439553459211E-12</v>
      </c>
      <c r="AJ77" s="68">
        <f t="shared" si="40"/>
        <v>2.8476849017748912E-13</v>
      </c>
      <c r="AK77" s="68">
        <f t="shared" si="41"/>
        <v>0</v>
      </c>
      <c r="AL77" s="68">
        <f t="shared" si="42"/>
        <v>6.4565044252238774E-2</v>
      </c>
      <c r="AM77" s="68">
        <f t="shared" si="43"/>
        <v>0.98854317753765586</v>
      </c>
      <c r="AN77" s="68">
        <f t="shared" si="44"/>
        <v>4.4497530498164566E-2</v>
      </c>
    </row>
    <row r="78" spans="1:40" x14ac:dyDescent="0.35">
      <c r="C78" s="65" t="s">
        <v>582</v>
      </c>
      <c r="D78" s="22">
        <f>D77/'Process Model'!$R$4</f>
        <v>1.4616274807396204E-2</v>
      </c>
      <c r="E78" s="22">
        <f>E77/'Process Model'!$R$4</f>
        <v>5.8538054339090468</v>
      </c>
      <c r="F78" s="22">
        <f>F77/'Process Model'!$R$4</f>
        <v>4.9181927055286321E-3</v>
      </c>
      <c r="G78" s="22">
        <f>G77/'Process Model'!$R$4</f>
        <v>2.1459936216583624</v>
      </c>
      <c r="H78" s="22">
        <f>H77/'Process Model'!$R$4</f>
        <v>4.1956494264716438E-8</v>
      </c>
      <c r="I78" s="22">
        <f>I77/'Process Model'!$R$4</f>
        <v>2.6393056028445741E-7</v>
      </c>
      <c r="J78" s="22">
        <f>J77/'Process Model'!$R$4</f>
        <v>4.9366509253441599E-7</v>
      </c>
      <c r="K78" s="22">
        <f>K77/'Process Model'!$R$4</f>
        <v>0.13759045322032798</v>
      </c>
      <c r="L78" s="22">
        <f>L77/'Process Model'!$R$4</f>
        <v>3.4596188656522004</v>
      </c>
      <c r="M78" s="22">
        <f>M77/'Process Model'!$R$4</f>
        <v>3.9814769202483816E-4</v>
      </c>
      <c r="N78" s="3"/>
      <c r="Q78">
        <v>100</v>
      </c>
      <c r="R78" t="s">
        <v>417</v>
      </c>
      <c r="S78" s="68">
        <f t="shared" si="32"/>
        <v>0.13045000000000001</v>
      </c>
      <c r="T78" s="68">
        <f t="shared" si="29"/>
        <v>83.376099999999994</v>
      </c>
      <c r="U78" s="68">
        <f t="shared" si="29"/>
        <v>4.3459999999999999E-2</v>
      </c>
      <c r="V78" s="68">
        <f t="shared" si="29"/>
        <v>17.24485</v>
      </c>
      <c r="W78" s="68">
        <f t="shared" si="29"/>
        <v>1.03678E-6</v>
      </c>
      <c r="X78" s="68">
        <f t="shared" si="29"/>
        <v>3.7643300000000001E-6</v>
      </c>
      <c r="Y78" s="68">
        <f t="shared" si="29"/>
        <v>3.0117599999999999E-6</v>
      </c>
      <c r="Z78" s="68">
        <f t="shared" si="29"/>
        <v>3.17198</v>
      </c>
      <c r="AA78" s="68">
        <f t="shared" si="29"/>
        <v>26.205690000000001</v>
      </c>
      <c r="AB78" s="68">
        <f t="shared" si="33"/>
        <v>1.9990000000000001E-2</v>
      </c>
      <c r="AD78" t="s">
        <v>426</v>
      </c>
      <c r="AE78" s="68">
        <f t="shared" si="35"/>
        <v>9.9488844E-3</v>
      </c>
      <c r="AF78" s="68">
        <f t="shared" si="36"/>
        <v>16.024610805840002</v>
      </c>
      <c r="AG78" s="68">
        <f t="shared" si="37"/>
        <v>6.2610256799999998E-3</v>
      </c>
      <c r="AH78" s="68">
        <f t="shared" si="38"/>
        <v>2.2133194574399999</v>
      </c>
      <c r="AI78" s="68">
        <f t="shared" si="39"/>
        <v>1.22429617128E-7</v>
      </c>
      <c r="AJ78" s="68">
        <f t="shared" si="40"/>
        <v>7.6406911307999993E-7</v>
      </c>
      <c r="AK78" s="68">
        <f t="shared" si="41"/>
        <v>1.7999042443200003E-7</v>
      </c>
      <c r="AL78" s="68">
        <f t="shared" si="42"/>
        <v>8.9602465680000007E-2</v>
      </c>
      <c r="AM78" s="68">
        <f t="shared" si="43"/>
        <v>2.6167336977600004</v>
      </c>
      <c r="AN78" s="68">
        <f t="shared" si="44"/>
        <v>1.5105635999999999E-3</v>
      </c>
    </row>
    <row r="79" spans="1:40" x14ac:dyDescent="0.35">
      <c r="B79" s="102">
        <f>D58/D77</f>
        <v>0.38357615483623148</v>
      </c>
      <c r="C79" s="65" t="s">
        <v>586</v>
      </c>
      <c r="D79">
        <f>D77/'Process Model'!$R$9</f>
        <v>1.6957457766466572E-4</v>
      </c>
      <c r="E79">
        <f>E77/'Process Model'!$R$9</f>
        <v>6.7914471865563361E-2</v>
      </c>
      <c r="F79">
        <f>F77/'Process Model'!$R$9</f>
        <v>5.7059713360851161E-5</v>
      </c>
      <c r="G79" s="41">
        <f>G77/'Process Model'!$R$9</f>
        <v>2.4897312540924425E-2</v>
      </c>
      <c r="H79">
        <f>H77/'Process Model'!$R$9</f>
        <v>4.8676936421782487E-10</v>
      </c>
      <c r="I79">
        <f>I77/'Process Model'!$R$9</f>
        <v>3.0620601954191393E-9</v>
      </c>
      <c r="J79">
        <f>J77/'Process Model'!$R$9</f>
        <v>5.7273861279585959E-9</v>
      </c>
      <c r="K79">
        <f>K77/'Process Model'!$R$9</f>
        <v>1.596292030834051E-3</v>
      </c>
      <c r="L79">
        <f>L77/'Process Model'!$R$9</f>
        <v>4.0137683216438659E-2</v>
      </c>
      <c r="M79">
        <f>M77/'Process Model'!$R$9</f>
        <v>4.6192157449796081E-6</v>
      </c>
      <c r="N79" s="3"/>
      <c r="Q79">
        <v>100</v>
      </c>
      <c r="R79" t="s">
        <v>417</v>
      </c>
      <c r="S79" s="68">
        <f t="shared" si="32"/>
        <v>0.88478000000000001</v>
      </c>
      <c r="T79" s="68">
        <f t="shared" si="29"/>
        <v>547.03817000000004</v>
      </c>
      <c r="U79" s="68">
        <f t="shared" si="29"/>
        <v>0.28473999999999999</v>
      </c>
      <c r="V79" s="68">
        <f t="shared" si="29"/>
        <v>113.82844</v>
      </c>
      <c r="W79" s="68">
        <f t="shared" si="29"/>
        <v>6.6293199999999999E-6</v>
      </c>
      <c r="X79" s="68">
        <f t="shared" si="29"/>
        <v>2.48619E-5</v>
      </c>
      <c r="Y79" s="68">
        <f t="shared" si="29"/>
        <v>2.01212E-5</v>
      </c>
      <c r="Z79" s="68">
        <f t="shared" si="29"/>
        <v>21.88522</v>
      </c>
      <c r="AA79" s="68">
        <f t="shared" si="29"/>
        <v>174.78767999999999</v>
      </c>
      <c r="AB79" s="68">
        <f t="shared" si="33"/>
        <v>7.4770000000000003E-2</v>
      </c>
      <c r="AD79" t="s">
        <v>428</v>
      </c>
      <c r="AE79" s="68">
        <f t="shared" si="35"/>
        <v>4.911192E-4</v>
      </c>
      <c r="AF79" s="68">
        <f t="shared" si="36"/>
        <v>0.31086505943999998</v>
      </c>
      <c r="AG79" s="68">
        <f t="shared" si="37"/>
        <v>3.6164231999999999E-4</v>
      </c>
      <c r="AH79" s="68">
        <f t="shared" si="38"/>
        <v>0.10486287863999999</v>
      </c>
      <c r="AI79" s="68">
        <f t="shared" si="39"/>
        <v>5.2835050008E-9</v>
      </c>
      <c r="AJ79" s="68">
        <f t="shared" si="40"/>
        <v>1.4626154836799998E-8</v>
      </c>
      <c r="AK79" s="68">
        <f t="shared" si="41"/>
        <v>5.1700118183999997E-9</v>
      </c>
      <c r="AL79" s="68">
        <f t="shared" si="42"/>
        <v>5.7996712799999999E-3</v>
      </c>
      <c r="AM79" s="68">
        <f t="shared" si="43"/>
        <v>6.3707089679999995E-2</v>
      </c>
      <c r="AN79" s="68">
        <f t="shared" si="44"/>
        <v>1.8528587999999999E-4</v>
      </c>
    </row>
    <row r="80" spans="1:40" x14ac:dyDescent="0.35">
      <c r="C80" s="65"/>
      <c r="D80" s="79"/>
      <c r="E80" s="79"/>
      <c r="F80" s="143">
        <f>G79/G80</f>
        <v>0.62088061199312783</v>
      </c>
      <c r="G80" s="22">
        <v>4.0099999999999997E-2</v>
      </c>
      <c r="H80" t="s">
        <v>996</v>
      </c>
      <c r="I80" s="79" t="s">
        <v>995</v>
      </c>
      <c r="J80" s="22"/>
      <c r="K80" s="79"/>
      <c r="L80" s="79"/>
      <c r="M80" s="79"/>
      <c r="N80" s="3"/>
      <c r="Q80">
        <v>100</v>
      </c>
      <c r="R80" t="s">
        <v>417</v>
      </c>
      <c r="S80" s="68">
        <f t="shared" si="32"/>
        <v>0.29953999999999997</v>
      </c>
      <c r="T80" s="68">
        <f t="shared" si="29"/>
        <v>77.610789999999994</v>
      </c>
      <c r="U80" s="68">
        <f t="shared" si="29"/>
        <v>5.6489999999999999E-2</v>
      </c>
      <c r="V80" s="68">
        <f t="shared" si="29"/>
        <v>33.603029999999997</v>
      </c>
      <c r="W80" s="68">
        <f t="shared" si="29"/>
        <v>1.10935E-6</v>
      </c>
      <c r="X80" s="68">
        <f t="shared" si="29"/>
        <v>3.3766399999999998E-6</v>
      </c>
      <c r="Y80" s="68">
        <f t="shared" si="29"/>
        <v>6.9960399999999999E-6</v>
      </c>
      <c r="Z80" s="68">
        <f t="shared" si="29"/>
        <v>8.4742300000000004</v>
      </c>
      <c r="AA80" s="68">
        <f t="shared" si="29"/>
        <v>59.1584</v>
      </c>
      <c r="AB80" s="68">
        <f t="shared" si="33"/>
        <v>3.7280000000000001E-2</v>
      </c>
      <c r="AD80" t="s">
        <v>429</v>
      </c>
      <c r="AE80" s="68">
        <f t="shared" si="35"/>
        <v>2.1344255999999999E-3</v>
      </c>
      <c r="AF80" s="68">
        <f t="shared" si="36"/>
        <v>1.9904956415999999</v>
      </c>
      <c r="AG80" s="68">
        <f t="shared" si="37"/>
        <v>1.0285056000000001E-3</v>
      </c>
      <c r="AH80" s="68">
        <f t="shared" si="38"/>
        <v>0.24536770559999999</v>
      </c>
      <c r="AI80" s="68">
        <f t="shared" si="39"/>
        <v>1.6347460608E-8</v>
      </c>
      <c r="AJ80" s="68">
        <f t="shared" si="40"/>
        <v>9.4920837120000002E-8</v>
      </c>
      <c r="AK80" s="68">
        <f t="shared" si="41"/>
        <v>1.0919245823999999E-8</v>
      </c>
      <c r="AL80" s="68">
        <f t="shared" si="42"/>
        <v>1.2286771200000001E-2</v>
      </c>
      <c r="AM80" s="68">
        <f t="shared" si="43"/>
        <v>0.1034919936</v>
      </c>
      <c r="AN80" s="68">
        <f t="shared" si="44"/>
        <v>2.2671360000000001E-4</v>
      </c>
    </row>
    <row r="81" spans="2:28" ht="29" x14ac:dyDescent="0.35">
      <c r="B81" s="77"/>
      <c r="C81" s="66" t="s">
        <v>412</v>
      </c>
      <c r="D81" s="71" t="s">
        <v>487</v>
      </c>
      <c r="E81" s="71" t="s">
        <v>488</v>
      </c>
      <c r="F81" s="71" t="s">
        <v>489</v>
      </c>
      <c r="G81" s="71" t="s">
        <v>476</v>
      </c>
      <c r="H81" s="71" t="s">
        <v>490</v>
      </c>
      <c r="I81" s="71" t="s">
        <v>491</v>
      </c>
      <c r="J81" s="71" t="s">
        <v>492</v>
      </c>
      <c r="K81" s="71" t="s">
        <v>493</v>
      </c>
      <c r="L81" s="71" t="s">
        <v>494</v>
      </c>
      <c r="M81" s="71" t="s">
        <v>495</v>
      </c>
      <c r="N81" s="3"/>
      <c r="Q81">
        <v>100</v>
      </c>
      <c r="R81" t="s">
        <v>417</v>
      </c>
      <c r="S81" s="68">
        <f t="shared" si="32"/>
        <v>0</v>
      </c>
      <c r="T81" s="68">
        <f t="shared" si="29"/>
        <v>0</v>
      </c>
      <c r="U81" s="68">
        <f t="shared" si="29"/>
        <v>0</v>
      </c>
      <c r="V81" s="68">
        <f t="shared" si="29"/>
        <v>0</v>
      </c>
      <c r="W81" s="68">
        <f t="shared" si="29"/>
        <v>0</v>
      </c>
      <c r="X81" s="68">
        <f t="shared" si="29"/>
        <v>0</v>
      </c>
      <c r="Y81" s="68">
        <f t="shared" si="29"/>
        <v>0</v>
      </c>
      <c r="Z81" s="68">
        <f t="shared" si="29"/>
        <v>0</v>
      </c>
      <c r="AA81" s="68">
        <f t="shared" si="29"/>
        <v>0</v>
      </c>
      <c r="AB81" s="68">
        <f t="shared" si="33"/>
        <v>0</v>
      </c>
    </row>
    <row r="82" spans="2:28" x14ac:dyDescent="0.35">
      <c r="B82" s="77"/>
      <c r="C82" s="66" t="s">
        <v>414</v>
      </c>
      <c r="D82" s="312">
        <f>D40/D$77*Outputs!$M$9</f>
        <v>3.1875646853136173E-2</v>
      </c>
      <c r="E82" s="312">
        <f>E40/E$77*Outputs!$M$9</f>
        <v>7.7837093224457426E-3</v>
      </c>
      <c r="F82" s="312">
        <f>F40/F$77*Outputs!$M$9</f>
        <v>8.8641101406730344E-2</v>
      </c>
      <c r="G82" s="312">
        <f>G40/G$77*Outputs!$M$9</f>
        <v>9.3093493029289594E-3</v>
      </c>
      <c r="H82" s="312">
        <f>H40/H$77*Outputs!$M$9</f>
        <v>1.6205079662613815E-2</v>
      </c>
      <c r="I82" s="312">
        <f>I40/I$77*Outputs!$M$9</f>
        <v>7.2502875761671758E-3</v>
      </c>
      <c r="J82" s="312">
        <f>J40/J$77*Outputs!$M$9</f>
        <v>2.168733848647064E-3</v>
      </c>
      <c r="K82" s="312">
        <f>K40/K$77*Outputs!$M$9</f>
        <v>9.9873272256933883E-3</v>
      </c>
      <c r="L82" s="312">
        <f>L40/L$77*Outputs!$M$9</f>
        <v>2.9169544270330958E-3</v>
      </c>
      <c r="M82" s="312">
        <f>M40/M$77*Outputs!$M$9</f>
        <v>6.854846273307949E-2</v>
      </c>
      <c r="N82" s="3"/>
      <c r="Q82">
        <v>100</v>
      </c>
      <c r="R82" t="s">
        <v>417</v>
      </c>
      <c r="S82" s="68">
        <f t="shared" si="32"/>
        <v>0.30092124000000003</v>
      </c>
      <c r="T82" s="68">
        <f t="shared" si="29"/>
        <v>125.24524547999999</v>
      </c>
      <c r="U82" s="68">
        <f t="shared" si="29"/>
        <v>7.9100320000000016E-2</v>
      </c>
      <c r="V82" s="68">
        <f t="shared" si="29"/>
        <v>39.018022440000003</v>
      </c>
      <c r="W82" s="68">
        <f t="shared" si="29"/>
        <v>2.0755154440000004E-6</v>
      </c>
      <c r="X82" s="68">
        <f t="shared" si="29"/>
        <v>5.1766327519999999E-6</v>
      </c>
      <c r="Y82" s="68">
        <f t="shared" si="29"/>
        <v>7.1743542840000001E-6</v>
      </c>
      <c r="Z82" s="68">
        <f t="shared" si="29"/>
        <v>7.8218942</v>
      </c>
      <c r="AA82" s="68">
        <f t="shared" si="29"/>
        <v>61.357957160000005</v>
      </c>
      <c r="AB82" s="68">
        <f t="shared" si="33"/>
        <v>5.2345800000000005E-2</v>
      </c>
    </row>
    <row r="83" spans="2:28" x14ac:dyDescent="0.35">
      <c r="B83" s="77"/>
      <c r="C83" s="112" t="s">
        <v>415</v>
      </c>
      <c r="D83" s="313">
        <f>D41/D$77*Outputs!$M$9</f>
        <v>0</v>
      </c>
      <c r="E83" s="313">
        <f>E41/E$77*Outputs!$M$9</f>
        <v>0</v>
      </c>
      <c r="F83" s="313">
        <f>F41/F$77*Outputs!$M$9</f>
        <v>0</v>
      </c>
      <c r="G83" s="313">
        <f>G41/G$77*Outputs!$M$9</f>
        <v>0</v>
      </c>
      <c r="H83" s="313">
        <f>H41/H$77*Outputs!$M$9</f>
        <v>0</v>
      </c>
      <c r="I83" s="313">
        <f>I41/I$77*Outputs!$M$9</f>
        <v>0</v>
      </c>
      <c r="J83" s="313">
        <f>J41/J$77*Outputs!$M$9</f>
        <v>0</v>
      </c>
      <c r="K83" s="313">
        <f>K41/K$77*Outputs!$M$9</f>
        <v>0</v>
      </c>
      <c r="L83" s="313">
        <f>L41/L$77*Outputs!$M$9</f>
        <v>0</v>
      </c>
      <c r="M83" s="313">
        <f>M41/M$77*Outputs!$M$9</f>
        <v>0</v>
      </c>
      <c r="N83" s="3"/>
      <c r="Q83">
        <v>100</v>
      </c>
      <c r="R83" t="s">
        <v>417</v>
      </c>
      <c r="S83" s="68">
        <f t="shared" si="32"/>
        <v>0.10853924000000001</v>
      </c>
      <c r="T83" s="68">
        <f t="shared" si="29"/>
        <v>15.968600800000001</v>
      </c>
      <c r="U83" s="68">
        <f t="shared" si="29"/>
        <v>1.61064E-2</v>
      </c>
      <c r="V83" s="68">
        <f t="shared" si="29"/>
        <v>12.377947360000002</v>
      </c>
      <c r="W83" s="68">
        <f t="shared" si="29"/>
        <v>2.29677264E-7</v>
      </c>
      <c r="X83" s="68">
        <f t="shared" si="29"/>
        <v>6.9364717040000001E-7</v>
      </c>
      <c r="Y83" s="68">
        <f t="shared" si="29"/>
        <v>2.8152823960000001E-6</v>
      </c>
      <c r="Z83" s="68">
        <f t="shared" si="29"/>
        <v>3.14665368</v>
      </c>
      <c r="AA83" s="68">
        <f t="shared" si="29"/>
        <v>23.626209720000002</v>
      </c>
      <c r="AB83" s="68">
        <f t="shared" si="33"/>
        <v>1.5658999999999999E-2</v>
      </c>
    </row>
    <row r="84" spans="2:28" x14ac:dyDescent="0.35">
      <c r="B84" s="65"/>
      <c r="C84" s="65" t="s">
        <v>416</v>
      </c>
      <c r="D84" s="312">
        <f>D42/D$77*Outputs!$M$9</f>
        <v>0.13638218785516906</v>
      </c>
      <c r="E84" s="312">
        <f>E42/E$77*Outputs!$M$9</f>
        <v>0.22572320956017577</v>
      </c>
      <c r="F84" s="312">
        <f>F42/F$77*Outputs!$M$9</f>
        <v>0.13122236259589842</v>
      </c>
      <c r="G84" s="312">
        <f>G42/G$77*Outputs!$M$9</f>
        <v>0.17235336721317732</v>
      </c>
      <c r="H84" s="312">
        <f>H42/H$77*Outputs!$M$9</f>
        <v>0.24548385847797519</v>
      </c>
      <c r="I84" s="312">
        <f>I42/I$77*Outputs!$M$9</f>
        <v>0.23323828309492867</v>
      </c>
      <c r="J84" s="312">
        <f>J42/J$77*Outputs!$M$9</f>
        <v>0.1332615795668895</v>
      </c>
      <c r="K84" s="312">
        <f>K42/K$77*Outputs!$M$9</f>
        <v>8.6271163682105134E-2</v>
      </c>
      <c r="L84" s="312">
        <f>L42/L$77*Outputs!$M$9</f>
        <v>0.23999162152639472</v>
      </c>
      <c r="M84" s="312">
        <f>M42/M$77*Outputs!$M$9</f>
        <v>0.83813543831304194</v>
      </c>
      <c r="N84" s="3"/>
      <c r="Q84">
        <v>100</v>
      </c>
      <c r="R84" t="s">
        <v>417</v>
      </c>
      <c r="S84" s="68">
        <f t="shared" si="32"/>
        <v>0.44900415764738821</v>
      </c>
      <c r="T84" s="68">
        <f t="shared" si="29"/>
        <v>282.27507243136148</v>
      </c>
      <c r="U84" s="68">
        <f t="shared" si="29"/>
        <v>0.16879855550653694</v>
      </c>
      <c r="V84" s="68">
        <f t="shared" si="29"/>
        <v>71.817033425811204</v>
      </c>
      <c r="W84" s="68">
        <f t="shared" si="29"/>
        <v>6.9763430199518676E-6</v>
      </c>
      <c r="X84" s="68">
        <f t="shared" si="29"/>
        <v>1.2056099229943387E-5</v>
      </c>
      <c r="Y84" s="68">
        <f t="shared" si="29"/>
        <v>9.5122374790376721E-6</v>
      </c>
      <c r="Z84" s="68">
        <f t="shared" si="29"/>
        <v>9.1860173906657394</v>
      </c>
      <c r="AA84" s="68">
        <f t="shared" si="29"/>
        <v>84.449917319920417</v>
      </c>
      <c r="AB84" s="68">
        <f t="shared" si="33"/>
        <v>8.77752488633992E-2</v>
      </c>
    </row>
    <row r="85" spans="2:28" x14ac:dyDescent="0.35">
      <c r="B85" s="65"/>
      <c r="C85" s="66" t="s">
        <v>417</v>
      </c>
      <c r="D85" s="312">
        <f>D43/D$77*Outputs!$M$9</f>
        <v>6.1164028100010107E-3</v>
      </c>
      <c r="E85" s="312">
        <f>E43/E$77*Outputs!$M$9</f>
        <v>1.3536348594648922E-2</v>
      </c>
      <c r="F85" s="312">
        <f>F43/F$77*Outputs!$M$9</f>
        <v>1.1748949706370469E-2</v>
      </c>
      <c r="G85" s="312">
        <f>G43/G$77*Outputs!$M$9</f>
        <v>5.6266442952084125E-3</v>
      </c>
      <c r="H85" s="312">
        <f>H43/H$77*Outputs!$M$9</f>
        <v>1.519656237636219E-2</v>
      </c>
      <c r="I85" s="312">
        <f>I43/I$77*Outputs!$M$9</f>
        <v>1.6748273537520772E-2</v>
      </c>
      <c r="J85" s="312">
        <f>J43/J$77*Outputs!$M$9</f>
        <v>2.9341954212011704E-3</v>
      </c>
      <c r="K85" s="312">
        <f>K43/K$77*Outputs!$M$9</f>
        <v>1.2377802343516719E-2</v>
      </c>
      <c r="L85" s="312">
        <f>L43/L$77*Outputs!$M$9</f>
        <v>5.0480469190701538E-3</v>
      </c>
      <c r="M85" s="312">
        <f>M43/M$77*Outputs!$M$9</f>
        <v>4.6409749205199566E-2</v>
      </c>
      <c r="N85" s="3"/>
      <c r="Q85">
        <v>100</v>
      </c>
      <c r="R85" t="s">
        <v>417</v>
      </c>
      <c r="S85" s="68">
        <f t="shared" si="32"/>
        <v>0.31969768496981954</v>
      </c>
      <c r="T85" s="68">
        <f t="shared" si="29"/>
        <v>135.58980231056623</v>
      </c>
      <c r="U85" s="68">
        <f t="shared" si="29"/>
        <v>6.0141148657688825E-2</v>
      </c>
      <c r="V85" s="68">
        <f t="shared" si="29"/>
        <v>51.756206405361574</v>
      </c>
      <c r="W85" s="68">
        <f t="shared" si="29"/>
        <v>1.5128252718952537E-6</v>
      </c>
      <c r="X85" s="68">
        <f t="shared" si="29"/>
        <v>5.2112938376610084E-6</v>
      </c>
      <c r="Y85" s="68">
        <f t="shared" si="29"/>
        <v>1.2809210026712056E-5</v>
      </c>
      <c r="Z85" s="68">
        <f t="shared" si="29"/>
        <v>8.7267972025920049</v>
      </c>
      <c r="AA85" s="68">
        <f t="shared" si="29"/>
        <v>107.57035768331036</v>
      </c>
      <c r="AB85" s="68">
        <f t="shared" si="33"/>
        <v>3.0982725634564737E-2</v>
      </c>
    </row>
    <row r="86" spans="2:28" x14ac:dyDescent="0.35">
      <c r="B86" s="65"/>
      <c r="C86" s="66" t="s">
        <v>418</v>
      </c>
      <c r="D86" s="312">
        <f>D44/D$77*Outputs!$M$9</f>
        <v>7.2479306760297353E-3</v>
      </c>
      <c r="E86" s="312">
        <f>E44/E$77*Outputs!$M$9</f>
        <v>4.59099585112442E-2</v>
      </c>
      <c r="F86" s="312">
        <f>F44/F$77*Outputs!$M$9</f>
        <v>1.816115515618685E-2</v>
      </c>
      <c r="G86" s="312">
        <f>G44/G$77*Outputs!$M$9</f>
        <v>1.2789015920589446E-2</v>
      </c>
      <c r="H86" s="312">
        <f>H44/H$77*Outputs!$M$9</f>
        <v>4.6663170147063802E-2</v>
      </c>
      <c r="I86" s="312">
        <f>I44/I$77*Outputs!$M$9</f>
        <v>4.8353503235082376E-2</v>
      </c>
      <c r="J86" s="312">
        <f>J44/J$77*Outputs!$M$9</f>
        <v>9.8468938159829503E-3</v>
      </c>
      <c r="K86" s="312">
        <f>K44/K$77*Outputs!$M$9</f>
        <v>1.0194286765867184E-2</v>
      </c>
      <c r="L86" s="312">
        <f>L44/L$77*Outputs!$M$9</f>
        <v>1.4497646102179245E-2</v>
      </c>
      <c r="M86" s="312">
        <f>M44/M$77*Outputs!$M$9</f>
        <v>4.4346084241187689E-2</v>
      </c>
      <c r="N86" s="3"/>
    </row>
    <row r="87" spans="2:28" x14ac:dyDescent="0.35">
      <c r="B87" s="65"/>
      <c r="C87" s="66" t="s">
        <v>419</v>
      </c>
      <c r="D87" s="312">
        <f>D45/D$77*Outputs!$M$9</f>
        <v>6.6526307797396697E-2</v>
      </c>
      <c r="E87" s="312">
        <f>E45/E$77*Outputs!$M$9</f>
        <v>1.1599118741459418E-2</v>
      </c>
      <c r="F87" s="312">
        <f>F45/F$77*Outputs!$M$9</f>
        <v>1.8829347919866873E-2</v>
      </c>
      <c r="G87" s="312">
        <f>G45/G$77*Outputs!$M$9</f>
        <v>0.14040017699439175</v>
      </c>
      <c r="H87" s="312">
        <f>H45/H$77*Outputs!$M$9</f>
        <v>3.011128047876065E-2</v>
      </c>
      <c r="I87" s="312">
        <f>I45/I$77*Outputs!$M$9</f>
        <v>9.555841852306771E-3</v>
      </c>
      <c r="J87" s="312">
        <f>J45/J$77*Outputs!$M$9</f>
        <v>5.5368776043715456E-2</v>
      </c>
      <c r="K87" s="312">
        <f>K45/K$77*Outputs!$M$9</f>
        <v>0.10681431189630332</v>
      </c>
      <c r="L87" s="312">
        <f>L45/L$77*Outputs!$M$9</f>
        <v>5.4086110237881915E-2</v>
      </c>
      <c r="M87" s="312">
        <f>M45/M$77*Outputs!$M$9</f>
        <v>0.19382749049393125</v>
      </c>
      <c r="N87" s="3"/>
    </row>
    <row r="88" spans="2:28" x14ac:dyDescent="0.35">
      <c r="B88" s="65"/>
      <c r="C88" s="66" t="s">
        <v>51</v>
      </c>
      <c r="D88" s="312">
        <f>D46/D$77*Outputs!$M$9</f>
        <v>2.0854551980954324E-3</v>
      </c>
      <c r="E88" s="312">
        <f>E46/E$77*Outputs!$M$9</f>
        <v>5.9770447196904357E-3</v>
      </c>
      <c r="F88" s="312">
        <f>F46/F$77*Outputs!$M$9</f>
        <v>5.6052175369768658E-3</v>
      </c>
      <c r="G88" s="312">
        <f>G46/G$77*Outputs!$M$9</f>
        <v>3.4025519982066265E-3</v>
      </c>
      <c r="H88" s="312">
        <f>H46/H$77*Outputs!$M$9</f>
        <v>8.9985152341415867E-3</v>
      </c>
      <c r="I88" s="312">
        <f>I46/I$77*Outputs!$M$9</f>
        <v>6.1767260250580195E-3</v>
      </c>
      <c r="J88" s="312">
        <f>J46/J$77*Outputs!$M$9</f>
        <v>3.2503744406208804E-3</v>
      </c>
      <c r="K88" s="312">
        <f>K46/K$77*Outputs!$M$9</f>
        <v>2.6552132473337303E-3</v>
      </c>
      <c r="L88" s="312">
        <f>L46/L$77*Outputs!$M$9</f>
        <v>3.3754083776106666E-3</v>
      </c>
      <c r="M88" s="312">
        <f>M46/M$77*Outputs!$M$9</f>
        <v>1.5573685317787736E-2</v>
      </c>
      <c r="N88" s="3"/>
    </row>
    <row r="89" spans="2:28" x14ac:dyDescent="0.35">
      <c r="B89" s="65"/>
      <c r="C89" s="66" t="s">
        <v>448</v>
      </c>
      <c r="D89" s="312">
        <f>D47/D$77*Outputs!$M$9</f>
        <v>1.693852823949803E-2</v>
      </c>
      <c r="E89" s="312">
        <f>E47/E$77*Outputs!$M$9</f>
        <v>3.1577243741464499E-2</v>
      </c>
      <c r="F89" s="312">
        <f>F47/F$77*Outputs!$M$9</f>
        <v>2.0264202791201707E-2</v>
      </c>
      <c r="G89" s="312">
        <f>G47/G$77*Outputs!$M$9</f>
        <v>1.8169367068459608E-2</v>
      </c>
      <c r="H89" s="312">
        <f>H47/H$77*Outputs!$M$9</f>
        <v>8.6024668950555397E-2</v>
      </c>
      <c r="I89" s="312">
        <f>I47/I$77*Outputs!$M$9</f>
        <v>2.5818676165592552E-2</v>
      </c>
      <c r="J89" s="312">
        <f>J47/J$77*Outputs!$M$9</f>
        <v>1.0581253089075631E-2</v>
      </c>
      <c r="K89" s="312">
        <f>K47/K$77*Outputs!$M$9</f>
        <v>3.953502982342396E-2</v>
      </c>
      <c r="L89" s="312">
        <f>L47/L$77*Outputs!$M$9</f>
        <v>1.3157552893884856E-2</v>
      </c>
      <c r="M89" s="312">
        <f>M47/M$77*Outputs!$M$9</f>
        <v>0.13433792111438769</v>
      </c>
      <c r="N89" s="3"/>
    </row>
    <row r="90" spans="2:28" x14ac:dyDescent="0.35">
      <c r="B90" s="65"/>
      <c r="C90" s="66" t="s">
        <v>457</v>
      </c>
      <c r="D90" s="312">
        <f>D48/D$77*Outputs!$M$9</f>
        <v>6.0911649819233608E-3</v>
      </c>
      <c r="E90" s="312">
        <f>E48/E$77*Outputs!$M$9</f>
        <v>9.7206716227241849E-3</v>
      </c>
      <c r="F90" s="312">
        <f>F48/F$77*Outputs!$M$9</f>
        <v>6.0308310162680689E-3</v>
      </c>
      <c r="G90" s="312">
        <f>G48/G$77*Outputs!$M$9</f>
        <v>5.4843349799545728E-3</v>
      </c>
      <c r="H90" s="312">
        <f>H48/H$77*Outputs!$M$9</f>
        <v>1.6864769001667182E-2</v>
      </c>
      <c r="I90" s="312">
        <f>I48/I$77*Outputs!$M$9</f>
        <v>9.7339920728346675E-3</v>
      </c>
      <c r="J90" s="312">
        <f>J48/J$77*Outputs!$M$9</f>
        <v>4.1637142910315571E-3</v>
      </c>
      <c r="K90" s="312">
        <f>K48/K$77*Outputs!$M$9</f>
        <v>1.5733854084112282E-2</v>
      </c>
      <c r="L90" s="312">
        <f>L48/L$77*Outputs!$M$9</f>
        <v>5.1696402450244396E-3</v>
      </c>
      <c r="M90" s="312">
        <f>M48/M$77*Outputs!$M$9</f>
        <v>3.4265854830631749E-2</v>
      </c>
      <c r="N90" s="3"/>
      <c r="O90" s="54">
        <v>2.86</v>
      </c>
      <c r="P90" t="s">
        <v>1032</v>
      </c>
    </row>
    <row r="91" spans="2:28" x14ac:dyDescent="0.35">
      <c r="B91" s="66"/>
      <c r="C91" s="66" t="s">
        <v>447</v>
      </c>
      <c r="D91" s="312">
        <f>D49/D$77*Outputs!$M$9</f>
        <v>4.1313460733661565E-2</v>
      </c>
      <c r="E91" s="312">
        <f>E49/E$77*Outputs!$M$9</f>
        <v>6.3778210010614178E-2</v>
      </c>
      <c r="F91" s="312">
        <f>F49/F$77*Outputs!$M$9</f>
        <v>3.9512628246023244E-2</v>
      </c>
      <c r="G91" s="312">
        <f>G49/G$77*Outputs!$M$9</f>
        <v>3.6200563948405477E-2</v>
      </c>
      <c r="H91" s="312">
        <f>H49/H$77*Outputs!$M$9</f>
        <v>0.10783575149803457</v>
      </c>
      <c r="I91" s="312">
        <f>I49/I$77*Outputs!$M$9</f>
        <v>6.4289139771382481E-2</v>
      </c>
      <c r="J91" s="312">
        <f>J49/J$77*Outputs!$M$9</f>
        <v>2.7817265649555129E-2</v>
      </c>
      <c r="K91" s="312">
        <f>K49/K$77*Outputs!$M$9</f>
        <v>0.1085564404815591</v>
      </c>
      <c r="L91" s="312">
        <f>L49/L$77*Outputs!$M$9</f>
        <v>3.4480657630554787E-2</v>
      </c>
      <c r="M91" s="312">
        <f>M49/M$77*Outputs!$M$9</f>
        <v>0.12816698177520441</v>
      </c>
      <c r="N91" s="3"/>
      <c r="O91" s="54">
        <f>O90*1000</f>
        <v>2860</v>
      </c>
      <c r="P91" t="s">
        <v>1033</v>
      </c>
    </row>
    <row r="92" spans="2:28" x14ac:dyDescent="0.35">
      <c r="B92" s="66"/>
      <c r="C92" s="66" t="s">
        <v>449</v>
      </c>
      <c r="D92" s="312">
        <f>D50/D$77*Outputs!$M$9</f>
        <v>1.3986566183866027E-2</v>
      </c>
      <c r="E92" s="312">
        <f>E50/E$77*Outputs!$M$9</f>
        <v>9.0485043552073798E-3</v>
      </c>
      <c r="F92" s="312">
        <f>F50/F$77*Outputs!$M$9</f>
        <v>7.8389701819830473E-3</v>
      </c>
      <c r="G92" s="312">
        <f>G50/G$77*Outputs!$M$9</f>
        <v>1.06866845963556E-2</v>
      </c>
      <c r="H92" s="312">
        <f>H50/H$77*Outputs!$M$9</f>
        <v>1.804522800594098E-2</v>
      </c>
      <c r="I92" s="312">
        <f>I50/I$77*Outputs!$M$9</f>
        <v>8.731483954067908E-3</v>
      </c>
      <c r="J92" s="312">
        <f>J50/J$77*Outputs!$M$9</f>
        <v>9.6719233035263141E-3</v>
      </c>
      <c r="K92" s="312">
        <f>K50/K$77*Outputs!$M$9</f>
        <v>4.2034406993488871E-2</v>
      </c>
      <c r="L92" s="312">
        <f>L50/L$77*Outputs!$M$9</f>
        <v>1.1670276396891431E-2</v>
      </c>
      <c r="M92" s="312">
        <f>M50/M$77*Outputs!$M$9</f>
        <v>6.3903505156876025E-2</v>
      </c>
      <c r="N92" s="3"/>
      <c r="O92" s="54">
        <f>O91/22.77</f>
        <v>125.60386473429952</v>
      </c>
      <c r="P92" t="s">
        <v>1034</v>
      </c>
      <c r="Q92" t="s">
        <v>1035</v>
      </c>
      <c r="R92" s="6"/>
    </row>
    <row r="93" spans="2:28" x14ac:dyDescent="0.35">
      <c r="B93" s="66"/>
      <c r="C93" s="112" t="s">
        <v>454</v>
      </c>
      <c r="D93" s="313">
        <f>D51/D$77*Outputs!$M$9</f>
        <v>0</v>
      </c>
      <c r="E93" s="313">
        <f>E51/E$77*Outputs!$M$9</f>
        <v>0</v>
      </c>
      <c r="F93" s="313">
        <f>F51/F$77*Outputs!$M$9</f>
        <v>0</v>
      </c>
      <c r="G93" s="313">
        <f>G51/G$77*Outputs!$M$9</f>
        <v>0</v>
      </c>
      <c r="H93" s="313">
        <f>H51/H$77*Outputs!$M$9</f>
        <v>0</v>
      </c>
      <c r="I93" s="313">
        <f>I51/I$77*Outputs!$M$9</f>
        <v>0</v>
      </c>
      <c r="J93" s="313">
        <f>J51/J$77*Outputs!$M$9</f>
        <v>0</v>
      </c>
      <c r="K93" s="313">
        <f>K51/K$77*Outputs!$M$9</f>
        <v>0</v>
      </c>
      <c r="L93" s="313">
        <f>L51/L$77*Outputs!$M$9</f>
        <v>0</v>
      </c>
      <c r="M93" s="313">
        <f>M51/M$77*Outputs!$M$9</f>
        <v>0</v>
      </c>
      <c r="N93" s="3"/>
      <c r="R93" s="56"/>
      <c r="T93" s="289" t="s">
        <v>1014</v>
      </c>
    </row>
    <row r="94" spans="2:28" x14ac:dyDescent="0.35">
      <c r="B94" s="66"/>
      <c r="C94" s="66" t="s">
        <v>459</v>
      </c>
      <c r="D94" s="312">
        <f>D52/D$77*Outputs!$M$9</f>
        <v>1.4051061091643965E-2</v>
      </c>
      <c r="E94" s="312">
        <f>E52/E$77*Outputs!$M$9</f>
        <v>1.4602121034907611E-2</v>
      </c>
      <c r="F94" s="312">
        <f>F52/F$77*Outputs!$M$9</f>
        <v>1.0976545403882413E-2</v>
      </c>
      <c r="G94" s="312">
        <f>G52/G$77*Outputs!$M$9</f>
        <v>1.2408800616783821E-2</v>
      </c>
      <c r="H94" s="312">
        <f>H52/H$77*Outputs!$M$9</f>
        <v>3.3761346208889743E-2</v>
      </c>
      <c r="I94" s="312">
        <f>I52/I$77*Outputs!$M$9</f>
        <v>1.3385994897350739E-2</v>
      </c>
      <c r="J94" s="312">
        <f>J52/J$77*Outputs!$M$9</f>
        <v>9.9184402014816167E-3</v>
      </c>
      <c r="K94" s="312">
        <f>K52/K$77*Outputs!$M$9</f>
        <v>3.8798650055852868E-2</v>
      </c>
      <c r="L94" s="312">
        <f>L52/L$77*Outputs!$M$9</f>
        <v>1.2104186712382749E-2</v>
      </c>
      <c r="M94" s="312">
        <f>M52/M$77*Outputs!$M$9</f>
        <v>8.9728543461394888E-2</v>
      </c>
      <c r="N94" s="3"/>
      <c r="R94" t="s">
        <v>1045</v>
      </c>
      <c r="S94" t="s">
        <v>1023</v>
      </c>
      <c r="T94">
        <v>39.200000000000003</v>
      </c>
      <c r="U94" t="s">
        <v>1013</v>
      </c>
    </row>
    <row r="95" spans="2:28" x14ac:dyDescent="0.35">
      <c r="B95" s="66"/>
      <c r="C95" s="66" t="s">
        <v>458</v>
      </c>
      <c r="D95" s="312">
        <f>D53/D$77*Outputs!$M$9</f>
        <v>5.0680752614225772E-3</v>
      </c>
      <c r="E95" s="312">
        <f>E53/E$77*Outputs!$M$9</f>
        <v>1.8617508452802511E-3</v>
      </c>
      <c r="F95" s="312">
        <f>F53/F$77*Outputs!$M$9</f>
        <v>2.2350431817860111E-3</v>
      </c>
      <c r="G95" s="312">
        <f>G53/G$77*Outputs!$M$9</f>
        <v>3.9365265390237875E-3</v>
      </c>
      <c r="H95" s="312">
        <f>H53/H$77*Outputs!$M$9</f>
        <v>3.736042364141795E-3</v>
      </c>
      <c r="I95" s="312">
        <f>I53/I$77*Outputs!$M$9</f>
        <v>1.7936674143918831E-3</v>
      </c>
      <c r="J95" s="312">
        <f>J53/J$77*Outputs!$M$9</f>
        <v>3.8920868679824302E-3</v>
      </c>
      <c r="K95" s="312">
        <f>K53/K$77*Outputs!$M$9</f>
        <v>1.5608228883648365E-2</v>
      </c>
      <c r="L95" s="312">
        <f>L53/L$77*Outputs!$M$9</f>
        <v>4.6607818609584262E-3</v>
      </c>
      <c r="M95" s="312">
        <f>M53/M$77*Outputs!$M$9</f>
        <v>2.6841871975630944E-2</v>
      </c>
      <c r="N95" s="3"/>
      <c r="S95" t="s">
        <v>1015</v>
      </c>
      <c r="T95">
        <v>37.200000000000003</v>
      </c>
      <c r="U95" t="s">
        <v>1013</v>
      </c>
    </row>
    <row r="96" spans="2:28" x14ac:dyDescent="0.35">
      <c r="B96"/>
      <c r="C96" s="66" t="s">
        <v>464</v>
      </c>
      <c r="D96" s="312">
        <f>D54/D$77*Outputs!$M$9</f>
        <v>2.0965568430814617E-2</v>
      </c>
      <c r="E96" s="312">
        <f>E54/E$77*Outputs!$M$9</f>
        <v>3.2909950050265604E-2</v>
      </c>
      <c r="F96" s="312">
        <f>F54/F$77*Outputs!$M$9</f>
        <v>2.3423735942247361E-2</v>
      </c>
      <c r="G96" s="312">
        <f>G54/G$77*Outputs!$M$9</f>
        <v>2.2839785128530729E-2</v>
      </c>
      <c r="H96" s="312">
        <f>H54/H$77*Outputs!$M$9</f>
        <v>0.11348059714489234</v>
      </c>
      <c r="I96" s="312">
        <f>I54/I$77*Outputs!$M$9</f>
        <v>3.117526208743045E-2</v>
      </c>
      <c r="J96" s="312">
        <f>J54/J$77*Outputs!$M$9</f>
        <v>1.3150529634218911E-2</v>
      </c>
      <c r="K96" s="312">
        <f>K54/K$77*Outputs!$M$9</f>
        <v>4.5565059438852897E-2</v>
      </c>
      <c r="L96" s="312">
        <f>L54/L$77*Outputs!$M$9</f>
        <v>1.6659576270117177E-2</v>
      </c>
      <c r="M96" s="312">
        <f>M54/M$77*Outputs!$M$9</f>
        <v>0.15045992672715416</v>
      </c>
      <c r="N96" s="3"/>
      <c r="S96" t="s">
        <v>1016</v>
      </c>
      <c r="T96" s="257" t="s">
        <v>1017</v>
      </c>
      <c r="U96" t="s">
        <v>1013</v>
      </c>
    </row>
    <row r="97" spans="2:23" x14ac:dyDescent="0.35">
      <c r="B97" s="66"/>
      <c r="C97" s="66" t="s">
        <v>472</v>
      </c>
      <c r="D97" s="312">
        <f>D55/D$77*Outputs!$M$9</f>
        <v>1.4927798723573252E-2</v>
      </c>
      <c r="E97" s="312">
        <f>E55/E$77*Outputs!$M$9</f>
        <v>1.5808174568624624E-2</v>
      </c>
      <c r="F97" s="312">
        <f>F55/F$77*Outputs!$M$9</f>
        <v>8.345630572452337E-3</v>
      </c>
      <c r="G97" s="312">
        <f>G55/G$77*Outputs!$M$9</f>
        <v>1.645989227036903E-2</v>
      </c>
      <c r="H97" s="312">
        <f>H55/H$77*Outputs!$M$9</f>
        <v>2.4608353508360312E-2</v>
      </c>
      <c r="I97" s="312">
        <f>I55/I$77*Outputs!$M$9</f>
        <v>1.3475623259651626E-2</v>
      </c>
      <c r="J97" s="312">
        <f>J55/J$77*Outputs!$M$9</f>
        <v>1.7708546114247384E-2</v>
      </c>
      <c r="K97" s="312">
        <f>K55/K$77*Outputs!$M$9</f>
        <v>4.328720666814477E-2</v>
      </c>
      <c r="L97" s="312">
        <f>L55/L$77*Outputs!$M$9</f>
        <v>2.1220584165168525E-2</v>
      </c>
      <c r="M97" s="312">
        <f>M55/M$77*Outputs!$M$9</f>
        <v>5.3109033459294061E-2</v>
      </c>
      <c r="N97" s="3"/>
      <c r="S97" t="s">
        <v>1018</v>
      </c>
      <c r="T97" s="257" t="s">
        <v>1019</v>
      </c>
      <c r="U97" t="s">
        <v>1013</v>
      </c>
      <c r="W97" t="s">
        <v>1020</v>
      </c>
    </row>
    <row r="98" spans="2:23" x14ac:dyDescent="0.35">
      <c r="B98" s="66"/>
      <c r="C98" s="112" t="s">
        <v>468</v>
      </c>
      <c r="D98" s="313">
        <f t="shared" ref="D98:M98" si="48">D60/D$77</f>
        <v>0</v>
      </c>
      <c r="E98" s="313">
        <f t="shared" si="48"/>
        <v>0</v>
      </c>
      <c r="F98" s="313">
        <f t="shared" si="48"/>
        <v>0</v>
      </c>
      <c r="G98" s="313">
        <f t="shared" si="48"/>
        <v>0</v>
      </c>
      <c r="H98" s="313">
        <f t="shared" si="48"/>
        <v>0</v>
      </c>
      <c r="I98" s="313">
        <f t="shared" si="48"/>
        <v>0</v>
      </c>
      <c r="J98" s="313">
        <f t="shared" si="48"/>
        <v>0</v>
      </c>
      <c r="K98" s="313">
        <f t="shared" si="48"/>
        <v>0</v>
      </c>
      <c r="L98" s="313">
        <f t="shared" si="48"/>
        <v>0</v>
      </c>
      <c r="M98" s="313">
        <f t="shared" si="48"/>
        <v>0</v>
      </c>
      <c r="N98" s="3"/>
      <c r="S98" t="s">
        <v>1022</v>
      </c>
      <c r="T98">
        <v>34</v>
      </c>
      <c r="U98" t="s">
        <v>1013</v>
      </c>
      <c r="W98" t="s">
        <v>1021</v>
      </c>
    </row>
    <row r="99" spans="2:23" x14ac:dyDescent="0.35">
      <c r="B99" s="66"/>
      <c r="C99" s="66" t="s">
        <v>1049</v>
      </c>
      <c r="D99" s="312">
        <f t="shared" ref="D99:M99" si="49">(D61+D62)/D$77</f>
        <v>-0.12530235032317705</v>
      </c>
      <c r="E99" s="312">
        <f t="shared" si="49"/>
        <v>-0.66163366379608923</v>
      </c>
      <c r="F99" s="312">
        <f>(F61+F62)/F$77</f>
        <v>-1.0674096113685183</v>
      </c>
      <c r="G99" s="312">
        <f t="shared" si="49"/>
        <v>-0.23839635380535704</v>
      </c>
      <c r="H99" s="312">
        <f t="shared" si="49"/>
        <v>-1.3072337150110123</v>
      </c>
      <c r="I99" s="312">
        <f t="shared" si="49"/>
        <v>-0.58824697492902955</v>
      </c>
      <c r="J99" s="312">
        <f t="shared" si="49"/>
        <v>-4.2726523334799531E-2</v>
      </c>
      <c r="K99" s="312">
        <f t="shared" si="49"/>
        <v>-0.11970204618087761</v>
      </c>
      <c r="L99" s="312">
        <f t="shared" si="49"/>
        <v>-3.2202367093101668E-2</v>
      </c>
      <c r="M99" s="312">
        <f t="shared" si="49"/>
        <v>-4.6497540003769204</v>
      </c>
      <c r="N99" s="3"/>
      <c r="S99" t="s">
        <v>613</v>
      </c>
      <c r="T99">
        <v>40.1</v>
      </c>
      <c r="U99" t="s">
        <v>1013</v>
      </c>
    </row>
    <row r="100" spans="2:23" x14ac:dyDescent="0.35">
      <c r="B100" s="66"/>
      <c r="C100" s="66" t="s">
        <v>420</v>
      </c>
      <c r="D100" s="312">
        <f t="shared" ref="D100:M100" si="50">D63/D$77</f>
        <v>2.0625027538849532E-2</v>
      </c>
      <c r="E100" s="312">
        <f t="shared" si="50"/>
        <v>3.6185952086529354E-2</v>
      </c>
      <c r="F100" s="312">
        <f t="shared" si="50"/>
        <v>4.8368472899122578E-2</v>
      </c>
      <c r="G100" s="312">
        <f t="shared" si="50"/>
        <v>3.1502372431396121E-2</v>
      </c>
      <c r="H100" s="312">
        <f t="shared" si="50"/>
        <v>8.8076731818589049E-2</v>
      </c>
      <c r="I100" s="312">
        <f t="shared" si="50"/>
        <v>3.7779342856778296E-3</v>
      </c>
      <c r="J100" s="312">
        <f t="shared" si="50"/>
        <v>7.8577060216497973E-3</v>
      </c>
      <c r="K100" s="312">
        <f t="shared" si="50"/>
        <v>2.4738320463468737E-2</v>
      </c>
      <c r="L100" s="312">
        <f t="shared" si="50"/>
        <v>1.1985054133752917E-2</v>
      </c>
      <c r="M100" s="312">
        <f t="shared" si="50"/>
        <v>0.24676794020386364</v>
      </c>
      <c r="N100" s="3"/>
    </row>
    <row r="101" spans="2:23" x14ac:dyDescent="0.35">
      <c r="B101" s="66"/>
      <c r="C101" s="66" t="s">
        <v>421</v>
      </c>
      <c r="D101" s="312">
        <f t="shared" ref="D101:M101" si="51">D64/D$77</f>
        <v>0.17753949313493411</v>
      </c>
      <c r="E101" s="312">
        <f t="shared" si="51"/>
        <v>0.12489759051607627</v>
      </c>
      <c r="F101" s="312">
        <f t="shared" si="51"/>
        <v>5.2019458301325434E-2</v>
      </c>
      <c r="G101" s="312">
        <f t="shared" si="51"/>
        <v>1.9103881686121052E-2</v>
      </c>
      <c r="H101" s="312">
        <f t="shared" si="51"/>
        <v>0.11382475660229549</v>
      </c>
      <c r="I101" s="312">
        <f t="shared" si="51"/>
        <v>0.12974518678765815</v>
      </c>
      <c r="J101" s="312">
        <f t="shared" si="51"/>
        <v>3.6464631807103895E-2</v>
      </c>
      <c r="K101" s="312">
        <f t="shared" si="51"/>
        <v>5.0364364517534219E-2</v>
      </c>
      <c r="L101" s="312">
        <f t="shared" si="51"/>
        <v>9.5931142217287074E-2</v>
      </c>
      <c r="M101" s="312">
        <f t="shared" si="51"/>
        <v>0.44980595854620281</v>
      </c>
      <c r="N101" s="3"/>
      <c r="T101" t="s">
        <v>1028</v>
      </c>
    </row>
    <row r="102" spans="2:23" x14ac:dyDescent="0.35">
      <c r="B102" s="66"/>
      <c r="C102" s="66" t="s">
        <v>422</v>
      </c>
      <c r="D102" s="312">
        <f t="shared" ref="D102:M102" si="52">D65/D$77</f>
        <v>5.3155133998452155E-2</v>
      </c>
      <c r="E102" s="312">
        <f t="shared" si="52"/>
        <v>0.11637166916018186</v>
      </c>
      <c r="F102" s="312">
        <f t="shared" si="52"/>
        <v>6.0162537465749615E-2</v>
      </c>
      <c r="G102" s="312">
        <f t="shared" si="52"/>
        <v>0.15382075987275975</v>
      </c>
      <c r="H102" s="312">
        <f t="shared" si="52"/>
        <v>0.12061625187719967</v>
      </c>
      <c r="I102" s="312">
        <f t="shared" si="52"/>
        <v>0.11579523664911874</v>
      </c>
      <c r="J102" s="312">
        <f t="shared" si="52"/>
        <v>0.12423589994244506</v>
      </c>
      <c r="K102" s="312">
        <f t="shared" si="52"/>
        <v>6.3094481523213994E-2</v>
      </c>
      <c r="L102" s="312">
        <f t="shared" si="52"/>
        <v>0.25112388770120736</v>
      </c>
      <c r="M102" s="312">
        <f t="shared" si="52"/>
        <v>0.31725920647834571</v>
      </c>
      <c r="N102" s="3"/>
      <c r="S102" t="s">
        <v>1023</v>
      </c>
      <c r="T102">
        <v>39.200000000000003</v>
      </c>
    </row>
    <row r="103" spans="2:23" x14ac:dyDescent="0.35">
      <c r="B103" s="66"/>
      <c r="C103" s="65" t="s">
        <v>423</v>
      </c>
      <c r="D103" s="312">
        <f t="shared" ref="D103:M103" si="53">D66/D$77</f>
        <v>0.20354543066799996</v>
      </c>
      <c r="E103" s="312">
        <f t="shared" si="53"/>
        <v>0.51451088003641787</v>
      </c>
      <c r="F103" s="312">
        <f t="shared" si="53"/>
        <v>1.1543946566245622</v>
      </c>
      <c r="G103" s="312">
        <f t="shared" si="53"/>
        <v>0.20536052934176405</v>
      </c>
      <c r="H103" s="312">
        <f t="shared" si="53"/>
        <v>0.58533136123467155</v>
      </c>
      <c r="I103" s="312">
        <f t="shared" si="53"/>
        <v>0.45336329590897922</v>
      </c>
      <c r="J103" s="312">
        <f t="shared" si="53"/>
        <v>9.2577105896435141E-2</v>
      </c>
      <c r="K103" s="312">
        <f t="shared" si="53"/>
        <v>0.17967939923112503</v>
      </c>
      <c r="L103" s="312">
        <f t="shared" si="53"/>
        <v>0.12279544466002475</v>
      </c>
      <c r="M103" s="312">
        <f t="shared" si="53"/>
        <v>1.0642806822957451</v>
      </c>
      <c r="N103" s="3"/>
      <c r="S103" t="s">
        <v>1015</v>
      </c>
      <c r="T103">
        <v>37.200000000000003</v>
      </c>
    </row>
    <row r="104" spans="2:23" x14ac:dyDescent="0.35">
      <c r="B104" s="66"/>
      <c r="C104" s="110" t="s">
        <v>424</v>
      </c>
      <c r="D104" s="312">
        <f t="shared" ref="D104:M104" si="54">D67/D$77</f>
        <v>6.4799873676167638E-3</v>
      </c>
      <c r="E104" s="312">
        <f t="shared" si="54"/>
        <v>1.3411285913739156E-3</v>
      </c>
      <c r="F104" s="312">
        <f t="shared" si="54"/>
        <v>9.368420117698259E-4</v>
      </c>
      <c r="G104" s="312">
        <f t="shared" si="54"/>
        <v>3.5274089192365731E-4</v>
      </c>
      <c r="H104" s="312">
        <f t="shared" si="54"/>
        <v>1.5796491907013428E-3</v>
      </c>
      <c r="I104" s="312">
        <f t="shared" si="54"/>
        <v>1.3567018099172297E-3</v>
      </c>
      <c r="J104" s="312">
        <f t="shared" si="54"/>
        <v>5.2629871220757939E-4</v>
      </c>
      <c r="K104" s="312">
        <f t="shared" si="54"/>
        <v>2.3316239736242012E-4</v>
      </c>
      <c r="L104" s="312">
        <f t="shared" si="54"/>
        <v>1.3110025355390663E-3</v>
      </c>
      <c r="M104" s="312">
        <f t="shared" si="54"/>
        <v>1.5317974325989355E-2</v>
      </c>
      <c r="N104" s="3"/>
      <c r="S104" t="s">
        <v>1024</v>
      </c>
      <c r="T104">
        <v>14.6</v>
      </c>
    </row>
    <row r="105" spans="2:23" x14ac:dyDescent="0.35">
      <c r="B105" s="66"/>
      <c r="C105" s="111" t="s">
        <v>425</v>
      </c>
      <c r="D105" s="312">
        <f t="shared" ref="D105:M105" si="55">D68/D$77</f>
        <v>0.1068896623804365</v>
      </c>
      <c r="E105" s="312">
        <f t="shared" si="55"/>
        <v>1.5907657081797637E-7</v>
      </c>
      <c r="F105" s="312">
        <f t="shared" si="55"/>
        <v>5.2568373081245305E-3</v>
      </c>
      <c r="G105" s="312">
        <f t="shared" si="55"/>
        <v>7.7190891775216731E-4</v>
      </c>
      <c r="H105" s="312">
        <f t="shared" si="55"/>
        <v>1.4024040468839336E-7</v>
      </c>
      <c r="I105" s="312">
        <f t="shared" si="55"/>
        <v>2.2836974225163533E-9</v>
      </c>
      <c r="J105" s="312">
        <f t="shared" si="55"/>
        <v>0</v>
      </c>
      <c r="K105" s="312">
        <f t="shared" si="55"/>
        <v>9.9322001015164684E-4</v>
      </c>
      <c r="L105" s="312">
        <f t="shared" si="55"/>
        <v>6.0478873777290406E-4</v>
      </c>
      <c r="M105" s="312">
        <f t="shared" si="55"/>
        <v>0.23655275783747409</v>
      </c>
      <c r="N105" s="3"/>
      <c r="P105" t="s">
        <v>1027</v>
      </c>
      <c r="Q105">
        <v>50</v>
      </c>
      <c r="S105" t="s">
        <v>1025</v>
      </c>
      <c r="T105">
        <v>32.1</v>
      </c>
    </row>
    <row r="106" spans="2:23" x14ac:dyDescent="0.35">
      <c r="B106" s="66"/>
      <c r="C106" s="65" t="s">
        <v>426</v>
      </c>
      <c r="D106" s="312">
        <f t="shared" ref="D106:M106" si="56">D69/D$77</f>
        <v>1.4407014512408554E-3</v>
      </c>
      <c r="E106" s="312">
        <f t="shared" si="56"/>
        <v>5.7940937218002855E-3</v>
      </c>
      <c r="F106" s="312">
        <f t="shared" si="56"/>
        <v>2.6944879920896086E-3</v>
      </c>
      <c r="G106" s="312">
        <f t="shared" si="56"/>
        <v>2.1829911945343838E-3</v>
      </c>
      <c r="H106" s="312">
        <f t="shared" si="56"/>
        <v>6.1762320851318341E-3</v>
      </c>
      <c r="I106" s="312">
        <f t="shared" si="56"/>
        <v>6.1274429031020865E-3</v>
      </c>
      <c r="J106" s="312">
        <f t="shared" si="56"/>
        <v>7.7170851250886062E-4</v>
      </c>
      <c r="K106" s="312">
        <f t="shared" si="56"/>
        <v>1.3783768431199722E-3</v>
      </c>
      <c r="L106" s="312">
        <f t="shared" si="56"/>
        <v>1.600912439756139E-3</v>
      </c>
      <c r="M106" s="312">
        <f t="shared" si="56"/>
        <v>8.0302880062892955E-3</v>
      </c>
      <c r="N106" s="3"/>
      <c r="S106" t="s">
        <v>1026</v>
      </c>
      <c r="T106">
        <v>25</v>
      </c>
    </row>
    <row r="107" spans="2:23" x14ac:dyDescent="0.35">
      <c r="B107" s="66"/>
      <c r="C107" s="65" t="s">
        <v>428</v>
      </c>
      <c r="D107" s="312">
        <f t="shared" ref="D107:M107" si="57">D70/D$77</f>
        <v>7.1119144189900113E-5</v>
      </c>
      <c r="E107" s="312">
        <f t="shared" si="57"/>
        <v>1.1240093822259664E-4</v>
      </c>
      <c r="F107" s="312">
        <f t="shared" si="57"/>
        <v>1.5563598337955191E-4</v>
      </c>
      <c r="G107" s="312">
        <f t="shared" si="57"/>
        <v>1.0342598305687795E-4</v>
      </c>
      <c r="H107" s="312">
        <f t="shared" si="57"/>
        <v>2.6653806385573014E-4</v>
      </c>
      <c r="I107" s="312">
        <f t="shared" si="57"/>
        <v>1.1729426974630092E-4</v>
      </c>
      <c r="J107" s="312">
        <f t="shared" si="57"/>
        <v>2.2166413255711885E-5</v>
      </c>
      <c r="K107" s="312">
        <f t="shared" si="57"/>
        <v>8.9217774638140603E-5</v>
      </c>
      <c r="L107" s="312">
        <f t="shared" si="57"/>
        <v>3.8975869977398869E-5</v>
      </c>
      <c r="M107" s="312">
        <f t="shared" si="57"/>
        <v>9.8499591801282484E-4</v>
      </c>
      <c r="N107" s="3"/>
      <c r="R107" t="s">
        <v>1044</v>
      </c>
      <c r="S107" t="s">
        <v>1022</v>
      </c>
      <c r="T107">
        <v>34</v>
      </c>
    </row>
    <row r="108" spans="2:23" x14ac:dyDescent="0.35">
      <c r="B108" s="66"/>
      <c r="C108" s="66" t="s">
        <v>429</v>
      </c>
      <c r="D108" s="312">
        <f t="shared" ref="D108:M108" si="58">D71/D$77</f>
        <v>3.0908692229710032E-4</v>
      </c>
      <c r="E108" s="312">
        <f t="shared" si="58"/>
        <v>7.1971284919208564E-4</v>
      </c>
      <c r="F108" s="312">
        <f t="shared" si="58"/>
        <v>4.4262651690591981E-4</v>
      </c>
      <c r="G108" s="312">
        <f t="shared" si="58"/>
        <v>2.4200552656209834E-4</v>
      </c>
      <c r="H108" s="312">
        <f t="shared" si="58"/>
        <v>8.246837087793785E-4</v>
      </c>
      <c r="I108" s="312">
        <f t="shared" si="58"/>
        <v>7.6121649182088566E-4</v>
      </c>
      <c r="J108" s="312">
        <f t="shared" si="58"/>
        <v>4.681624024805348E-5</v>
      </c>
      <c r="K108" s="312">
        <f t="shared" si="58"/>
        <v>1.8901043370030387E-4</v>
      </c>
      <c r="L108" s="312">
        <f t="shared" si="58"/>
        <v>6.3316194579230957E-5</v>
      </c>
      <c r="M108" s="312">
        <f t="shared" si="58"/>
        <v>1.2052292951734499E-3</v>
      </c>
      <c r="N108" s="3"/>
      <c r="S108" t="s">
        <v>613</v>
      </c>
      <c r="T108">
        <v>40.1</v>
      </c>
    </row>
    <row r="109" spans="2:23" x14ac:dyDescent="0.35">
      <c r="B109" s="65"/>
      <c r="C109" s="113" t="s">
        <v>603</v>
      </c>
      <c r="D109" s="312">
        <f>D72/D77</f>
        <v>0.13433299858950304</v>
      </c>
      <c r="E109" s="312">
        <f t="shared" ref="E109:M109" si="59">E72/E77</f>
        <v>0.36535411432322717</v>
      </c>
      <c r="F109" s="312">
        <f t="shared" si="59"/>
        <v>0.33957445817636533</v>
      </c>
      <c r="G109" s="312">
        <f t="shared" si="59"/>
        <v>0.18571858721989964</v>
      </c>
      <c r="H109" s="312">
        <f t="shared" si="59"/>
        <v>0.60662234302415541</v>
      </c>
      <c r="I109" s="312">
        <f t="shared" si="59"/>
        <v>0.38211274061322809</v>
      </c>
      <c r="J109" s="312">
        <f t="shared" si="59"/>
        <v>0.44541443156022548</v>
      </c>
      <c r="K109" s="312">
        <f t="shared" si="59"/>
        <v>0.16157451826036098</v>
      </c>
      <c r="L109" s="312">
        <f t="shared" si="59"/>
        <v>7.7353242603531464E-2</v>
      </c>
      <c r="M109" s="312">
        <f t="shared" si="59"/>
        <v>1.3131097184599834</v>
      </c>
      <c r="N109" s="3"/>
      <c r="S109" t="s">
        <v>1099</v>
      </c>
      <c r="T109">
        <v>19.260000000000002</v>
      </c>
    </row>
    <row r="110" spans="2:23" x14ac:dyDescent="0.35">
      <c r="B110" s="66"/>
      <c r="C110" s="113" t="s">
        <v>604</v>
      </c>
      <c r="D110" s="312">
        <f>D73/D77</f>
        <v>3.7337554291425455E-2</v>
      </c>
      <c r="E110" s="312">
        <f t="shared" ref="E110:M110" si="60">E73/E77</f>
        <v>6.5099468177441666E-3</v>
      </c>
      <c r="F110" s="312">
        <f t="shared" si="60"/>
        <v>1.0567876431249653E-2</v>
      </c>
      <c r="G110" s="312">
        <f t="shared" si="60"/>
        <v>7.8798890312968536E-2</v>
      </c>
      <c r="H110" s="312">
        <f t="shared" si="60"/>
        <v>1.6899804105828652E-2</v>
      </c>
      <c r="I110" s="312">
        <f t="shared" si="60"/>
        <v>5.36316798231724E-3</v>
      </c>
      <c r="J110" s="312">
        <f t="shared" si="60"/>
        <v>3.1075445940544177E-2</v>
      </c>
      <c r="K110" s="312">
        <f t="shared" si="60"/>
        <v>5.9948993136299422E-2</v>
      </c>
      <c r="L110" s="312">
        <f t="shared" si="60"/>
        <v>3.0355556234521155E-2</v>
      </c>
      <c r="M110" s="312">
        <f t="shared" si="60"/>
        <v>0.10878470020503843</v>
      </c>
      <c r="N110" s="3"/>
    </row>
    <row r="111" spans="2:23" x14ac:dyDescent="0.35">
      <c r="C111" s="113" t="s">
        <v>587</v>
      </c>
      <c r="D111" s="312">
        <f>D74/D$77</f>
        <v>0</v>
      </c>
      <c r="E111" s="312">
        <f t="shared" ref="E111:M111" si="61">E74/E$77</f>
        <v>0</v>
      </c>
      <c r="F111" s="312">
        <f t="shared" si="61"/>
        <v>0</v>
      </c>
      <c r="G111" s="312">
        <f t="shared" si="61"/>
        <v>9.0371199554233436E-2</v>
      </c>
      <c r="H111" s="312">
        <f t="shared" si="61"/>
        <v>0</v>
      </c>
      <c r="I111" s="312">
        <f t="shared" si="61"/>
        <v>0</v>
      </c>
      <c r="J111" s="312">
        <f t="shared" si="61"/>
        <v>0</v>
      </c>
      <c r="K111" s="312">
        <f t="shared" si="61"/>
        <v>0</v>
      </c>
      <c r="L111" s="312">
        <f t="shared" si="61"/>
        <v>0</v>
      </c>
      <c r="M111" s="312">
        <f t="shared" si="61"/>
        <v>0</v>
      </c>
    </row>
    <row r="112" spans="2:23" x14ac:dyDescent="0.35">
      <c r="C112" s="80"/>
      <c r="D112" s="81"/>
      <c r="E112" s="81"/>
      <c r="F112" s="81"/>
      <c r="G112" s="81"/>
      <c r="H112" s="81"/>
      <c r="I112" s="81"/>
      <c r="J112" s="81"/>
      <c r="K112" s="81"/>
      <c r="L112" s="81"/>
      <c r="M112" s="81"/>
    </row>
    <row r="113" spans="3:20" x14ac:dyDescent="0.35">
      <c r="C113" s="65" t="s">
        <v>486</v>
      </c>
      <c r="D113" s="79">
        <f t="shared" ref="D113:M113" si="62">SUM(D82:D111)</f>
        <v>0.99999999999999989</v>
      </c>
      <c r="E113" s="79">
        <f t="shared" si="62"/>
        <v>0.99999999999999989</v>
      </c>
      <c r="F113" s="79">
        <f t="shared" si="62"/>
        <v>1</v>
      </c>
      <c r="G113" s="79">
        <f t="shared" si="62"/>
        <v>0.99999999999999978</v>
      </c>
      <c r="H113" s="79">
        <f t="shared" si="62"/>
        <v>1</v>
      </c>
      <c r="I113" s="79">
        <f t="shared" si="62"/>
        <v>0.99999999999999978</v>
      </c>
      <c r="J113" s="79">
        <f t="shared" si="62"/>
        <v>1.0000000000000002</v>
      </c>
      <c r="K113" s="79">
        <f t="shared" si="62"/>
        <v>0.99999999999999967</v>
      </c>
      <c r="L113" s="79">
        <f t="shared" si="62"/>
        <v>0.99999999999999989</v>
      </c>
      <c r="M113" s="79">
        <f t="shared" si="62"/>
        <v>0.99999999999999989</v>
      </c>
    </row>
    <row r="114" spans="3:20" x14ac:dyDescent="0.35">
      <c r="C114" s="65"/>
      <c r="D114" s="3"/>
      <c r="E114" s="3"/>
      <c r="F114" s="3"/>
      <c r="G114" s="3"/>
      <c r="H114" s="3"/>
      <c r="I114" s="3"/>
      <c r="J114" s="3"/>
      <c r="K114" s="3"/>
      <c r="L114" s="3"/>
      <c r="M114" s="3"/>
      <c r="S114" t="s">
        <v>1029</v>
      </c>
      <c r="T114" s="5">
        <f>G79*1000</f>
        <v>24.897312540924425</v>
      </c>
    </row>
    <row r="115" spans="3:20" x14ac:dyDescent="0.35">
      <c r="D115" t="s">
        <v>487</v>
      </c>
      <c r="E115" t="s">
        <v>488</v>
      </c>
      <c r="F115" t="s">
        <v>489</v>
      </c>
      <c r="G115" t="s">
        <v>476</v>
      </c>
      <c r="H115" t="s">
        <v>490</v>
      </c>
      <c r="I115" t="s">
        <v>491</v>
      </c>
      <c r="J115" t="s">
        <v>492</v>
      </c>
      <c r="K115" t="s">
        <v>493</v>
      </c>
      <c r="L115" t="s">
        <v>494</v>
      </c>
      <c r="M115" t="s">
        <v>495</v>
      </c>
    </row>
    <row r="116" spans="3:20" x14ac:dyDescent="0.35">
      <c r="C116" s="54" t="s">
        <v>1062</v>
      </c>
      <c r="D116" s="32">
        <f t="shared" ref="D116:M116" si="63">SUM(D109:D110)</f>
        <v>0.1716705528809285</v>
      </c>
      <c r="E116" s="32">
        <f t="shared" si="63"/>
        <v>0.37186406114097137</v>
      </c>
      <c r="F116" s="32">
        <f t="shared" si="63"/>
        <v>0.35014233460761501</v>
      </c>
      <c r="G116" s="32">
        <f t="shared" si="63"/>
        <v>0.26451747753286819</v>
      </c>
      <c r="H116" s="32">
        <f t="shared" si="63"/>
        <v>0.62352214712998411</v>
      </c>
      <c r="I116" s="32">
        <f t="shared" si="63"/>
        <v>0.38747590859554532</v>
      </c>
      <c r="J116" s="32">
        <f t="shared" si="63"/>
        <v>0.47648987750076965</v>
      </c>
      <c r="K116" s="32">
        <f t="shared" si="63"/>
        <v>0.22152351139666041</v>
      </c>
      <c r="L116" s="32">
        <f t="shared" si="63"/>
        <v>0.10770879883805262</v>
      </c>
      <c r="M116" s="32">
        <f t="shared" si="63"/>
        <v>1.4218944186650218</v>
      </c>
    </row>
    <row r="117" spans="3:20" x14ac:dyDescent="0.35">
      <c r="C117" s="65" t="s">
        <v>800</v>
      </c>
      <c r="D117" s="314">
        <f t="shared" ref="D117:M117" si="64">SUM(D103:D108)</f>
        <v>0.31873598793378105</v>
      </c>
      <c r="E117" s="314">
        <f t="shared" si="64"/>
        <v>0.52247837521357754</v>
      </c>
      <c r="F117" s="314">
        <f t="shared" si="64"/>
        <v>1.1638810864368319</v>
      </c>
      <c r="G117" s="314">
        <f t="shared" si="64"/>
        <v>0.20901360185559323</v>
      </c>
      <c r="H117" s="314">
        <f t="shared" si="64"/>
        <v>0.59417860452354454</v>
      </c>
      <c r="I117" s="314">
        <f t="shared" si="64"/>
        <v>0.4617259536672631</v>
      </c>
      <c r="J117" s="314">
        <f t="shared" si="64"/>
        <v>9.3944095774655345E-2</v>
      </c>
      <c r="K117" s="314">
        <f t="shared" si="64"/>
        <v>0.18256238669009753</v>
      </c>
      <c r="L117" s="314">
        <f t="shared" si="64"/>
        <v>0.12641444043764946</v>
      </c>
      <c r="M117" s="314">
        <f t="shared" si="64"/>
        <v>1.3263719276786838</v>
      </c>
    </row>
    <row r="118" spans="3:20" x14ac:dyDescent="0.35">
      <c r="C118" s="65" t="s">
        <v>1057</v>
      </c>
      <c r="D118" s="314">
        <f t="shared" ref="D118:M118" si="65">SUM(D100:D102)</f>
        <v>0.25131965467223583</v>
      </c>
      <c r="E118" s="314">
        <f t="shared" si="65"/>
        <v>0.27745521176278748</v>
      </c>
      <c r="F118" s="314">
        <f t="shared" si="65"/>
        <v>0.16055046866619763</v>
      </c>
      <c r="G118" s="314">
        <f t="shared" si="65"/>
        <v>0.20442701399027693</v>
      </c>
      <c r="H118" s="314">
        <f t="shared" si="65"/>
        <v>0.32251774029808422</v>
      </c>
      <c r="I118" s="314">
        <f t="shared" si="65"/>
        <v>0.2493183577224547</v>
      </c>
      <c r="J118" s="314">
        <f t="shared" si="65"/>
        <v>0.16855823777119877</v>
      </c>
      <c r="K118" s="314">
        <f t="shared" si="65"/>
        <v>0.13819716650421693</v>
      </c>
      <c r="L118" s="314">
        <f t="shared" si="65"/>
        <v>0.35904008405224735</v>
      </c>
      <c r="M118" s="314">
        <f t="shared" si="65"/>
        <v>1.0138331052284122</v>
      </c>
    </row>
    <row r="119" spans="3:20" x14ac:dyDescent="0.35">
      <c r="C119" s="65" t="s">
        <v>595</v>
      </c>
      <c r="D119" s="314">
        <f t="shared" ref="D119:M119" si="66">D99</f>
        <v>-0.12530235032317705</v>
      </c>
      <c r="E119" s="314">
        <f t="shared" si="66"/>
        <v>-0.66163366379608923</v>
      </c>
      <c r="F119" s="314">
        <f t="shared" si="66"/>
        <v>-1.0674096113685183</v>
      </c>
      <c r="G119" s="314">
        <f t="shared" si="66"/>
        <v>-0.23839635380535704</v>
      </c>
      <c r="H119" s="314">
        <f t="shared" si="66"/>
        <v>-1.3072337150110123</v>
      </c>
      <c r="I119" s="314">
        <f t="shared" si="66"/>
        <v>-0.58824697492902955</v>
      </c>
      <c r="J119" s="314">
        <f t="shared" si="66"/>
        <v>-4.2726523334799531E-2</v>
      </c>
      <c r="K119" s="314">
        <f t="shared" si="66"/>
        <v>-0.11970204618087761</v>
      </c>
      <c r="L119" s="314">
        <f t="shared" si="66"/>
        <v>-3.2202367093101668E-2</v>
      </c>
      <c r="M119" s="314">
        <f t="shared" si="66"/>
        <v>-4.6497540003769204</v>
      </c>
    </row>
    <row r="120" spans="3:20" x14ac:dyDescent="0.35">
      <c r="C120" s="65" t="s">
        <v>1058</v>
      </c>
      <c r="D120" s="314">
        <f t="shared" ref="D120:M120" si="67">SUM(D92:D97)</f>
        <v>6.8999069691320442E-2</v>
      </c>
      <c r="E120" s="314">
        <f t="shared" si="67"/>
        <v>7.4230500854285467E-2</v>
      </c>
      <c r="F120" s="314">
        <f t="shared" si="67"/>
        <v>5.2819925282351167E-2</v>
      </c>
      <c r="G120" s="314">
        <f t="shared" si="67"/>
        <v>6.6331689151062967E-2</v>
      </c>
      <c r="H120" s="314">
        <f t="shared" si="67"/>
        <v>0.19363156723222519</v>
      </c>
      <c r="I120" s="314">
        <f t="shared" si="67"/>
        <v>6.8562031612892607E-2</v>
      </c>
      <c r="J120" s="314">
        <f t="shared" si="67"/>
        <v>5.4341526121456651E-2</v>
      </c>
      <c r="K120" s="314">
        <f t="shared" si="67"/>
        <v>0.18529355203998776</v>
      </c>
      <c r="L120" s="314">
        <f t="shared" si="67"/>
        <v>6.6315405405518307E-2</v>
      </c>
      <c r="M120" s="314">
        <f t="shared" si="67"/>
        <v>0.38404288078035009</v>
      </c>
    </row>
    <row r="121" spans="3:20" x14ac:dyDescent="0.35">
      <c r="C121" s="54" t="s">
        <v>1059</v>
      </c>
      <c r="D121" s="32">
        <f t="shared" ref="D121:M121" si="68">SUM(D89:D91)</f>
        <v>6.4343153955082957E-2</v>
      </c>
      <c r="E121" s="32">
        <f t="shared" si="68"/>
        <v>0.10507612537480286</v>
      </c>
      <c r="F121" s="32">
        <f t="shared" si="68"/>
        <v>6.5807662053493018E-2</v>
      </c>
      <c r="G121" s="32">
        <f t="shared" si="68"/>
        <v>5.9854265996819658E-2</v>
      </c>
      <c r="H121" s="32">
        <f t="shared" si="68"/>
        <v>0.21072518945025714</v>
      </c>
      <c r="I121" s="32">
        <f t="shared" si="68"/>
        <v>9.9841808009809699E-2</v>
      </c>
      <c r="J121" s="32">
        <f t="shared" si="68"/>
        <v>4.2562233029662319E-2</v>
      </c>
      <c r="K121" s="32">
        <f t="shared" si="68"/>
        <v>0.16382532438909536</v>
      </c>
      <c r="L121" s="32">
        <f t="shared" si="68"/>
        <v>5.2807850769464079E-2</v>
      </c>
      <c r="M121" s="32">
        <f t="shared" si="68"/>
        <v>0.29677075772022388</v>
      </c>
    </row>
    <row r="122" spans="3:20" x14ac:dyDescent="0.35">
      <c r="C122" s="54" t="s">
        <v>1060</v>
      </c>
      <c r="D122" s="32">
        <f t="shared" ref="D122:M122" si="69">SUM(D85:D86,D88,D82)</f>
        <v>4.7325435537262352E-2</v>
      </c>
      <c r="E122" s="32">
        <f t="shared" si="69"/>
        <v>7.3207061148029301E-2</v>
      </c>
      <c r="F122" s="32">
        <f t="shared" si="69"/>
        <v>0.12415642380626453</v>
      </c>
      <c r="G122" s="32">
        <f t="shared" si="69"/>
        <v>3.1127561516933445E-2</v>
      </c>
      <c r="H122" s="32">
        <f t="shared" si="69"/>
        <v>8.7063327420181386E-2</v>
      </c>
      <c r="I122" s="32">
        <f t="shared" si="69"/>
        <v>7.8528790373828344E-2</v>
      </c>
      <c r="J122" s="32">
        <f t="shared" si="69"/>
        <v>1.8200197526452067E-2</v>
      </c>
      <c r="K122" s="32">
        <f t="shared" si="69"/>
        <v>3.5214629582411019E-2</v>
      </c>
      <c r="L122" s="32">
        <f t="shared" si="69"/>
        <v>2.5838055825893165E-2</v>
      </c>
      <c r="M122" s="32">
        <f t="shared" si="69"/>
        <v>0.17487798149725448</v>
      </c>
    </row>
    <row r="123" spans="3:20" x14ac:dyDescent="0.35">
      <c r="C123" s="54" t="s">
        <v>1061</v>
      </c>
      <c r="D123" s="32">
        <f t="shared" ref="D123:M123" si="70">D84</f>
        <v>0.13638218785516906</v>
      </c>
      <c r="E123" s="32">
        <f t="shared" si="70"/>
        <v>0.22572320956017577</v>
      </c>
      <c r="F123" s="32">
        <f t="shared" si="70"/>
        <v>0.13122236259589842</v>
      </c>
      <c r="G123" s="32">
        <f t="shared" si="70"/>
        <v>0.17235336721317732</v>
      </c>
      <c r="H123" s="32">
        <f t="shared" si="70"/>
        <v>0.24548385847797519</v>
      </c>
      <c r="I123" s="32">
        <f t="shared" si="70"/>
        <v>0.23323828309492867</v>
      </c>
      <c r="J123" s="32">
        <f t="shared" si="70"/>
        <v>0.1332615795668895</v>
      </c>
      <c r="K123" s="32">
        <f t="shared" si="70"/>
        <v>8.6271163682105134E-2</v>
      </c>
      <c r="L123" s="32">
        <f t="shared" si="70"/>
        <v>0.23999162152639472</v>
      </c>
      <c r="M123" s="32">
        <f t="shared" si="70"/>
        <v>0.83813543831304194</v>
      </c>
    </row>
    <row r="124" spans="3:20" x14ac:dyDescent="0.35">
      <c r="C124" s="54" t="s">
        <v>1063</v>
      </c>
      <c r="D124" s="32">
        <f t="shared" ref="D124:M124" si="71">D87</f>
        <v>6.6526307797396697E-2</v>
      </c>
      <c r="E124" s="32">
        <f t="shared" si="71"/>
        <v>1.1599118741459418E-2</v>
      </c>
      <c r="F124" s="32">
        <f t="shared" si="71"/>
        <v>1.8829347919866873E-2</v>
      </c>
      <c r="G124" s="32">
        <f t="shared" si="71"/>
        <v>0.14040017699439175</v>
      </c>
      <c r="H124" s="32">
        <f t="shared" si="71"/>
        <v>3.011128047876065E-2</v>
      </c>
      <c r="I124" s="32">
        <f t="shared" si="71"/>
        <v>9.555841852306771E-3</v>
      </c>
      <c r="J124" s="32">
        <f t="shared" si="71"/>
        <v>5.5368776043715456E-2</v>
      </c>
      <c r="K124" s="32">
        <f t="shared" si="71"/>
        <v>0.10681431189630332</v>
      </c>
      <c r="L124" s="32">
        <f t="shared" si="71"/>
        <v>5.4086110237881915E-2</v>
      </c>
      <c r="M124" s="32">
        <f t="shared" si="71"/>
        <v>0.19382749049393125</v>
      </c>
    </row>
    <row r="125" spans="3:20" x14ac:dyDescent="0.35">
      <c r="C125" s="289" t="s">
        <v>1064</v>
      </c>
      <c r="D125" s="32">
        <f>D111</f>
        <v>0</v>
      </c>
      <c r="E125" s="32">
        <f t="shared" ref="E125:M125" si="72">E111</f>
        <v>0</v>
      </c>
      <c r="F125" s="32">
        <f t="shared" si="72"/>
        <v>0</v>
      </c>
      <c r="G125" s="32">
        <f t="shared" si="72"/>
        <v>9.0371199554233436E-2</v>
      </c>
      <c r="H125" s="32">
        <f t="shared" si="72"/>
        <v>0</v>
      </c>
      <c r="I125" s="32">
        <f t="shared" si="72"/>
        <v>0</v>
      </c>
      <c r="J125" s="32">
        <f t="shared" si="72"/>
        <v>0</v>
      </c>
      <c r="K125" s="32">
        <f t="shared" si="72"/>
        <v>0</v>
      </c>
      <c r="L125" s="32">
        <f t="shared" si="72"/>
        <v>0</v>
      </c>
      <c r="M125" s="32">
        <f t="shared" si="72"/>
        <v>0</v>
      </c>
      <c r="Q125" s="311"/>
      <c r="R125" s="302"/>
      <c r="S125" s="295"/>
    </row>
    <row r="126" spans="3:20" x14ac:dyDescent="0.35">
      <c r="C126" s="54" t="s">
        <v>1065</v>
      </c>
      <c r="D126" s="68">
        <f>D79</f>
        <v>1.6957457766466572E-4</v>
      </c>
      <c r="E126" s="34">
        <f t="shared" ref="E126:L126" si="73">E79</f>
        <v>6.7914471865563361E-2</v>
      </c>
      <c r="F126" s="68">
        <f t="shared" si="73"/>
        <v>5.7059713360851161E-5</v>
      </c>
      <c r="G126" s="34">
        <f t="shared" si="73"/>
        <v>2.4897312540924425E-2</v>
      </c>
      <c r="H126" s="68">
        <f t="shared" si="73"/>
        <v>4.8676936421782487E-10</v>
      </c>
      <c r="I126" s="68">
        <f t="shared" si="73"/>
        <v>3.0620601954191393E-9</v>
      </c>
      <c r="J126" s="68">
        <f t="shared" si="73"/>
        <v>5.7273861279585959E-9</v>
      </c>
      <c r="K126" s="34">
        <f t="shared" si="73"/>
        <v>1.596292030834051E-3</v>
      </c>
      <c r="L126" s="34">
        <f t="shared" si="73"/>
        <v>4.0137683216438659E-2</v>
      </c>
      <c r="M126" s="68">
        <f>M79</f>
        <v>4.6192157449796081E-6</v>
      </c>
      <c r="R126" s="304"/>
      <c r="S126" s="296"/>
    </row>
    <row r="127" spans="3:20" x14ac:dyDescent="0.35">
      <c r="D127" s="32">
        <f t="shared" ref="D127:M127" si="74">SUM(D116:D125)</f>
        <v>0.99999999999999978</v>
      </c>
      <c r="E127" s="32">
        <f t="shared" si="74"/>
        <v>1</v>
      </c>
      <c r="F127" s="32">
        <f t="shared" si="74"/>
        <v>1</v>
      </c>
      <c r="G127" s="32">
        <f t="shared" si="74"/>
        <v>0.99999999999999989</v>
      </c>
      <c r="H127" s="32">
        <f t="shared" si="74"/>
        <v>1</v>
      </c>
      <c r="I127" s="32">
        <f t="shared" si="74"/>
        <v>0.99999999999999956</v>
      </c>
      <c r="J127" s="32">
        <f t="shared" si="74"/>
        <v>1.0000000000000002</v>
      </c>
      <c r="K127" s="32">
        <f t="shared" si="74"/>
        <v>0.99999999999999989</v>
      </c>
      <c r="L127" s="32">
        <f t="shared" si="74"/>
        <v>0.99999999999999989</v>
      </c>
      <c r="M127" s="32">
        <f t="shared" si="74"/>
        <v>0.99999999999999911</v>
      </c>
      <c r="R127" s="303"/>
      <c r="S127" s="297"/>
    </row>
    <row r="128" spans="3:20" x14ac:dyDescent="0.35">
      <c r="R128" s="305"/>
      <c r="S128" s="298"/>
    </row>
    <row r="129" spans="18:19" x14ac:dyDescent="0.35">
      <c r="R129" s="306"/>
      <c r="S129" s="299"/>
    </row>
    <row r="130" spans="18:19" x14ac:dyDescent="0.35">
      <c r="R130" s="307"/>
      <c r="S130" s="300"/>
    </row>
    <row r="131" spans="18:19" ht="40.15" customHeight="1" x14ac:dyDescent="0.35">
      <c r="R131" s="308"/>
      <c r="S131" s="301"/>
    </row>
    <row r="132" spans="18:19" ht="40.15" customHeight="1" x14ac:dyDescent="0.35">
      <c r="R132" s="309"/>
    </row>
    <row r="133" spans="18:19" ht="40.15" customHeight="1" x14ac:dyDescent="0.35">
      <c r="R133" s="310"/>
    </row>
    <row r="134" spans="18:19" ht="40.15" customHeight="1" x14ac:dyDescent="0.35"/>
    <row r="153" spans="1:3" x14ac:dyDescent="0.35">
      <c r="C153" s="54" t="s">
        <v>476</v>
      </c>
    </row>
    <row r="154" spans="1:3" x14ac:dyDescent="0.35">
      <c r="B154" s="54" t="s">
        <v>595</v>
      </c>
      <c r="C154" s="211">
        <v>-0.198901095991912</v>
      </c>
    </row>
    <row r="155" spans="1:3" x14ac:dyDescent="0.35">
      <c r="B155" s="54" t="s">
        <v>1062</v>
      </c>
      <c r="C155" s="211">
        <v>0.17150056706487005</v>
      </c>
    </row>
    <row r="156" spans="1:3" x14ac:dyDescent="0.35">
      <c r="B156" s="54" t="s">
        <v>800</v>
      </c>
      <c r="C156" s="211">
        <v>0.14073524825856254</v>
      </c>
    </row>
    <row r="157" spans="1:3" x14ac:dyDescent="0.35">
      <c r="B157" s="54" t="s">
        <v>1057</v>
      </c>
      <c r="C157" s="211">
        <v>0.12046543285319687</v>
      </c>
    </row>
    <row r="158" spans="1:3" x14ac:dyDescent="0.35">
      <c r="A158" s="54"/>
      <c r="B158" s="54" t="s">
        <v>1058</v>
      </c>
      <c r="C158" s="211">
        <v>4.327370593767392E-2</v>
      </c>
    </row>
    <row r="159" spans="1:3" x14ac:dyDescent="0.35">
      <c r="B159" s="54" t="s">
        <v>1059</v>
      </c>
      <c r="C159" s="211">
        <v>4.0303093585626504E-2</v>
      </c>
    </row>
    <row r="160" spans="1:3" x14ac:dyDescent="0.35">
      <c r="B160" s="54" t="s">
        <v>1060</v>
      </c>
      <c r="C160" s="211">
        <v>2.0959859819782503E-2</v>
      </c>
    </row>
    <row r="161" spans="2:3" x14ac:dyDescent="0.35">
      <c r="B161" s="54" t="s">
        <v>1061</v>
      </c>
      <c r="C161" s="211">
        <v>0.11605478361324535</v>
      </c>
    </row>
    <row r="162" spans="2:3" x14ac:dyDescent="0.35">
      <c r="B162" s="54" t="s">
        <v>1063</v>
      </c>
      <c r="C162" s="211">
        <v>9.4538983623058057E-2</v>
      </c>
    </row>
    <row r="163" spans="2:3" x14ac:dyDescent="0.35">
      <c r="B163" s="54" t="s">
        <v>1064</v>
      </c>
      <c r="C163" s="211">
        <v>5.3267229252072071E-2</v>
      </c>
    </row>
    <row r="164" spans="2:3" x14ac:dyDescent="0.35">
      <c r="B164" s="54" t="s">
        <v>1011</v>
      </c>
      <c r="C164" s="315">
        <f>G79*1000</f>
        <v>24.897312540924425</v>
      </c>
    </row>
  </sheetData>
  <mergeCells count="9">
    <mergeCell ref="A9:B9"/>
    <mergeCell ref="A7:B7"/>
    <mergeCell ref="A8:B8"/>
    <mergeCell ref="A17:B17"/>
    <mergeCell ref="D1:M1"/>
    <mergeCell ref="A3:B3"/>
    <mergeCell ref="A4:B4"/>
    <mergeCell ref="A5:B5"/>
    <mergeCell ref="A6:B6"/>
  </mergeCells>
  <pageMargins left="0.7" right="0.7" top="0.75" bottom="0.75" header="0.3" footer="0.3"/>
  <pageSetup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C000"/>
  </sheetPr>
  <dimension ref="A1:IL226"/>
  <sheetViews>
    <sheetView tabSelected="1" zoomScaleNormal="100" workbookViewId="0">
      <selection activeCell="C11" sqref="C11"/>
    </sheetView>
  </sheetViews>
  <sheetFormatPr defaultRowHeight="14.5" x14ac:dyDescent="0.35"/>
  <cols>
    <col min="1" max="1" width="38.54296875" style="4" customWidth="1"/>
    <col min="2" max="2" width="19.7265625" customWidth="1"/>
    <col min="3" max="3" width="17.1796875" customWidth="1"/>
    <col min="4" max="5" width="18.54296875" customWidth="1"/>
    <col min="6" max="7" width="19.54296875" customWidth="1"/>
    <col min="8" max="8" width="32.26953125" bestFit="1" customWidth="1"/>
    <col min="9" max="38" width="19.54296875" customWidth="1"/>
    <col min="39" max="39" width="5" style="43" customWidth="1"/>
  </cols>
  <sheetData>
    <row r="1" spans="1:22" ht="43.15" customHeight="1" x14ac:dyDescent="0.35">
      <c r="A1" s="352" t="s">
        <v>627</v>
      </c>
      <c r="B1" s="352"/>
      <c r="C1" s="352"/>
      <c r="D1" s="121"/>
      <c r="E1" s="121"/>
      <c r="F1" s="121"/>
      <c r="G1" s="121"/>
      <c r="H1" s="121"/>
      <c r="I1" s="121"/>
    </row>
    <row r="2" spans="1:22" x14ac:dyDescent="0.35">
      <c r="A2" s="149" t="s">
        <v>833</v>
      </c>
      <c r="B2" s="30" t="s">
        <v>834</v>
      </c>
      <c r="C2" s="200">
        <f>A3/'Process Model'!C5</f>
        <v>142.04487970700714</v>
      </c>
      <c r="D2" s="85"/>
      <c r="E2" s="85"/>
      <c r="F2" s="211"/>
      <c r="G2" s="200"/>
      <c r="H2" s="198"/>
      <c r="I2" s="44"/>
      <c r="J2" s="31"/>
      <c r="K2" s="31"/>
    </row>
    <row r="3" spans="1:22" x14ac:dyDescent="0.35">
      <c r="A3" s="201">
        <v>351</v>
      </c>
      <c r="B3" s="197" t="s">
        <v>641</v>
      </c>
    </row>
    <row r="4" spans="1:22" x14ac:dyDescent="0.35">
      <c r="A4" s="4" t="s">
        <v>808</v>
      </c>
      <c r="B4" s="197" t="s">
        <v>811</v>
      </c>
      <c r="C4" s="197" t="s">
        <v>813</v>
      </c>
      <c r="D4" s="197" t="s">
        <v>625</v>
      </c>
      <c r="E4" s="197" t="s">
        <v>633</v>
      </c>
      <c r="F4" s="197" t="s">
        <v>626</v>
      </c>
      <c r="G4" s="197" t="s">
        <v>814</v>
      </c>
      <c r="H4" s="197" t="s">
        <v>624</v>
      </c>
      <c r="I4" s="197" t="s">
        <v>815</v>
      </c>
      <c r="J4" s="197" t="s">
        <v>817</v>
      </c>
      <c r="K4" s="197" t="s">
        <v>818</v>
      </c>
      <c r="L4" s="197" t="s">
        <v>819</v>
      </c>
      <c r="M4" s="197" t="s">
        <v>820</v>
      </c>
      <c r="N4" s="197" t="s">
        <v>823</v>
      </c>
      <c r="O4" s="197" t="s">
        <v>824</v>
      </c>
      <c r="P4" s="197" t="s">
        <v>825</v>
      </c>
    </row>
    <row r="5" spans="1:22" x14ac:dyDescent="0.35">
      <c r="A5" s="4" t="s">
        <v>251</v>
      </c>
      <c r="B5" s="167" t="s">
        <v>812</v>
      </c>
      <c r="C5" s="122" t="s">
        <v>827</v>
      </c>
      <c r="D5" s="122" t="s">
        <v>26</v>
      </c>
      <c r="E5" s="122" t="s">
        <v>26</v>
      </c>
      <c r="F5" s="122" t="s">
        <v>26</v>
      </c>
      <c r="G5" s="122" t="s">
        <v>26</v>
      </c>
      <c r="H5" s="122" t="s">
        <v>816</v>
      </c>
      <c r="I5" s="122" t="s">
        <v>816</v>
      </c>
      <c r="J5" s="122" t="s">
        <v>816</v>
      </c>
      <c r="K5" s="122" t="s">
        <v>816</v>
      </c>
      <c r="L5" s="122" t="s">
        <v>821</v>
      </c>
      <c r="M5" s="122" t="s">
        <v>822</v>
      </c>
      <c r="N5" s="122" t="s">
        <v>816</v>
      </c>
      <c r="O5" s="122" t="s">
        <v>816</v>
      </c>
      <c r="P5" s="122" t="s">
        <v>826</v>
      </c>
    </row>
    <row r="6" spans="1:22" x14ac:dyDescent="0.35">
      <c r="A6" s="4" t="s">
        <v>809</v>
      </c>
      <c r="B6" s="122">
        <v>3.3</v>
      </c>
      <c r="C6" s="122">
        <f>1.85</f>
        <v>1.85</v>
      </c>
      <c r="D6" s="122">
        <v>0.55000000000000004</v>
      </c>
      <c r="E6" s="122">
        <v>0.46</v>
      </c>
      <c r="F6" s="122">
        <v>0.49937808</v>
      </c>
      <c r="G6" s="122">
        <v>1.1025E-2</v>
      </c>
      <c r="H6" s="122">
        <v>9.4499999999999993</v>
      </c>
      <c r="I6" s="122">
        <v>36.229999999999997</v>
      </c>
      <c r="J6" s="122">
        <v>0.85</v>
      </c>
      <c r="K6" s="122">
        <v>2.4300000000000002</v>
      </c>
      <c r="M6" s="123">
        <f>SUM(B8:L8)</f>
        <v>310350.9554901357</v>
      </c>
      <c r="N6" s="123">
        <v>22.37</v>
      </c>
      <c r="O6" s="122">
        <v>9.24</v>
      </c>
      <c r="P6" s="123">
        <f>O8</f>
        <v>3243.2400000000002</v>
      </c>
    </row>
    <row r="7" spans="1:22" x14ac:dyDescent="0.35">
      <c r="A7" s="4" t="s">
        <v>810</v>
      </c>
      <c r="B7" s="6">
        <f>Outputs!A10/'Conversions Page'!D8*C2</f>
        <v>70164.116835323992</v>
      </c>
      <c r="C7" s="6">
        <f>Seeds_Per_ha/1000*C2</f>
        <v>10529.997841628056</v>
      </c>
      <c r="D7" s="6">
        <f>Inputs!A6*C2</f>
        <v>22921.782238319742</v>
      </c>
      <c r="E7" s="6">
        <f>Inputs!A7*C2</f>
        <v>2223.0023674146619</v>
      </c>
      <c r="F7" s="6">
        <f>Inputs!A8*C2</f>
        <v>10808.194896906174</v>
      </c>
      <c r="G7" s="6">
        <f>Lime_Treat_Input*C2</f>
        <v>64246.899091479332</v>
      </c>
      <c r="H7" s="6">
        <f>$A$3</f>
        <v>351</v>
      </c>
      <c r="I7" s="6">
        <f>1.6*A3</f>
        <v>561.6</v>
      </c>
      <c r="J7">
        <f>A3</f>
        <v>351</v>
      </c>
      <c r="K7">
        <f>A3</f>
        <v>351</v>
      </c>
      <c r="L7" s="32">
        <v>0.05</v>
      </c>
      <c r="M7" s="32">
        <v>0.04</v>
      </c>
      <c r="N7">
        <f>1*A3</f>
        <v>351</v>
      </c>
      <c r="O7">
        <f>A3</f>
        <v>351</v>
      </c>
      <c r="P7" s="32">
        <v>0.04</v>
      </c>
    </row>
    <row r="8" spans="1:22" x14ac:dyDescent="0.35">
      <c r="A8" s="4" t="s">
        <v>642</v>
      </c>
      <c r="B8" s="122">
        <f>B7*B6</f>
        <v>231541.58555656916</v>
      </c>
      <c r="C8" s="122">
        <f>C7*C6</f>
        <v>19480.496007011905</v>
      </c>
      <c r="D8" s="122">
        <f t="shared" ref="D8:I8" si="0">D7*D6</f>
        <v>12606.980231075859</v>
      </c>
      <c r="E8" s="122">
        <f t="shared" si="0"/>
        <v>1022.5810890107446</v>
      </c>
      <c r="F8" s="122">
        <f t="shared" si="0"/>
        <v>5397.3756158828028</v>
      </c>
      <c r="G8" s="122">
        <f t="shared" si="0"/>
        <v>708.32206248355965</v>
      </c>
      <c r="H8" s="122">
        <f t="shared" si="0"/>
        <v>3316.95</v>
      </c>
      <c r="I8" s="122">
        <f t="shared" si="0"/>
        <v>20346.768</v>
      </c>
      <c r="J8" s="122">
        <f>J7*J6</f>
        <v>298.34999999999997</v>
      </c>
      <c r="K8" s="122">
        <f>K7*K6</f>
        <v>852.93000000000006</v>
      </c>
      <c r="L8" s="123">
        <f>(SUM(B8:K8))*L7</f>
        <v>14778.616928101701</v>
      </c>
      <c r="M8" s="123">
        <f>M6*M7</f>
        <v>12414.038219605429</v>
      </c>
      <c r="N8" s="123">
        <f>N6*N7</f>
        <v>7851.8700000000008</v>
      </c>
      <c r="O8" s="122">
        <f>O6*O7</f>
        <v>3243.2400000000002</v>
      </c>
      <c r="P8" s="123">
        <f>P6*P7</f>
        <v>129.7296</v>
      </c>
    </row>
    <row r="9" spans="1:22" x14ac:dyDescent="0.35">
      <c r="D9" s="122"/>
      <c r="F9" s="6"/>
    </row>
    <row r="10" spans="1:22" x14ac:dyDescent="0.35">
      <c r="B10" t="s">
        <v>828</v>
      </c>
      <c r="C10" s="123">
        <f>B8</f>
        <v>231541.58555656916</v>
      </c>
      <c r="F10" s="122"/>
    </row>
    <row r="11" spans="1:22" x14ac:dyDescent="0.35">
      <c r="B11" t="s">
        <v>829</v>
      </c>
      <c r="C11" s="123">
        <f>-SUM(C8:P8)</f>
        <v>-102448.24775317201</v>
      </c>
      <c r="D11" s="123"/>
      <c r="F11" s="123"/>
    </row>
    <row r="12" spans="1:22" x14ac:dyDescent="0.35">
      <c r="A12" s="204">
        <v>0.48</v>
      </c>
      <c r="B12" t="s">
        <v>835</v>
      </c>
      <c r="C12" s="123">
        <f>C10+C11</f>
        <v>129093.33780339715</v>
      </c>
      <c r="F12" s="259" t="s">
        <v>953</v>
      </c>
      <c r="H12">
        <f>773000/'Conversions Page'!D10</f>
        <v>701254637.987499</v>
      </c>
      <c r="I12" t="s">
        <v>26</v>
      </c>
    </row>
    <row r="13" spans="1:22" x14ac:dyDescent="0.35">
      <c r="F13">
        <f>Inputs!K28</f>
        <v>0.32244570128175087</v>
      </c>
      <c r="H13">
        <f>Stover_Biomass_From_Agr</f>
        <v>5563.08</v>
      </c>
      <c r="I13" t="s">
        <v>8</v>
      </c>
    </row>
    <row r="14" spans="1:22" x14ac:dyDescent="0.35">
      <c r="A14" s="30" t="s">
        <v>808</v>
      </c>
      <c r="B14" s="200" t="s">
        <v>836</v>
      </c>
      <c r="C14" s="12" t="s">
        <v>837</v>
      </c>
      <c r="D14" s="200" t="s">
        <v>838</v>
      </c>
      <c r="E14" s="200" t="s">
        <v>839</v>
      </c>
      <c r="F14" s="262" t="s">
        <v>952</v>
      </c>
      <c r="G14" s="200" t="s">
        <v>842</v>
      </c>
      <c r="H14" s="230">
        <f>H12/H13</f>
        <v>126055.10580245098</v>
      </c>
      <c r="I14" s="198" t="s">
        <v>878</v>
      </c>
      <c r="J14" s="198"/>
      <c r="K14" s="44"/>
      <c r="L14" s="44"/>
      <c r="M14" s="44"/>
      <c r="N14" s="44"/>
      <c r="O14" s="44"/>
      <c r="P14" s="44"/>
      <c r="Q14" s="44"/>
      <c r="R14" s="44" t="s">
        <v>837</v>
      </c>
      <c r="S14" s="44" t="s">
        <v>838</v>
      </c>
      <c r="T14" s="44" t="s">
        <v>839</v>
      </c>
      <c r="U14" s="44" t="s">
        <v>952</v>
      </c>
      <c r="V14" s="44" t="s">
        <v>842</v>
      </c>
    </row>
    <row r="15" spans="1:22" x14ac:dyDescent="0.35">
      <c r="A15" s="4" t="s">
        <v>251</v>
      </c>
      <c r="B15" s="5" t="s">
        <v>26</v>
      </c>
      <c r="C15" s="10" t="s">
        <v>31</v>
      </c>
      <c r="D15" t="s">
        <v>840</v>
      </c>
      <c r="E15" t="s">
        <v>841</v>
      </c>
      <c r="F15" t="s">
        <v>23</v>
      </c>
      <c r="G15" t="s">
        <v>26</v>
      </c>
      <c r="I15" s="3" t="s">
        <v>879</v>
      </c>
      <c r="J15" s="3"/>
      <c r="K15" s="3"/>
      <c r="L15" s="3">
        <v>3.3481615600914318E-2</v>
      </c>
      <c r="M15" s="3">
        <v>2.5908750000000001E-2</v>
      </c>
      <c r="N15" s="3" t="s">
        <v>929</v>
      </c>
      <c r="O15" s="3"/>
      <c r="P15" s="3"/>
      <c r="R15">
        <f>R16/$Q16</f>
        <v>0.21741028591943512</v>
      </c>
      <c r="S15">
        <f t="shared" ref="S15:V15" si="1">S16/$Q16</f>
        <v>0.13167219380132109</v>
      </c>
      <c r="T15">
        <f t="shared" si="1"/>
        <v>6.9718940150047481E-2</v>
      </c>
      <c r="U15">
        <f t="shared" si="1"/>
        <v>0.58119858012919634</v>
      </c>
      <c r="V15">
        <f t="shared" si="1"/>
        <v>0</v>
      </c>
    </row>
    <row r="16" spans="1:22" x14ac:dyDescent="0.35">
      <c r="A16" s="4" t="s">
        <v>809</v>
      </c>
      <c r="B16" s="126">
        <f>(C18+D18+E18+F18+G18)/B17</f>
        <v>7.9749593436297866E-2</v>
      </c>
      <c r="C16" s="122">
        <v>38.31</v>
      </c>
      <c r="D16" s="122">
        <v>0.5</v>
      </c>
      <c r="E16">
        <f>0.1381+0.00781</f>
        <v>0.14591000000000001</v>
      </c>
      <c r="F16" s="123">
        <f>(((D7*D6)+(C7*C6)+(E7*E6)+(F7+F6)+(G7+G6)+(H7*H6))/A3)*F13</f>
        <v>102.41335873593594</v>
      </c>
      <c r="G16" s="6">
        <v>0</v>
      </c>
      <c r="I16" s="3" t="s">
        <v>883</v>
      </c>
      <c r="J16" s="3"/>
      <c r="K16" s="3"/>
      <c r="L16" s="3">
        <v>3.1014634399085687E-2</v>
      </c>
      <c r="M16" s="3">
        <v>3.8587500000000004E-2</v>
      </c>
      <c r="N16" s="3" t="s">
        <v>930</v>
      </c>
      <c r="O16" s="3"/>
      <c r="P16" s="3"/>
      <c r="Q16" s="3">
        <v>61849.925559561307</v>
      </c>
      <c r="R16" s="3">
        <v>13446.810000000001</v>
      </c>
      <c r="S16" s="3">
        <v>8143.9153848758388</v>
      </c>
      <c r="T16" s="3">
        <v>4312.1112583719469</v>
      </c>
      <c r="U16" s="3">
        <v>35947.088916313522</v>
      </c>
      <c r="V16" s="3">
        <v>0</v>
      </c>
    </row>
    <row r="17" spans="1:22" x14ac:dyDescent="0.35">
      <c r="A17" s="167" t="s">
        <v>810</v>
      </c>
      <c r="B17" s="229">
        <f>Biomass_Input_To_BP*C2</f>
        <v>790207.02940045728</v>
      </c>
      <c r="C17">
        <f>A3</f>
        <v>351</v>
      </c>
      <c r="D17" s="6">
        <f>(Biomass_Input_To_BP/1500)*Avg_Miles_To_Biorefinery*C2</f>
        <v>18625.358301011362</v>
      </c>
      <c r="E17" s="213">
        <f>(749/3.6)*C2</f>
        <v>29553.226361263427</v>
      </c>
      <c r="F17">
        <f>A3</f>
        <v>351</v>
      </c>
      <c r="G17" s="229">
        <f>(Biomass_Input_To_BP*C2)</f>
        <v>790207.02940045728</v>
      </c>
      <c r="H17" s="213">
        <f>H14/142</f>
        <v>887.71201269331675</v>
      </c>
      <c r="I17" s="3" t="s">
        <v>880</v>
      </c>
      <c r="J17" s="122"/>
      <c r="K17" s="122"/>
      <c r="L17" s="122"/>
      <c r="M17" s="122"/>
      <c r="N17" s="122"/>
      <c r="O17" s="122"/>
      <c r="P17" s="122"/>
      <c r="Q17" s="122"/>
      <c r="R17" s="122"/>
      <c r="S17" s="122"/>
      <c r="T17" s="122"/>
      <c r="V17" s="122"/>
    </row>
    <row r="18" spans="1:22" x14ac:dyDescent="0.35">
      <c r="A18" s="4" t="s">
        <v>642</v>
      </c>
      <c r="B18" s="122">
        <f>(B17*B16)</f>
        <v>63018.689325191146</v>
      </c>
      <c r="C18" s="123">
        <f>C16*C17</f>
        <v>13446.810000000001</v>
      </c>
      <c r="D18" s="123">
        <f>D16*D17</f>
        <v>9312.6791505056808</v>
      </c>
      <c r="E18" s="122">
        <f>E17*E16</f>
        <v>4312.1112583719469</v>
      </c>
      <c r="F18" s="123">
        <f>F16*F17</f>
        <v>35947.088916313514</v>
      </c>
      <c r="G18" s="123">
        <v>0</v>
      </c>
      <c r="H18" s="16"/>
      <c r="I18" s="3" t="s">
        <v>881</v>
      </c>
      <c r="L18" t="s">
        <v>931</v>
      </c>
      <c r="M18">
        <f>Final_Gal_EtOH</f>
        <v>472.45852657821541</v>
      </c>
    </row>
    <row r="19" spans="1:22" x14ac:dyDescent="0.35">
      <c r="B19" s="123"/>
      <c r="F19" s="128"/>
      <c r="H19" s="123" t="s">
        <v>928</v>
      </c>
      <c r="I19" s="123"/>
      <c r="L19" t="s">
        <v>932</v>
      </c>
      <c r="M19">
        <f>Stover_Delivered_To_BP</f>
        <v>5563.08</v>
      </c>
      <c r="O19" t="s">
        <v>934</v>
      </c>
      <c r="P19" s="122">
        <f>M20*B16</f>
        <v>0.93903135046955966</v>
      </c>
    </row>
    <row r="20" spans="1:22" x14ac:dyDescent="0.35">
      <c r="A20" s="4" t="s">
        <v>925</v>
      </c>
      <c r="B20" s="122">
        <f>B18-C18-D18-E18-F18-G18</f>
        <v>0</v>
      </c>
      <c r="F20" s="247" t="s">
        <v>926</v>
      </c>
      <c r="G20" s="249">
        <f>B16</f>
        <v>7.9749593436297866E-2</v>
      </c>
      <c r="H20" s="251">
        <f>G21-G20</f>
        <v>-1.5253343436297861E-2</v>
      </c>
      <c r="J20" s="123">
        <f>G20/'Conversions Page'!D10</f>
        <v>72.347700226159489</v>
      </c>
      <c r="K20" t="s">
        <v>966</v>
      </c>
      <c r="L20" t="s">
        <v>933</v>
      </c>
      <c r="M20">
        <f>M19/M18</f>
        <v>11.774747807581441</v>
      </c>
      <c r="N20" s="123"/>
      <c r="O20" t="s">
        <v>891</v>
      </c>
      <c r="P20" s="123">
        <f>M20*G21</f>
        <v>0.75942707828472455</v>
      </c>
    </row>
    <row r="21" spans="1:22" x14ac:dyDescent="0.35">
      <c r="F21" s="247" t="s">
        <v>927</v>
      </c>
      <c r="G21" s="249">
        <f>(58.5/2000)/'Conversions Page'!D9</f>
        <v>6.4496250000000005E-2</v>
      </c>
      <c r="J21" s="123">
        <f>G21/'Conversions Page'!D10</f>
        <v>58.510083370376755</v>
      </c>
      <c r="K21" t="s">
        <v>966</v>
      </c>
    </row>
    <row r="22" spans="1:22" x14ac:dyDescent="0.35">
      <c r="B22" s="123"/>
      <c r="F22" s="247"/>
      <c r="G22" s="92">
        <f>G20/G21</f>
        <v>1.2364996947310558</v>
      </c>
    </row>
    <row r="23" spans="1:22" x14ac:dyDescent="0.35">
      <c r="H23" s="250"/>
    </row>
    <row r="24" spans="1:22" x14ac:dyDescent="0.35">
      <c r="C24" s="353" t="s">
        <v>673</v>
      </c>
      <c r="D24" s="353"/>
      <c r="F24" s="123"/>
      <c r="H24" s="250"/>
      <c r="K24" s="257" t="s">
        <v>605</v>
      </c>
      <c r="L24">
        <v>137.22596623106026</v>
      </c>
      <c r="M24" t="s">
        <v>606</v>
      </c>
    </row>
    <row r="25" spans="1:22" x14ac:dyDescent="0.35">
      <c r="C25" s="353"/>
      <c r="D25" s="353"/>
      <c r="K25" s="257" t="s">
        <v>608</v>
      </c>
      <c r="L25">
        <v>71.08870931042037</v>
      </c>
      <c r="M25" t="s">
        <v>609</v>
      </c>
    </row>
    <row r="26" spans="1:22" x14ac:dyDescent="0.35">
      <c r="A26" s="4" t="s">
        <v>250</v>
      </c>
      <c r="B26" s="75" t="s">
        <v>623</v>
      </c>
      <c r="C26" s="75" t="s">
        <v>636</v>
      </c>
      <c r="D26" s="75" t="s">
        <v>642</v>
      </c>
      <c r="E26" s="75" t="s">
        <v>644</v>
      </c>
      <c r="F26" s="75" t="s">
        <v>643</v>
      </c>
      <c r="G26" s="75" t="s">
        <v>645</v>
      </c>
      <c r="H26" s="197" t="s">
        <v>798</v>
      </c>
      <c r="J26" s="10" t="s">
        <v>986</v>
      </c>
      <c r="K26" s="257" t="s">
        <v>610</v>
      </c>
      <c r="L26">
        <v>172.26061255202828</v>
      </c>
      <c r="M26" t="s">
        <v>611</v>
      </c>
    </row>
    <row r="27" spans="1:22" x14ac:dyDescent="0.35">
      <c r="A27" s="4" t="s">
        <v>628</v>
      </c>
      <c r="B27" s="56">
        <f>DAH_Dilution_Water_I</f>
        <v>21584.750400000001</v>
      </c>
      <c r="C27" s="129">
        <v>2.2049999999999999E-4</v>
      </c>
      <c r="D27" s="122">
        <f>B27*C27</f>
        <v>4.7594374632000003</v>
      </c>
      <c r="E27" s="126">
        <f>D27/'Process Model'!$R$4</f>
        <v>1.0073767739298228E-2</v>
      </c>
      <c r="F27" s="137" t="s">
        <v>596</v>
      </c>
      <c r="H27">
        <f>(E27*61000000)/I$98</f>
        <v>1.0835687345691574E-2</v>
      </c>
      <c r="J27" s="279">
        <f>E27/E$49</f>
        <v>6.6765419847342354E-3</v>
      </c>
      <c r="K27" s="257" t="s">
        <v>618</v>
      </c>
      <c r="L27">
        <v>80.676174072871845</v>
      </c>
      <c r="M27" t="s">
        <v>616</v>
      </c>
    </row>
    <row r="28" spans="1:22" x14ac:dyDescent="0.35">
      <c r="A28" s="4" t="s">
        <v>629</v>
      </c>
      <c r="B28" s="94">
        <f>Sulf_Acid_DAH_I</f>
        <v>172.67800320000001</v>
      </c>
      <c r="C28" s="129">
        <v>8.7979500000000002E-2</v>
      </c>
      <c r="D28" s="122">
        <f t="shared" ref="D28:D35" si="2">B28*C28</f>
        <v>15.1921243825344</v>
      </c>
      <c r="E28" s="126">
        <f>D28/'Process Model'!$R$4</f>
        <v>3.2155466623839939E-2</v>
      </c>
      <c r="F28" s="127">
        <v>2.4500000000000001E-2</v>
      </c>
      <c r="G28">
        <f t="shared" ref="G28:G34" si="3">F28/E28</f>
        <v>0.76192332353951275</v>
      </c>
      <c r="H28">
        <f t="shared" ref="H28:H44" si="4">(E28*61000000)/I$98</f>
        <v>3.4587514007447508E-2</v>
      </c>
      <c r="J28" s="279">
        <f t="shared" ref="J28:J44" si="5">E28/E$49</f>
        <v>2.1311522015271676E-2</v>
      </c>
      <c r="K28" s="257" t="s">
        <v>172</v>
      </c>
      <c r="L28">
        <v>71.000955320698168</v>
      </c>
      <c r="M28" t="s">
        <v>617</v>
      </c>
    </row>
    <row r="29" spans="1:22" x14ac:dyDescent="0.35">
      <c r="A29" s="4" t="s">
        <v>630</v>
      </c>
      <c r="B29">
        <f>Ammon_DAH_I</f>
        <v>59.969597416352123</v>
      </c>
      <c r="C29" s="129">
        <v>0.43945650000000003</v>
      </c>
      <c r="D29" s="122">
        <f t="shared" si="2"/>
        <v>26.354029386999148</v>
      </c>
      <c r="E29" s="126">
        <f>D29/'Process Model'!$R$4</f>
        <v>5.5780619682892406E-2</v>
      </c>
      <c r="F29" s="127">
        <v>6.5000000000000002E-2</v>
      </c>
      <c r="G29">
        <f t="shared" si="3"/>
        <v>1.1652792738682165</v>
      </c>
      <c r="H29">
        <f t="shared" si="4"/>
        <v>5.9999532496155979E-2</v>
      </c>
      <c r="J29" s="279">
        <f t="shared" si="5"/>
        <v>3.6969449652337144E-2</v>
      </c>
      <c r="K29" s="257" t="s">
        <v>619</v>
      </c>
      <c r="L29">
        <v>384.01861009750496</v>
      </c>
      <c r="M29" t="s">
        <v>98</v>
      </c>
    </row>
    <row r="30" spans="1:22" x14ac:dyDescent="0.35">
      <c r="A30" s="4" t="s">
        <v>631</v>
      </c>
      <c r="B30">
        <f>EH_Dilution_Water_Input</f>
        <v>21001.962139200001</v>
      </c>
      <c r="C30" s="129">
        <f>C27</f>
        <v>2.2049999999999999E-4</v>
      </c>
      <c r="D30" s="122">
        <f>B30*C30</f>
        <v>4.6309326516936</v>
      </c>
      <c r="E30" s="126">
        <f>D30/'Process Model'!$R$4</f>
        <v>9.8017760103371737E-3</v>
      </c>
      <c r="F30" s="137" t="s">
        <v>596</v>
      </c>
      <c r="H30">
        <f t="shared" si="4"/>
        <v>1.0543123787357901E-2</v>
      </c>
      <c r="J30" s="279">
        <f t="shared" si="5"/>
        <v>6.4962753511464098E-3</v>
      </c>
      <c r="K30" s="257" t="s">
        <v>635</v>
      </c>
      <c r="L30">
        <v>8.7004091991857777</v>
      </c>
      <c r="M30" t="s">
        <v>26</v>
      </c>
    </row>
    <row r="31" spans="1:22" x14ac:dyDescent="0.35">
      <c r="A31" s="37" t="s">
        <v>648</v>
      </c>
      <c r="B31" s="134">
        <f>L30</f>
        <v>8.7004091991857777</v>
      </c>
      <c r="C31" s="129">
        <v>0.98709029999999998</v>
      </c>
      <c r="D31" s="122">
        <f>B31*C31</f>
        <v>8.5880895265470496</v>
      </c>
      <c r="E31" s="126">
        <f>D31/'Process Model'!$R$4</f>
        <v>1.8177446364967431E-2</v>
      </c>
      <c r="F31" s="127">
        <v>1.9400000000000001E-2</v>
      </c>
      <c r="G31">
        <f>F31/E31</f>
        <v>1.0672566217765738</v>
      </c>
      <c r="H31">
        <f t="shared" si="4"/>
        <v>1.955227980743441E-2</v>
      </c>
      <c r="J31" s="279">
        <f t="shared" si="5"/>
        <v>1.2047377602078234E-2</v>
      </c>
    </row>
    <row r="32" spans="1:22" x14ac:dyDescent="0.35">
      <c r="A32" s="4" t="s">
        <v>137</v>
      </c>
      <c r="B32">
        <v>140</v>
      </c>
      <c r="C32" s="129">
        <v>0.56866950000000005</v>
      </c>
      <c r="D32" s="122">
        <f t="shared" si="2"/>
        <v>79.613730000000004</v>
      </c>
      <c r="E32" s="126">
        <f>D32/'Process Model'!$R$4</f>
        <v>0.16850945748953472</v>
      </c>
      <c r="F32" s="127">
        <v>0.19339999999999999</v>
      </c>
      <c r="G32">
        <f t="shared" si="3"/>
        <v>1.1477100625762271</v>
      </c>
      <c r="H32">
        <f>(E32*61000000)/I$98</f>
        <v>0.18125450609961188</v>
      </c>
      <c r="J32" s="279">
        <f t="shared" si="5"/>
        <v>0.11168219248938559</v>
      </c>
    </row>
    <row r="33" spans="1:13" x14ac:dyDescent="0.35">
      <c r="A33" s="37" t="s">
        <v>632</v>
      </c>
      <c r="B33" s="118">
        <f>B29/10</f>
        <v>5.9969597416352123</v>
      </c>
      <c r="C33" s="129">
        <f>C29</f>
        <v>0.43945650000000003</v>
      </c>
      <c r="D33" s="122">
        <f t="shared" si="2"/>
        <v>2.6354029386999147</v>
      </c>
      <c r="E33" s="126">
        <f>D33/'Process Model'!$R$4</f>
        <v>5.5780619682892409E-3</v>
      </c>
      <c r="F33" s="127">
        <v>7.1000000000000004E-3</v>
      </c>
      <c r="G33" s="3">
        <f t="shared" si="3"/>
        <v>1.2728435145329748</v>
      </c>
      <c r="H33">
        <f t="shared" si="4"/>
        <v>5.9999532496155979E-3</v>
      </c>
      <c r="J33" s="279">
        <f t="shared" si="5"/>
        <v>3.6969449652337148E-3</v>
      </c>
    </row>
    <row r="34" spans="1:13" x14ac:dyDescent="0.35">
      <c r="A34" s="37" t="s">
        <v>424</v>
      </c>
      <c r="B34">
        <f>SO2_EP_I</f>
        <v>0.90327199999999996</v>
      </c>
      <c r="C34" s="129">
        <v>0.30384899999999998</v>
      </c>
      <c r="D34" s="122">
        <f t="shared" si="2"/>
        <v>0.27445829392799997</v>
      </c>
      <c r="E34" s="126">
        <f>D34/'Process Model'!$R$4</f>
        <v>5.8091510362987063E-4</v>
      </c>
      <c r="F34" s="127">
        <v>6.9999999999999999E-4</v>
      </c>
      <c r="G34">
        <f t="shared" si="3"/>
        <v>1.2049953523776931</v>
      </c>
      <c r="H34">
        <f t="shared" si="4"/>
        <v>6.2485205140949619E-4</v>
      </c>
      <c r="J34" s="279">
        <f t="shared" si="5"/>
        <v>3.8501027414210163E-4</v>
      </c>
    </row>
    <row r="35" spans="1:13" x14ac:dyDescent="0.35">
      <c r="A35" s="37" t="s">
        <v>425</v>
      </c>
      <c r="B35" s="118">
        <f>L27</f>
        <v>80.676174072871845</v>
      </c>
      <c r="C35" s="129">
        <v>5.5565999999999997E-2</v>
      </c>
      <c r="D35" s="122">
        <f t="shared" si="2"/>
        <v>4.4828522885331967</v>
      </c>
      <c r="E35" s="126">
        <f>D35/'Process Model'!$R$4</f>
        <v>9.4883509056345947E-3</v>
      </c>
      <c r="F35" s="127">
        <v>9.1000000000000004E-3</v>
      </c>
      <c r="G35">
        <f t="shared" ref="G35:G43" si="6">F35/E35</f>
        <v>0.95907076904122779</v>
      </c>
      <c r="H35">
        <f t="shared" si="4"/>
        <v>1.0205993080284007E-2</v>
      </c>
      <c r="J35" s="279">
        <f t="shared" si="5"/>
        <v>6.2885481209013459E-3</v>
      </c>
      <c r="M35">
        <v>20.637</v>
      </c>
    </row>
    <row r="36" spans="1:13" x14ac:dyDescent="0.35">
      <c r="A36" s="37" t="s">
        <v>413</v>
      </c>
      <c r="B36" s="214">
        <f>M36</f>
        <v>15.35640444</v>
      </c>
      <c r="C36" s="215"/>
      <c r="D36" s="216"/>
      <c r="E36" s="217"/>
      <c r="F36" s="218"/>
      <c r="G36" s="216"/>
      <c r="J36" s="279"/>
      <c r="L36">
        <f>Corn_Oil_EP_I</f>
        <v>0.74412</v>
      </c>
      <c r="M36">
        <f>L36*M$35</f>
        <v>15.35640444</v>
      </c>
    </row>
    <row r="37" spans="1:13" x14ac:dyDescent="0.35">
      <c r="A37" s="37" t="s">
        <v>634</v>
      </c>
      <c r="B37">
        <f>M37</f>
        <v>21.498966215999999</v>
      </c>
      <c r="C37" s="130"/>
      <c r="D37" s="131"/>
      <c r="E37" s="132"/>
      <c r="F37" s="133"/>
      <c r="G37" s="131"/>
      <c r="J37" s="279"/>
      <c r="L37">
        <f>Ammon_Sulfate_EP</f>
        <v>1.041768</v>
      </c>
      <c r="M37">
        <f>L37*M$35</f>
        <v>21.498966215999999</v>
      </c>
    </row>
    <row r="38" spans="1:13" x14ac:dyDescent="0.35">
      <c r="A38" s="37" t="s">
        <v>427</v>
      </c>
      <c r="B38">
        <f>M38</f>
        <v>30.712808880000001</v>
      </c>
      <c r="C38" s="129">
        <v>0.82180399999999998</v>
      </c>
      <c r="D38" s="123">
        <f>C38*(SUM(B36:B40))</f>
        <v>64.002768271764907</v>
      </c>
      <c r="E38" s="126">
        <f>D38/'Process Model'!R4</f>
        <v>0.13546748480825493</v>
      </c>
      <c r="F38" s="127">
        <v>7.6E-3</v>
      </c>
      <c r="G38">
        <f t="shared" si="6"/>
        <v>5.610202338042436E-2</v>
      </c>
      <c r="H38">
        <f t="shared" si="4"/>
        <v>0.1457134360129422</v>
      </c>
      <c r="J38" s="279">
        <f t="shared" si="5"/>
        <v>8.9783125171761055E-2</v>
      </c>
      <c r="L38">
        <f>Potass_Phosph_EP_I</f>
        <v>1.48824</v>
      </c>
      <c r="M38">
        <f>L38*M$35</f>
        <v>30.712808880000001</v>
      </c>
    </row>
    <row r="39" spans="1:13" x14ac:dyDescent="0.35">
      <c r="A39" s="37" t="s">
        <v>428</v>
      </c>
      <c r="B39">
        <f>M39</f>
        <v>4.6069213319999998</v>
      </c>
      <c r="C39" s="130"/>
      <c r="D39" s="131"/>
      <c r="E39" s="132"/>
      <c r="F39" s="133"/>
      <c r="G39" s="131"/>
      <c r="J39" s="279"/>
      <c r="L39">
        <f>Mg_Sulfate_EP_I</f>
        <v>0.22323599999999999</v>
      </c>
      <c r="M39">
        <f>L39*M$35</f>
        <v>4.6069213319999998</v>
      </c>
    </row>
    <row r="40" spans="1:13" x14ac:dyDescent="0.35">
      <c r="A40" s="37" t="s">
        <v>429</v>
      </c>
      <c r="B40" s="219">
        <f>M40</f>
        <v>5.7057177600000006</v>
      </c>
      <c r="C40" s="220"/>
      <c r="D40" s="221"/>
      <c r="E40" s="222"/>
      <c r="F40" s="223"/>
      <c r="G40" s="221"/>
      <c r="J40" s="279"/>
      <c r="L40">
        <f>Inputs!A32</f>
        <v>0.27648</v>
      </c>
      <c r="M40">
        <f>L40*M$35</f>
        <v>5.7057177600000006</v>
      </c>
    </row>
    <row r="41" spans="1:13" x14ac:dyDescent="0.35">
      <c r="A41" s="37" t="s">
        <v>647</v>
      </c>
      <c r="B41" s="135">
        <f>'Process Model'!R12</f>
        <v>81.853207873961097</v>
      </c>
      <c r="C41" s="129">
        <v>0.19940920000000001</v>
      </c>
      <c r="D41" s="123">
        <f>C41*B41</f>
        <v>16.322282699580285</v>
      </c>
      <c r="E41" s="126">
        <f>D41/'Process Model'!$R$4</f>
        <v>3.4547546041330965E-2</v>
      </c>
      <c r="F41" s="127">
        <v>2.4559999999999998E-2</v>
      </c>
      <c r="G41">
        <f t="shared" si="6"/>
        <v>0.71090432792585723</v>
      </c>
      <c r="H41">
        <f t="shared" si="4"/>
        <v>3.7160516020674626E-2</v>
      </c>
      <c r="J41" s="279">
        <f t="shared" si="5"/>
        <v>2.2896908841234971E-2</v>
      </c>
      <c r="M41">
        <f>SUM(M36:M40)</f>
        <v>77.880818628</v>
      </c>
    </row>
    <row r="42" spans="1:13" x14ac:dyDescent="0.35">
      <c r="A42" s="37" t="s">
        <v>646</v>
      </c>
      <c r="B42" s="136">
        <f>L24</f>
        <v>137.22596623106026</v>
      </c>
      <c r="C42" s="129">
        <v>0.1378125</v>
      </c>
      <c r="D42" s="123">
        <f>C42*B42</f>
        <v>18.911453471217992</v>
      </c>
      <c r="E42" s="126">
        <f>D42/'Process Model'!$R$4</f>
        <v>4.0027753564284979E-2</v>
      </c>
      <c r="F42" s="142">
        <v>4.6399999999999997E-2</v>
      </c>
      <c r="G42">
        <f t="shared" si="6"/>
        <v>1.1591957046872772</v>
      </c>
      <c r="H42">
        <f t="shared" si="4"/>
        <v>4.3055213699338138E-2</v>
      </c>
      <c r="J42" s="279">
        <f t="shared" si="5"/>
        <v>2.6528999292290752E-2</v>
      </c>
    </row>
    <row r="43" spans="1:13" x14ac:dyDescent="0.35">
      <c r="A43" s="37" t="s">
        <v>674</v>
      </c>
      <c r="B43" s="136">
        <f>'Process Model'!R18</f>
        <v>11.161301174567939</v>
      </c>
      <c r="C43" s="129">
        <v>2.1</v>
      </c>
      <c r="D43" s="123">
        <f>C43*B43</f>
        <v>23.438732466592672</v>
      </c>
      <c r="E43" s="126">
        <f>D43/'Process Model'!$R$4</f>
        <v>4.9610137499999998E-2</v>
      </c>
      <c r="F43" s="142">
        <v>5.1799999999999999E-2</v>
      </c>
      <c r="G43">
        <f t="shared" si="6"/>
        <v>1.0441414317789384</v>
      </c>
      <c r="H43">
        <f t="shared" si="4"/>
        <v>5.3362351906300481E-2</v>
      </c>
      <c r="J43" s="279">
        <f t="shared" si="5"/>
        <v>3.2879869226592119E-2</v>
      </c>
    </row>
    <row r="44" spans="1:13" x14ac:dyDescent="0.35">
      <c r="A44" s="37" t="s">
        <v>653</v>
      </c>
      <c r="E44" s="252">
        <f>P19</f>
        <v>0.93903135046955966</v>
      </c>
      <c r="F44" s="142">
        <v>0.74</v>
      </c>
      <c r="H44">
        <f t="shared" si="4"/>
        <v>1.0100540716059339</v>
      </c>
      <c r="J44" s="279">
        <f t="shared" si="5"/>
        <v>0.62235723501289064</v>
      </c>
    </row>
    <row r="45" spans="1:13" x14ac:dyDescent="0.35">
      <c r="D45" s="149" t="s">
        <v>486</v>
      </c>
      <c r="E45" s="146">
        <f>SUM(E27:E44)</f>
        <v>1.5088301342718542</v>
      </c>
      <c r="F45" s="147">
        <f>SUM(F32:F44,F28:F29)+0.066</f>
        <v>1.2361599999999999</v>
      </c>
      <c r="G45" s="148">
        <f>F45/E45</f>
        <v>0.81928374302820905</v>
      </c>
      <c r="J45" s="279"/>
    </row>
    <row r="46" spans="1:13" x14ac:dyDescent="0.35">
      <c r="A46" s="37" t="s">
        <v>651</v>
      </c>
      <c r="C46" t="s">
        <v>650</v>
      </c>
      <c r="J46" s="279"/>
    </row>
    <row r="47" spans="1:13" x14ac:dyDescent="0.35">
      <c r="A47" s="4" t="s">
        <v>649</v>
      </c>
      <c r="B47">
        <f>Outputs!F22/3.6</f>
        <v>754.5456058333333</v>
      </c>
      <c r="C47" s="129">
        <v>5.7200000000000001E-2</v>
      </c>
      <c r="D47" s="122">
        <f>C47*B47</f>
        <v>43.160008653666665</v>
      </c>
      <c r="E47" s="139">
        <f>D47/'Process Model'!R4</f>
        <v>9.135195202477002E-2</v>
      </c>
      <c r="F47" s="127">
        <v>0.1008</v>
      </c>
      <c r="G47" s="92">
        <f>F47/E47</f>
        <v>1.1034246971829147</v>
      </c>
      <c r="H47">
        <v>6.5739970000000003</v>
      </c>
      <c r="I47" t="s">
        <v>789</v>
      </c>
      <c r="J47" s="279">
        <f>-E47/E$49</f>
        <v>-6.0544888354086016E-2</v>
      </c>
    </row>
    <row r="48" spans="1:13" x14ac:dyDescent="0.35">
      <c r="F48" s="123">
        <f>F45-F47</f>
        <v>1.1353599999999999</v>
      </c>
    </row>
    <row r="49" spans="1:14" x14ac:dyDescent="0.35">
      <c r="D49" s="141" t="s">
        <v>652</v>
      </c>
      <c r="E49" s="150">
        <f>E45</f>
        <v>1.5088301342718542</v>
      </c>
      <c r="F49" s="141">
        <v>1.0771999999999999</v>
      </c>
      <c r="G49" s="145">
        <f>F49/E49</f>
        <v>0.71393059797274361</v>
      </c>
    </row>
    <row r="50" spans="1:14" x14ac:dyDescent="0.35">
      <c r="I50" t="s">
        <v>652</v>
      </c>
      <c r="J50" t="s">
        <v>654</v>
      </c>
      <c r="K50" t="s">
        <v>889</v>
      </c>
    </row>
    <row r="51" spans="1:14" x14ac:dyDescent="0.35">
      <c r="D51" s="141" t="s">
        <v>654</v>
      </c>
      <c r="E51">
        <f>SUM(E52:E55)</f>
        <v>17.489999999999998</v>
      </c>
      <c r="F51" t="s">
        <v>659</v>
      </c>
      <c r="H51" t="s">
        <v>890</v>
      </c>
      <c r="I51" s="233">
        <f>E49*Full_Prod_Rate</f>
        <v>46038881.751658931</v>
      </c>
      <c r="J51" s="208">
        <f>SUM(C52:C55)</f>
        <v>10671856.802999999</v>
      </c>
      <c r="K51" s="123">
        <f>I51+J51</f>
        <v>56710738.554658934</v>
      </c>
    </row>
    <row r="52" spans="1:14" x14ac:dyDescent="0.35">
      <c r="C52" s="164">
        <v>2476945</v>
      </c>
      <c r="D52" t="s">
        <v>655</v>
      </c>
      <c r="E52">
        <v>4.0599999999999996</v>
      </c>
      <c r="F52" t="s">
        <v>659</v>
      </c>
      <c r="H52" s="282" t="s">
        <v>891</v>
      </c>
      <c r="I52" s="234">
        <v>71896000</v>
      </c>
      <c r="J52" s="208">
        <f>J51</f>
        <v>10671856.802999999</v>
      </c>
      <c r="K52" s="123">
        <f>I52+J52</f>
        <v>82567856.803000003</v>
      </c>
    </row>
    <row r="53" spans="1:14" x14ac:dyDescent="0.35">
      <c r="C53" s="164">
        <v>2229278</v>
      </c>
      <c r="D53" s="125" t="s">
        <v>656</v>
      </c>
      <c r="E53">
        <v>3.65</v>
      </c>
      <c r="F53" t="s">
        <v>659</v>
      </c>
      <c r="H53" t="s">
        <v>892</v>
      </c>
      <c r="I53" s="208">
        <f>I51-I52</f>
        <v>-25857118.248341069</v>
      </c>
    </row>
    <row r="54" spans="1:14" x14ac:dyDescent="0.35">
      <c r="C54" s="164">
        <v>3158428</v>
      </c>
      <c r="D54" s="125" t="s">
        <v>657</v>
      </c>
      <c r="E54">
        <v>5.18</v>
      </c>
      <c r="F54" t="s">
        <v>659</v>
      </c>
    </row>
    <row r="55" spans="1:14" x14ac:dyDescent="0.35">
      <c r="C55" s="164">
        <v>2807205.8029999998</v>
      </c>
      <c r="D55" s="125" t="s">
        <v>658</v>
      </c>
      <c r="E55">
        <v>4.5999999999999996</v>
      </c>
      <c r="F55" t="s">
        <v>659</v>
      </c>
    </row>
    <row r="56" spans="1:14" x14ac:dyDescent="0.35">
      <c r="D56" s="125"/>
    </row>
    <row r="57" spans="1:14" x14ac:dyDescent="0.35">
      <c r="D57" s="355" t="s">
        <v>710</v>
      </c>
      <c r="E57" s="355"/>
      <c r="F57" s="355"/>
      <c r="J57" t="s">
        <v>799</v>
      </c>
      <c r="K57" t="s">
        <v>797</v>
      </c>
    </row>
    <row r="58" spans="1:14" x14ac:dyDescent="0.35">
      <c r="A58" s="4" t="s">
        <v>660</v>
      </c>
      <c r="D58" t="s">
        <v>661</v>
      </c>
      <c r="E58" t="s">
        <v>662</v>
      </c>
      <c r="G58" t="s">
        <v>686</v>
      </c>
      <c r="H58" t="s">
        <v>683</v>
      </c>
      <c r="L58" s="4" t="s">
        <v>684</v>
      </c>
      <c r="M58" s="92">
        <f>I59/I67</f>
        <v>0.10401814886309496</v>
      </c>
      <c r="N58" t="s">
        <v>703</v>
      </c>
    </row>
    <row r="59" spans="1:14" x14ac:dyDescent="0.35">
      <c r="A59" s="356" t="s">
        <v>663</v>
      </c>
      <c r="B59" s="356"/>
      <c r="C59" s="356"/>
      <c r="D59" s="153">
        <v>14208831.025516467</v>
      </c>
      <c r="E59" s="153">
        <v>24155012.743377995</v>
      </c>
      <c r="F59" s="115"/>
      <c r="G59" s="115" t="s">
        <v>687</v>
      </c>
      <c r="H59" s="115" t="s">
        <v>684</v>
      </c>
      <c r="I59" s="123">
        <f>E59</f>
        <v>24155012.743377995</v>
      </c>
      <c r="J59">
        <f>I59/E$83</f>
        <v>5.7113652979084863E-2</v>
      </c>
      <c r="L59" s="4" t="s">
        <v>685</v>
      </c>
      <c r="M59" s="92">
        <f>I60/I67</f>
        <v>0.14192277451636953</v>
      </c>
      <c r="N59" t="s">
        <v>704</v>
      </c>
    </row>
    <row r="60" spans="1:14" x14ac:dyDescent="0.35">
      <c r="A60" s="357" t="s">
        <v>664</v>
      </c>
      <c r="B60" s="357"/>
      <c r="C60" s="357"/>
      <c r="D60" s="151">
        <v>19945315.079949375</v>
      </c>
      <c r="E60" s="151">
        <v>29917972.619924061</v>
      </c>
      <c r="F60" s="152"/>
      <c r="G60" s="152" t="s">
        <v>688</v>
      </c>
      <c r="H60" s="152" t="s">
        <v>685</v>
      </c>
      <c r="I60" s="123">
        <f>SUM(E60:E61)</f>
        <v>32957195.109581057</v>
      </c>
      <c r="J60">
        <f t="shared" ref="J60:J68" si="7">I60/E$83</f>
        <v>7.7926094457086648E-2</v>
      </c>
      <c r="L60" s="4" t="s">
        <v>702</v>
      </c>
      <c r="M60" s="92">
        <f>I63/I67</f>
        <v>0.13465602878394442</v>
      </c>
      <c r="N60" t="s">
        <v>705</v>
      </c>
    </row>
    <row r="61" spans="1:14" x14ac:dyDescent="0.35">
      <c r="A61" s="357" t="s">
        <v>665</v>
      </c>
      <c r="B61" s="357"/>
      <c r="C61" s="357"/>
      <c r="D61" s="151">
        <v>1539035.0818810947</v>
      </c>
      <c r="E61" s="151">
        <v>3039222.489656996</v>
      </c>
      <c r="F61" s="155"/>
      <c r="G61" s="155" t="s">
        <v>689</v>
      </c>
      <c r="H61" s="155" t="s">
        <v>693</v>
      </c>
      <c r="I61" t="s">
        <v>612</v>
      </c>
      <c r="L61" s="4" t="s">
        <v>694</v>
      </c>
      <c r="M61" s="92">
        <f>I62/I67</f>
        <v>8.0683523625014825E-2</v>
      </c>
      <c r="N61" t="s">
        <v>706</v>
      </c>
    </row>
    <row r="62" spans="1:14" x14ac:dyDescent="0.35">
      <c r="A62" s="358" t="s">
        <v>666</v>
      </c>
      <c r="B62" s="358"/>
      <c r="C62" s="358"/>
      <c r="D62" s="154">
        <v>18512077.750534452</v>
      </c>
      <c r="E62" s="154">
        <v>31269717.12916977</v>
      </c>
      <c r="F62" s="157"/>
      <c r="G62" s="157" t="s">
        <v>690</v>
      </c>
      <c r="H62" s="157" t="s">
        <v>694</v>
      </c>
      <c r="I62" s="123">
        <f>E63</f>
        <v>18736264.417740807</v>
      </c>
      <c r="J62">
        <f t="shared" si="7"/>
        <v>4.4301218775907578E-2</v>
      </c>
      <c r="L62" s="4" t="s">
        <v>696</v>
      </c>
      <c r="M62" s="92">
        <f>I64/I67</f>
        <v>9.6106373439333564E-2</v>
      </c>
      <c r="N62" t="s">
        <v>709</v>
      </c>
    </row>
    <row r="63" spans="1:14" x14ac:dyDescent="0.35">
      <c r="A63" s="359" t="s">
        <v>667</v>
      </c>
      <c r="B63" s="359"/>
      <c r="C63" s="359"/>
      <c r="D63" s="156">
        <v>10959069.816696316</v>
      </c>
      <c r="E63" s="156">
        <v>18736264.417740807</v>
      </c>
      <c r="F63" s="155"/>
      <c r="G63" s="155" t="s">
        <v>691</v>
      </c>
      <c r="H63" s="155" t="s">
        <v>695</v>
      </c>
      <c r="I63" s="123">
        <f>E62</f>
        <v>31269717.12916977</v>
      </c>
      <c r="J63">
        <f t="shared" si="7"/>
        <v>7.3936113875955348E-2</v>
      </c>
      <c r="L63" s="4" t="s">
        <v>698</v>
      </c>
      <c r="M63" s="92">
        <f>I65/I67</f>
        <v>0.28340086879400489</v>
      </c>
      <c r="N63" t="s">
        <v>708</v>
      </c>
    </row>
    <row r="64" spans="1:14" x14ac:dyDescent="0.35">
      <c r="A64" s="356" t="s">
        <v>668</v>
      </c>
      <c r="B64" s="356"/>
      <c r="C64" s="356"/>
      <c r="D64" s="153">
        <v>11132415.365829619</v>
      </c>
      <c r="E64" s="153">
        <v>22317746.4752075</v>
      </c>
      <c r="F64" s="115"/>
      <c r="G64" s="115" t="s">
        <v>692</v>
      </c>
      <c r="H64" s="115" t="s">
        <v>696</v>
      </c>
      <c r="I64" s="123">
        <f>E64</f>
        <v>22317746.4752075</v>
      </c>
      <c r="J64">
        <f t="shared" si="7"/>
        <v>5.276950341537847E-2</v>
      </c>
      <c r="L64" s="4" t="s">
        <v>701</v>
      </c>
      <c r="M64" s="92">
        <f>I66/I67</f>
        <v>0.26323043084133274</v>
      </c>
      <c r="N64" t="s">
        <v>707</v>
      </c>
    </row>
    <row r="65" spans="1:10" x14ac:dyDescent="0.35">
      <c r="A65" s="354" t="s">
        <v>669</v>
      </c>
      <c r="B65" s="354"/>
      <c r="C65" s="354"/>
      <c r="D65" s="158">
        <v>49295428.217006892</v>
      </c>
      <c r="E65" s="158">
        <v>49295428.217006892</v>
      </c>
      <c r="F65" s="152"/>
      <c r="G65" s="152" t="s">
        <v>699</v>
      </c>
      <c r="H65" s="152" t="s">
        <v>698</v>
      </c>
      <c r="I65" s="123">
        <f>E67</f>
        <v>65811126.923758835</v>
      </c>
      <c r="J65">
        <f t="shared" si="7"/>
        <v>0.15560802659135453</v>
      </c>
    </row>
    <row r="66" spans="1:10" x14ac:dyDescent="0.35">
      <c r="A66" s="354" t="s">
        <v>670</v>
      </c>
      <c r="B66" s="354"/>
      <c r="C66" s="354"/>
      <c r="D66" s="158">
        <v>2826617.8649316616</v>
      </c>
      <c r="E66" s="158">
        <v>4952924.785068322</v>
      </c>
      <c r="F66" s="152"/>
      <c r="G66" s="2" t="s">
        <v>700</v>
      </c>
      <c r="H66" s="2" t="s">
        <v>701</v>
      </c>
      <c r="I66" s="123">
        <f>SUM(E68,E65:E66)</f>
        <v>61127163.681656063</v>
      </c>
      <c r="J66">
        <f t="shared" si="7"/>
        <v>0.14453296511163805</v>
      </c>
    </row>
    <row r="67" spans="1:10" x14ac:dyDescent="0.35">
      <c r="A67" s="357" t="s">
        <v>671</v>
      </c>
      <c r="B67" s="357"/>
      <c r="C67" s="357"/>
      <c r="D67" s="151">
        <v>36359470.292067736</v>
      </c>
      <c r="E67" s="151">
        <v>65811126.923758835</v>
      </c>
      <c r="F67" s="2"/>
      <c r="I67" s="123">
        <f>SUM(I60:I66)</f>
        <v>232219213.73711404</v>
      </c>
    </row>
    <row r="68" spans="1:10" x14ac:dyDescent="0.35">
      <c r="A68" s="354" t="s">
        <v>672</v>
      </c>
      <c r="B68" s="354"/>
      <c r="C68" s="354"/>
      <c r="D68" s="158">
        <v>3977798.3487931569</v>
      </c>
      <c r="E68" s="158">
        <v>6878810.6795808561</v>
      </c>
      <c r="G68" s="162">
        <v>0.17499999999999999</v>
      </c>
      <c r="H68" s="4" t="s">
        <v>719</v>
      </c>
      <c r="I68" s="123">
        <f>G68*(SUM(I60:I64))</f>
        <v>18424161.548047349</v>
      </c>
      <c r="J68">
        <f t="shared" si="7"/>
        <v>4.3563262841757405E-2</v>
      </c>
    </row>
    <row r="70" spans="1:10" x14ac:dyDescent="0.35">
      <c r="D70" s="140" t="s">
        <v>711</v>
      </c>
      <c r="E70" s="160">
        <f>I67+I68</f>
        <v>250643375.28516138</v>
      </c>
      <c r="F70" s="15"/>
    </row>
    <row r="72" spans="1:10" x14ac:dyDescent="0.35">
      <c r="D72" s="140" t="s">
        <v>712</v>
      </c>
      <c r="E72" s="123">
        <f>(F72)*E70</f>
        <v>150386025.17109683</v>
      </c>
      <c r="F72" s="92">
        <v>0.6</v>
      </c>
    </row>
    <row r="74" spans="1:10" x14ac:dyDescent="0.35">
      <c r="D74" s="4" t="s">
        <v>786</v>
      </c>
      <c r="E74" s="123">
        <f>SUM(I59:I64,I66,I68,E72)</f>
        <v>359373286.27587736</v>
      </c>
    </row>
    <row r="75" spans="1:10" x14ac:dyDescent="0.35">
      <c r="D75" s="4" t="s">
        <v>787</v>
      </c>
      <c r="E75" s="123">
        <f>I65</f>
        <v>65811126.923758835</v>
      </c>
    </row>
    <row r="76" spans="1:10" x14ac:dyDescent="0.35">
      <c r="D76" s="140" t="s">
        <v>718</v>
      </c>
      <c r="E76" s="123">
        <f>E72+E70</f>
        <v>401029400.45625818</v>
      </c>
    </row>
    <row r="78" spans="1:10" x14ac:dyDescent="0.35">
      <c r="D78" t="s">
        <v>713</v>
      </c>
      <c r="E78">
        <v>132</v>
      </c>
      <c r="F78" t="s">
        <v>31</v>
      </c>
    </row>
    <row r="79" spans="1:10" x14ac:dyDescent="0.35">
      <c r="D79" t="s">
        <v>714</v>
      </c>
      <c r="E79" s="161">
        <v>14000</v>
      </c>
      <c r="F79" t="s">
        <v>715</v>
      </c>
    </row>
    <row r="80" spans="1:10" x14ac:dyDescent="0.35">
      <c r="D80" t="s">
        <v>716</v>
      </c>
      <c r="E80" s="161">
        <f>E78*E79</f>
        <v>1848000</v>
      </c>
      <c r="F80" t="s">
        <v>717</v>
      </c>
    </row>
    <row r="81" spans="1:10" x14ac:dyDescent="0.35">
      <c r="D81" t="s">
        <v>720</v>
      </c>
      <c r="E81" s="123">
        <f>E76*F81</f>
        <v>20051470.02281291</v>
      </c>
      <c r="F81" s="163">
        <v>0.05</v>
      </c>
    </row>
    <row r="83" spans="1:10" x14ac:dyDescent="0.35">
      <c r="D83" s="140" t="s">
        <v>721</v>
      </c>
      <c r="E83" s="150">
        <f>E81+E80+E76</f>
        <v>422928870.47907108</v>
      </c>
    </row>
    <row r="86" spans="1:10" x14ac:dyDescent="0.35">
      <c r="E86" s="4" t="s">
        <v>792</v>
      </c>
      <c r="F86" s="231">
        <v>0.5</v>
      </c>
      <c r="G86" t="s">
        <v>793</v>
      </c>
    </row>
    <row r="87" spans="1:10" x14ac:dyDescent="0.35">
      <c r="E87" s="4"/>
    </row>
    <row r="88" spans="1:10" x14ac:dyDescent="0.35">
      <c r="E88" s="4"/>
    </row>
    <row r="89" spans="1:10" x14ac:dyDescent="0.35">
      <c r="C89" s="344" t="s">
        <v>795</v>
      </c>
      <c r="D89" s="344"/>
      <c r="E89" s="140"/>
      <c r="F89" s="197" t="s">
        <v>794</v>
      </c>
      <c r="H89" s="344" t="s">
        <v>796</v>
      </c>
      <c r="I89" s="344"/>
    </row>
    <row r="90" spans="1:10" x14ac:dyDescent="0.35">
      <c r="C90" s="4" t="s">
        <v>725</v>
      </c>
      <c r="D90" s="6">
        <v>61.025930892978643</v>
      </c>
      <c r="E90" s="4"/>
      <c r="F90" s="203">
        <f>F86</f>
        <v>0.5</v>
      </c>
      <c r="H90" s="4" t="s">
        <v>725</v>
      </c>
      <c r="I90">
        <f>D90*F90</f>
        <v>30.512965446489321</v>
      </c>
    </row>
    <row r="91" spans="1:10" x14ac:dyDescent="0.35">
      <c r="C91" s="4" t="s">
        <v>727</v>
      </c>
      <c r="D91" s="207">
        <f>E49</f>
        <v>1.5088301342718542</v>
      </c>
      <c r="E91" s="4"/>
      <c r="F91" s="199">
        <v>1</v>
      </c>
      <c r="H91" s="4" t="s">
        <v>727</v>
      </c>
      <c r="I91" s="123">
        <f>D91*F91</f>
        <v>1.5088301342718542</v>
      </c>
    </row>
    <row r="92" spans="1:10" x14ac:dyDescent="0.35">
      <c r="A92" s="167"/>
      <c r="C92" s="4" t="s">
        <v>726</v>
      </c>
      <c r="D92" s="122">
        <f>I91*(61025930.89)</f>
        <v>92077763.498823598</v>
      </c>
      <c r="E92" s="4"/>
      <c r="F92" s="203">
        <f>F86</f>
        <v>0.5</v>
      </c>
      <c r="H92" s="4" t="s">
        <v>726</v>
      </c>
      <c r="I92" s="123">
        <f>D92*F92</f>
        <v>46038881.749411799</v>
      </c>
      <c r="J92">
        <f>Variable_OPEX_Total/(Variable_OPEX_Total+Fixed_OPEX_Total)</f>
        <v>0.81181947060807336</v>
      </c>
    </row>
    <row r="93" spans="1:10" x14ac:dyDescent="0.35">
      <c r="A93" s="212"/>
      <c r="C93" s="4" t="s">
        <v>728</v>
      </c>
      <c r="D93" s="122">
        <f>SUM(C52:C55)</f>
        <v>10671856.802999999</v>
      </c>
      <c r="E93" s="4"/>
      <c r="F93" s="197">
        <v>1</v>
      </c>
      <c r="H93" s="4" t="s">
        <v>728</v>
      </c>
      <c r="I93" s="123">
        <f t="shared" ref="I90:I95" si="8">D93*F93</f>
        <v>10671856.802999999</v>
      </c>
      <c r="J93">
        <f>Fixed_OPEX_Total/(Variable_OPEX_Total+Fixed_OPEX_Total)</f>
        <v>0.18818052939192673</v>
      </c>
    </row>
    <row r="94" spans="1:10" x14ac:dyDescent="0.35">
      <c r="C94" s="4" t="s">
        <v>723</v>
      </c>
      <c r="D94" s="122">
        <f>E76</f>
        <v>401029400.45625818</v>
      </c>
      <c r="E94" s="4"/>
      <c r="F94" s="113">
        <f>F86^0.6</f>
        <v>0.6597539553864471</v>
      </c>
      <c r="H94" s="4" t="s">
        <v>723</v>
      </c>
      <c r="I94" s="123">
        <f>D94*F94</f>
        <v>264580733.17727178</v>
      </c>
    </row>
    <row r="95" spans="1:10" x14ac:dyDescent="0.35">
      <c r="C95" s="4" t="s">
        <v>724</v>
      </c>
      <c r="D95" s="122">
        <f>E78*E79</f>
        <v>1848000</v>
      </c>
      <c r="E95" s="4"/>
      <c r="F95" s="199">
        <f>1</f>
        <v>1</v>
      </c>
      <c r="H95" s="4" t="s">
        <v>724</v>
      </c>
      <c r="I95" s="123">
        <f t="shared" si="8"/>
        <v>1848000</v>
      </c>
    </row>
    <row r="96" spans="1:10" x14ac:dyDescent="0.35">
      <c r="C96" s="4" t="s">
        <v>720</v>
      </c>
      <c r="D96" s="122">
        <f>E81</f>
        <v>20051470.02281291</v>
      </c>
      <c r="E96" s="4"/>
      <c r="F96" s="113">
        <f>(F86)^0.6</f>
        <v>0.6597539553864471</v>
      </c>
      <c r="H96" s="4" t="s">
        <v>720</v>
      </c>
      <c r="I96" s="122">
        <f>F96*D96</f>
        <v>13229036.658863591</v>
      </c>
      <c r="J96" s="122"/>
    </row>
    <row r="98" spans="1:246" x14ac:dyDescent="0.35">
      <c r="C98" s="4"/>
      <c r="D98" s="122"/>
      <c r="E98" s="4"/>
      <c r="F98" s="197"/>
      <c r="H98" s="4" t="s">
        <v>722</v>
      </c>
      <c r="I98" s="123">
        <f>I93+I92</f>
        <v>56710738.552411795</v>
      </c>
      <c r="J98">
        <f>OPEX/Full_Prod_Rate</f>
        <v>1.8585784017572984</v>
      </c>
    </row>
    <row r="99" spans="1:246" x14ac:dyDescent="0.35">
      <c r="C99" s="4"/>
      <c r="D99" s="122"/>
      <c r="E99" s="4"/>
      <c r="F99" s="197"/>
      <c r="H99" s="4" t="s">
        <v>729</v>
      </c>
      <c r="I99" s="123">
        <f>I94</f>
        <v>264580733.17727178</v>
      </c>
    </row>
    <row r="100" spans="1:246" x14ac:dyDescent="0.35">
      <c r="C100" s="4"/>
      <c r="D100" s="122"/>
      <c r="E100" s="4"/>
      <c r="F100" s="197"/>
      <c r="H100" s="4" t="s">
        <v>887</v>
      </c>
      <c r="I100" s="122">
        <f>F94*Steam_Plant_Cost</f>
        <v>43419151.296389394</v>
      </c>
    </row>
    <row r="101" spans="1:246" x14ac:dyDescent="0.35">
      <c r="C101" s="4"/>
      <c r="D101" s="122"/>
      <c r="E101" s="4"/>
      <c r="F101" s="197"/>
      <c r="H101" s="4" t="s">
        <v>888</v>
      </c>
      <c r="I101" s="122">
        <f>FCI_Restate-I100</f>
        <v>221161581.88088238</v>
      </c>
    </row>
    <row r="102" spans="1:246" x14ac:dyDescent="0.35">
      <c r="C102" s="4"/>
      <c r="E102" s="4"/>
      <c r="F102" s="197"/>
      <c r="H102" s="4" t="s">
        <v>724</v>
      </c>
      <c r="I102" s="123" t="b">
        <f>F94=Land_Cap</f>
        <v>0</v>
      </c>
    </row>
    <row r="103" spans="1:246" x14ac:dyDescent="0.35">
      <c r="C103" s="344" t="s">
        <v>730</v>
      </c>
      <c r="D103" s="344"/>
      <c r="F103" s="344" t="s">
        <v>744</v>
      </c>
      <c r="G103" s="344"/>
      <c r="H103" s="4" t="s">
        <v>720</v>
      </c>
      <c r="I103" s="123">
        <f>I96</f>
        <v>13229036.658863591</v>
      </c>
    </row>
    <row r="104" spans="1:246" x14ac:dyDescent="0.35">
      <c r="C104" s="4" t="s">
        <v>733</v>
      </c>
      <c r="D104" s="204">
        <v>0.4</v>
      </c>
      <c r="F104" s="4" t="s">
        <v>745</v>
      </c>
      <c r="G104" s="33">
        <v>0.1</v>
      </c>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c r="DA104" s="3"/>
      <c r="DB104" s="3"/>
      <c r="DC104" s="3"/>
      <c r="DD104" s="3"/>
      <c r="DE104" s="3"/>
      <c r="DF104" s="3"/>
      <c r="DG104" s="3"/>
      <c r="DH104" s="3"/>
      <c r="DI104" s="3"/>
      <c r="DJ104" s="3"/>
      <c r="DK104" s="3"/>
      <c r="DL104" s="3"/>
      <c r="DM104" s="3"/>
      <c r="DN104" s="3"/>
      <c r="DO104" s="3"/>
      <c r="DP104" s="3"/>
      <c r="DQ104" s="3"/>
      <c r="DR104" s="3"/>
      <c r="DS104" s="3"/>
      <c r="DT104" s="3"/>
      <c r="DU104" s="3"/>
      <c r="DV104" s="3"/>
      <c r="DW104" s="3"/>
      <c r="DX104" s="3"/>
      <c r="DY104" s="3"/>
      <c r="DZ104" s="3"/>
      <c r="EA104" s="3"/>
      <c r="EB104" s="3"/>
      <c r="EC104" s="3"/>
      <c r="ED104" s="3"/>
      <c r="EE104" s="3"/>
      <c r="EF104" s="3"/>
      <c r="EG104" s="3"/>
      <c r="EH104" s="3"/>
      <c r="EI104" s="3"/>
      <c r="EJ104" s="3"/>
      <c r="EK104" s="3"/>
      <c r="EL104" s="3"/>
      <c r="EM104" s="3"/>
      <c r="EN104" s="3"/>
      <c r="EO104" s="3"/>
      <c r="EP104" s="3"/>
      <c r="EQ104" s="3"/>
      <c r="ER104" s="3"/>
      <c r="ES104" s="3"/>
      <c r="ET104" s="3"/>
      <c r="EU104" s="3"/>
      <c r="EV104" s="3"/>
      <c r="EW104" s="3"/>
      <c r="EX104" s="3"/>
      <c r="EY104" s="3"/>
      <c r="EZ104" s="3"/>
      <c r="FA104" s="3"/>
      <c r="FB104" s="3"/>
      <c r="FC104" s="3"/>
      <c r="FD104" s="3"/>
      <c r="FE104" s="3"/>
      <c r="FF104" s="3"/>
      <c r="FG104" s="3"/>
      <c r="FH104" s="3"/>
      <c r="FI104" s="3"/>
      <c r="FJ104" s="3"/>
      <c r="FK104" s="3"/>
      <c r="FL104" s="3"/>
      <c r="FM104" s="3"/>
      <c r="FN104" s="3"/>
      <c r="FO104" s="3"/>
      <c r="FP104" s="3"/>
      <c r="FQ104" s="3"/>
      <c r="FR104" s="3"/>
      <c r="FS104" s="3"/>
      <c r="FT104" s="3"/>
      <c r="FU104" s="3"/>
      <c r="FV104" s="3"/>
      <c r="FW104" s="3"/>
      <c r="FX104" s="3"/>
      <c r="FY104" s="3"/>
      <c r="FZ104" s="3"/>
      <c r="GA104" s="3"/>
      <c r="GB104" s="3"/>
      <c r="GC104" s="3"/>
      <c r="GD104" s="3"/>
      <c r="GE104" s="3"/>
      <c r="GF104" s="3"/>
      <c r="GG104" s="3"/>
      <c r="GH104" s="3"/>
      <c r="GI104" s="3"/>
      <c r="GJ104" s="3"/>
      <c r="GK104" s="3"/>
      <c r="GL104" s="3"/>
      <c r="GM104" s="3"/>
      <c r="GN104" s="3"/>
      <c r="GO104" s="3"/>
      <c r="GP104" s="3"/>
      <c r="GQ104" s="3"/>
      <c r="GR104" s="3"/>
      <c r="GS104" s="3"/>
      <c r="GT104" s="3"/>
      <c r="GU104" s="3"/>
      <c r="GV104" s="3"/>
      <c r="GW104" s="3"/>
      <c r="GX104" s="3"/>
      <c r="GY104" s="3"/>
      <c r="GZ104" s="3"/>
      <c r="HA104" s="3"/>
      <c r="HB104" s="3"/>
      <c r="HC104" s="3"/>
      <c r="HD104" s="3"/>
      <c r="HE104" s="3"/>
      <c r="HF104" s="3"/>
      <c r="HG104" s="3"/>
      <c r="HH104" s="3"/>
      <c r="HI104" s="3"/>
      <c r="HJ104" s="3"/>
      <c r="HK104" s="3"/>
      <c r="HL104" s="3"/>
      <c r="HM104" s="3"/>
      <c r="HN104" s="3"/>
      <c r="HO104" s="3"/>
      <c r="HP104" s="3"/>
      <c r="HQ104" s="3"/>
      <c r="HR104" s="3"/>
      <c r="HS104" s="3"/>
      <c r="HT104" s="3"/>
      <c r="HU104" s="3"/>
      <c r="HV104" s="3"/>
      <c r="HW104" s="3"/>
      <c r="HX104" s="3"/>
      <c r="HY104" s="3"/>
      <c r="HZ104" s="3"/>
      <c r="IA104" s="3"/>
      <c r="IB104" s="3"/>
      <c r="IC104" s="3"/>
      <c r="ID104" s="3"/>
      <c r="IE104" s="3"/>
      <c r="IF104" s="3"/>
      <c r="IG104" s="3"/>
      <c r="IH104" s="3"/>
      <c r="II104" s="3"/>
      <c r="IJ104" s="3"/>
      <c r="IK104" s="3"/>
      <c r="IL104" s="3"/>
    </row>
    <row r="105" spans="1:246" x14ac:dyDescent="0.35">
      <c r="C105" s="4" t="s">
        <v>732</v>
      </c>
      <c r="D105" s="204">
        <v>0.08</v>
      </c>
      <c r="F105" s="4" t="s">
        <v>746</v>
      </c>
      <c r="G105" s="33">
        <v>0.35</v>
      </c>
      <c r="H105" s="235" t="s">
        <v>924</v>
      </c>
      <c r="I105" s="122">
        <f>SUM(I98:I103)</f>
        <v>599101241.56581891</v>
      </c>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c r="DA105" s="3"/>
      <c r="DB105" s="3"/>
      <c r="DC105" s="3"/>
      <c r="DD105" s="3"/>
      <c r="DE105" s="3"/>
      <c r="DF105" s="3"/>
      <c r="DG105" s="3"/>
      <c r="DH105" s="3"/>
      <c r="DI105" s="3"/>
      <c r="DJ105" s="3"/>
      <c r="DK105" s="3"/>
      <c r="DL105" s="3"/>
      <c r="DM105" s="3"/>
      <c r="DN105" s="3"/>
      <c r="DO105" s="3"/>
      <c r="DP105" s="3"/>
      <c r="DQ105" s="3"/>
      <c r="DR105" s="3"/>
      <c r="DS105" s="3"/>
      <c r="DT105" s="3"/>
      <c r="DU105" s="3"/>
      <c r="DV105" s="3"/>
      <c r="DW105" s="3"/>
      <c r="DX105" s="3"/>
      <c r="DY105" s="3"/>
      <c r="DZ105" s="3"/>
      <c r="EA105" s="3"/>
      <c r="EB105" s="3"/>
      <c r="EC105" s="3"/>
      <c r="ED105" s="3"/>
      <c r="EE105" s="3"/>
      <c r="EF105" s="3"/>
      <c r="EG105" s="3"/>
      <c r="EH105" s="3"/>
      <c r="EI105" s="3"/>
      <c r="EJ105" s="3"/>
      <c r="EK105" s="3"/>
      <c r="EL105" s="3"/>
      <c r="EM105" s="3"/>
      <c r="EN105" s="3"/>
      <c r="EO105" s="3"/>
      <c r="EP105" s="3"/>
      <c r="EQ105" s="3"/>
      <c r="ER105" s="3"/>
      <c r="ES105" s="3"/>
      <c r="ET105" s="3"/>
      <c r="EU105" s="3"/>
      <c r="EV105" s="3"/>
      <c r="EW105" s="3"/>
      <c r="EX105" s="3"/>
      <c r="EY105" s="3"/>
      <c r="EZ105" s="3"/>
      <c r="FA105" s="3"/>
      <c r="FB105" s="3"/>
      <c r="FC105" s="3"/>
      <c r="FD105" s="3"/>
      <c r="FE105" s="3"/>
      <c r="FF105" s="3"/>
      <c r="FG105" s="3"/>
      <c r="FH105" s="3"/>
      <c r="FI105" s="3"/>
      <c r="FJ105" s="3"/>
      <c r="FK105" s="3"/>
      <c r="FL105" s="3"/>
      <c r="FM105" s="3"/>
      <c r="FN105" s="3"/>
      <c r="FO105" s="3"/>
      <c r="FP105" s="3"/>
      <c r="FQ105" s="3"/>
      <c r="FR105" s="3"/>
      <c r="FS105" s="3"/>
      <c r="FT105" s="3"/>
      <c r="FU105" s="3"/>
      <c r="FV105" s="3"/>
      <c r="FW105" s="3"/>
      <c r="FX105" s="3"/>
      <c r="FY105" s="3"/>
      <c r="FZ105" s="3"/>
      <c r="GA105" s="3"/>
      <c r="GB105" s="3"/>
      <c r="GC105" s="3"/>
      <c r="GD105" s="3"/>
      <c r="GE105" s="3"/>
      <c r="GF105" s="3"/>
      <c r="GG105" s="3"/>
      <c r="GH105" s="3"/>
      <c r="GI105" s="3"/>
      <c r="GJ105" s="3"/>
      <c r="GK105" s="3"/>
      <c r="GL105" s="3"/>
      <c r="GM105" s="3"/>
      <c r="GN105" s="3"/>
      <c r="GO105" s="3"/>
      <c r="GP105" s="3"/>
      <c r="GQ105" s="3"/>
      <c r="GR105" s="3"/>
      <c r="GS105" s="3"/>
      <c r="GT105" s="3"/>
      <c r="GU105" s="3"/>
      <c r="GV105" s="3"/>
      <c r="GW105" s="3"/>
      <c r="GX105" s="3"/>
      <c r="GY105" s="3"/>
      <c r="GZ105" s="3"/>
      <c r="HA105" s="3"/>
      <c r="HB105" s="3"/>
      <c r="HC105" s="3"/>
      <c r="HD105" s="3"/>
      <c r="HE105" s="3"/>
      <c r="HF105" s="3"/>
      <c r="HG105" s="3"/>
      <c r="HH105" s="3"/>
      <c r="HI105" s="3"/>
      <c r="HJ105" s="3"/>
      <c r="HK105" s="3"/>
      <c r="HL105" s="3"/>
      <c r="HM105" s="3"/>
      <c r="HN105" s="3"/>
      <c r="HO105" s="3"/>
      <c r="HP105" s="3"/>
      <c r="HQ105" s="3"/>
      <c r="HR105" s="3"/>
      <c r="HS105" s="3"/>
      <c r="HT105" s="3"/>
      <c r="HU105" s="3"/>
      <c r="HV105" s="3"/>
      <c r="HW105" s="3"/>
      <c r="HX105" s="3"/>
      <c r="HY105" s="3"/>
      <c r="HZ105" s="3"/>
      <c r="IA105" s="3"/>
      <c r="IB105" s="3"/>
      <c r="IC105" s="3"/>
      <c r="ID105" s="3"/>
      <c r="IE105" s="3"/>
      <c r="IF105" s="3"/>
      <c r="IG105" s="3"/>
      <c r="IH105" s="3"/>
      <c r="II105" s="3"/>
      <c r="IJ105" s="3"/>
      <c r="IK105" s="3"/>
      <c r="IL105" s="3"/>
    </row>
    <row r="106" spans="1:246" x14ac:dyDescent="0.35">
      <c r="C106" s="4" t="s">
        <v>734</v>
      </c>
      <c r="D106" s="4">
        <v>10</v>
      </c>
      <c r="E106" t="s">
        <v>735</v>
      </c>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3"/>
      <c r="CJ106" s="3"/>
      <c r="CK106" s="3"/>
      <c r="CL106" s="3"/>
      <c r="CM106" s="3"/>
      <c r="CN106" s="3"/>
      <c r="CO106" s="3"/>
      <c r="CP106" s="3"/>
      <c r="CQ106" s="3"/>
      <c r="CR106" s="3"/>
      <c r="CS106" s="3"/>
      <c r="CT106" s="3"/>
      <c r="CU106" s="3"/>
      <c r="CV106" s="3"/>
      <c r="CW106" s="3"/>
      <c r="CX106" s="3"/>
      <c r="CY106" s="3"/>
      <c r="CZ106" s="3"/>
      <c r="DA106" s="3"/>
      <c r="DB106" s="3"/>
      <c r="DC106" s="3"/>
      <c r="DD106" s="3"/>
      <c r="DE106" s="3"/>
      <c r="DF106" s="3"/>
      <c r="DG106" s="3"/>
      <c r="DH106" s="3"/>
      <c r="DI106" s="3"/>
      <c r="DJ106" s="3"/>
      <c r="DK106" s="3"/>
      <c r="DL106" s="3"/>
      <c r="DM106" s="3"/>
      <c r="DN106" s="3"/>
      <c r="DO106" s="3"/>
      <c r="DP106" s="3"/>
      <c r="DQ106" s="3"/>
      <c r="DR106" s="3"/>
      <c r="DS106" s="3"/>
      <c r="DT106" s="3"/>
      <c r="DU106" s="3"/>
      <c r="DV106" s="3"/>
      <c r="DW106" s="3"/>
      <c r="DX106" s="3"/>
      <c r="DY106" s="3"/>
      <c r="DZ106" s="3"/>
      <c r="EA106" s="3"/>
      <c r="EB106" s="3"/>
      <c r="EC106" s="3"/>
      <c r="ED106" s="3"/>
      <c r="EE106" s="3"/>
      <c r="EF106" s="3"/>
      <c r="EG106" s="3"/>
      <c r="EH106" s="3"/>
      <c r="EI106" s="3"/>
      <c r="EJ106" s="3"/>
      <c r="EK106" s="3"/>
      <c r="EL106" s="3"/>
      <c r="EM106" s="3"/>
      <c r="EN106" s="3"/>
      <c r="EO106" s="3"/>
      <c r="EP106" s="3"/>
      <c r="EQ106" s="3"/>
      <c r="ER106" s="3"/>
      <c r="ES106" s="3"/>
      <c r="ET106" s="3"/>
      <c r="EU106" s="3"/>
      <c r="EV106" s="3"/>
      <c r="EW106" s="3"/>
      <c r="EX106" s="3"/>
      <c r="EY106" s="3"/>
      <c r="EZ106" s="3"/>
      <c r="FA106" s="3"/>
      <c r="FB106" s="3"/>
      <c r="FC106" s="3"/>
      <c r="FD106" s="3"/>
      <c r="FE106" s="3"/>
      <c r="FF106" s="3"/>
      <c r="FG106" s="3"/>
      <c r="FH106" s="3"/>
      <c r="FI106" s="3"/>
      <c r="FJ106" s="3"/>
      <c r="FK106" s="3"/>
      <c r="FL106" s="3"/>
      <c r="FM106" s="3"/>
      <c r="FN106" s="3"/>
      <c r="FO106" s="3"/>
      <c r="FP106" s="3"/>
      <c r="FQ106" s="3"/>
      <c r="FR106" s="3"/>
      <c r="FS106" s="3"/>
      <c r="FT106" s="3"/>
      <c r="FU106" s="3"/>
      <c r="FV106" s="3"/>
      <c r="FW106" s="3"/>
      <c r="FX106" s="3"/>
      <c r="FY106" s="3"/>
      <c r="FZ106" s="3"/>
      <c r="GA106" s="3"/>
      <c r="GB106" s="3"/>
      <c r="GC106" s="3"/>
      <c r="GD106" s="3"/>
      <c r="GE106" s="3"/>
      <c r="GF106" s="3"/>
      <c r="GG106" s="3"/>
      <c r="GH106" s="3"/>
      <c r="GI106" s="3"/>
      <c r="GJ106" s="3"/>
      <c r="GK106" s="3"/>
      <c r="GL106" s="3"/>
      <c r="GM106" s="3"/>
      <c r="GN106" s="3"/>
      <c r="GO106" s="3"/>
      <c r="GP106" s="3"/>
      <c r="GQ106" s="3"/>
      <c r="GR106" s="3"/>
      <c r="GS106" s="3"/>
      <c r="GT106" s="3"/>
      <c r="GU106" s="3"/>
      <c r="GV106" s="3"/>
      <c r="GW106" s="3"/>
      <c r="GX106" s="3"/>
      <c r="GY106" s="3"/>
      <c r="GZ106" s="3"/>
      <c r="HA106" s="3"/>
      <c r="HB106" s="3"/>
      <c r="HC106" s="3"/>
      <c r="HD106" s="3"/>
      <c r="HE106" s="3"/>
      <c r="HF106" s="3"/>
      <c r="HG106" s="3"/>
      <c r="HH106" s="3"/>
      <c r="HI106" s="3"/>
      <c r="HJ106" s="3"/>
      <c r="HK106" s="3"/>
      <c r="HL106" s="3"/>
      <c r="HM106" s="3"/>
      <c r="HN106" s="3"/>
      <c r="HO106" s="3"/>
      <c r="HP106" s="3"/>
      <c r="HQ106" s="3"/>
      <c r="HR106" s="3"/>
      <c r="HS106" s="3"/>
      <c r="HT106" s="3"/>
      <c r="HU106" s="3"/>
      <c r="HV106" s="3"/>
      <c r="HW106" s="3"/>
      <c r="HX106" s="3"/>
      <c r="HY106" s="3"/>
      <c r="HZ106" s="3"/>
      <c r="IA106" s="3"/>
      <c r="IB106" s="3"/>
      <c r="IC106" s="3"/>
      <c r="ID106" s="3"/>
      <c r="IE106" s="3"/>
      <c r="IF106" s="3"/>
      <c r="IG106" s="3"/>
      <c r="IH106" s="3"/>
      <c r="II106" s="3"/>
      <c r="IJ106" s="3"/>
      <c r="IK106" s="3"/>
      <c r="IL106" s="3"/>
    </row>
    <row r="107" spans="1:246" x14ac:dyDescent="0.35">
      <c r="C107" s="4" t="s">
        <v>731</v>
      </c>
      <c r="D107" s="167">
        <f>-PMT(D105,D106,(I94)*(1-D104))</f>
        <v>23658198.830703687</v>
      </c>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c r="CI107" s="3"/>
      <c r="CJ107" s="3"/>
      <c r="CK107" s="3"/>
      <c r="CL107" s="3"/>
      <c r="CM107" s="3"/>
      <c r="CN107" s="3"/>
      <c r="CO107" s="3"/>
      <c r="CP107" s="3"/>
      <c r="CQ107" s="3"/>
      <c r="CR107" s="3"/>
      <c r="CS107" s="3"/>
      <c r="CT107" s="3"/>
      <c r="CU107" s="3"/>
      <c r="CV107" s="3"/>
      <c r="CW107" s="3"/>
      <c r="CX107" s="3"/>
      <c r="CY107" s="3"/>
      <c r="CZ107" s="3"/>
      <c r="DA107" s="3"/>
      <c r="DB107" s="3"/>
      <c r="DC107" s="3"/>
      <c r="DD107" s="3"/>
      <c r="DE107" s="3"/>
      <c r="DF107" s="3"/>
      <c r="DG107" s="3"/>
      <c r="DH107" s="3"/>
      <c r="DI107" s="3"/>
      <c r="DJ107" s="3"/>
      <c r="DK107" s="3"/>
      <c r="DL107" s="3"/>
      <c r="DM107" s="3"/>
      <c r="DN107" s="3"/>
      <c r="DO107" s="3"/>
      <c r="DP107" s="3"/>
      <c r="DQ107" s="3"/>
      <c r="DR107" s="3"/>
      <c r="DS107" s="3"/>
      <c r="DT107" s="3"/>
      <c r="DU107" s="3"/>
      <c r="DV107" s="3"/>
      <c r="DW107" s="3"/>
      <c r="DX107" s="3"/>
      <c r="DY107" s="3"/>
      <c r="DZ107" s="3"/>
      <c r="EA107" s="3"/>
      <c r="EB107" s="3"/>
      <c r="EC107" s="3"/>
      <c r="ED107" s="3"/>
      <c r="EE107" s="3"/>
      <c r="EF107" s="3"/>
      <c r="EG107" s="3"/>
      <c r="EH107" s="3"/>
      <c r="EI107" s="3"/>
      <c r="EJ107" s="3"/>
      <c r="EK107" s="3"/>
      <c r="EL107" s="3"/>
      <c r="EM107" s="3"/>
      <c r="EN107" s="3"/>
      <c r="EO107" s="3"/>
      <c r="EP107" s="3"/>
      <c r="EQ107" s="3"/>
      <c r="ER107" s="3"/>
      <c r="ES107" s="3"/>
      <c r="ET107" s="3"/>
      <c r="EU107" s="3"/>
      <c r="EV107" s="3"/>
      <c r="EW107" s="3"/>
      <c r="EX107" s="3"/>
      <c r="EY107" s="3"/>
      <c r="EZ107" s="3"/>
      <c r="FA107" s="3"/>
      <c r="FB107" s="3"/>
      <c r="FC107" s="3"/>
      <c r="FD107" s="3"/>
      <c r="FE107" s="3"/>
      <c r="FF107" s="3"/>
      <c r="FG107" s="3"/>
      <c r="FH107" s="3"/>
      <c r="FI107" s="3"/>
      <c r="FJ107" s="3"/>
      <c r="FK107" s="3"/>
      <c r="FL107" s="3"/>
      <c r="FM107" s="3"/>
      <c r="FN107" s="3"/>
      <c r="FO107" s="3"/>
      <c r="FP107" s="3"/>
      <c r="FQ107" s="3"/>
      <c r="FR107" s="3"/>
      <c r="FS107" s="3"/>
      <c r="FT107" s="3"/>
      <c r="FU107" s="3"/>
      <c r="FV107" s="3"/>
      <c r="FW107" s="3"/>
      <c r="FX107" s="3"/>
      <c r="FY107" s="3"/>
      <c r="FZ107" s="3"/>
      <c r="GA107" s="3"/>
      <c r="GB107" s="3"/>
      <c r="GC107" s="3"/>
      <c r="GD107" s="3"/>
      <c r="GE107" s="3"/>
      <c r="GF107" s="3"/>
      <c r="GG107" s="3"/>
      <c r="GH107" s="3"/>
      <c r="GI107" s="3"/>
      <c r="GJ107" s="3"/>
      <c r="GK107" s="3"/>
      <c r="GL107" s="3"/>
      <c r="GM107" s="3"/>
      <c r="GN107" s="3"/>
      <c r="GO107" s="3"/>
      <c r="GP107" s="3"/>
      <c r="GQ107" s="3"/>
      <c r="GR107" s="3"/>
      <c r="GS107" s="3"/>
      <c r="GT107" s="3"/>
      <c r="GU107" s="3"/>
      <c r="GV107" s="3"/>
      <c r="GW107" s="3"/>
      <c r="GX107" s="3"/>
      <c r="GY107" s="3"/>
      <c r="GZ107" s="3"/>
      <c r="HA107" s="3"/>
      <c r="HB107" s="3"/>
      <c r="HC107" s="3"/>
      <c r="HD107" s="3"/>
      <c r="HE107" s="3"/>
      <c r="HF107" s="3"/>
      <c r="HG107" s="3"/>
      <c r="HH107" s="3"/>
      <c r="HI107" s="3"/>
      <c r="HJ107" s="3"/>
      <c r="HK107" s="3"/>
      <c r="HL107" s="3"/>
      <c r="HM107" s="3"/>
      <c r="HN107" s="3"/>
      <c r="HO107" s="3"/>
      <c r="HP107" s="3"/>
      <c r="HQ107" s="3"/>
      <c r="HR107" s="3"/>
      <c r="HS107" s="3"/>
      <c r="HT107" s="3"/>
      <c r="HU107" s="3"/>
      <c r="HV107" s="3"/>
      <c r="HW107" s="3"/>
      <c r="HX107" s="3"/>
      <c r="HY107" s="3"/>
      <c r="HZ107" s="3"/>
      <c r="IA107" s="3"/>
      <c r="IB107" s="3"/>
      <c r="IC107" s="3"/>
      <c r="ID107" s="3"/>
      <c r="IE107" s="3"/>
      <c r="IF107" s="3"/>
      <c r="IG107" s="3"/>
      <c r="IH107" s="3"/>
      <c r="II107" s="3"/>
      <c r="IJ107" s="3"/>
      <c r="IK107" s="3"/>
      <c r="IL107" s="3"/>
    </row>
    <row r="108" spans="1:246" x14ac:dyDescent="0.35">
      <c r="C108" s="4"/>
      <c r="E108" s="4"/>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c r="CJ108" s="3"/>
      <c r="CK108" s="3"/>
      <c r="CL108" s="3"/>
      <c r="CM108" s="3"/>
      <c r="CN108" s="3"/>
      <c r="CO108" s="3"/>
      <c r="CP108" s="3"/>
      <c r="CQ108" s="3"/>
      <c r="CR108" s="3"/>
      <c r="CS108" s="3"/>
      <c r="CT108" s="3"/>
      <c r="CU108" s="3"/>
      <c r="CV108" s="3"/>
      <c r="CW108" s="3"/>
      <c r="CX108" s="3"/>
      <c r="CY108" s="3"/>
      <c r="CZ108" s="3"/>
      <c r="DA108" s="3"/>
      <c r="DB108" s="3"/>
      <c r="DC108" s="3"/>
      <c r="DD108" s="3"/>
      <c r="DE108" s="3"/>
      <c r="DF108" s="3"/>
      <c r="DG108" s="3"/>
      <c r="DH108" s="3"/>
      <c r="DI108" s="3"/>
      <c r="DJ108" s="3"/>
      <c r="DK108" s="3"/>
      <c r="DL108" s="3"/>
      <c r="DM108" s="3"/>
      <c r="DN108" s="3"/>
      <c r="DO108" s="3"/>
      <c r="DP108" s="3"/>
      <c r="DQ108" s="3"/>
      <c r="DR108" s="3"/>
      <c r="DS108" s="3"/>
      <c r="DT108" s="3"/>
      <c r="DU108" s="3"/>
      <c r="DV108" s="3"/>
      <c r="DW108" s="3"/>
      <c r="DX108" s="3"/>
      <c r="DY108" s="3"/>
      <c r="DZ108" s="3"/>
      <c r="EA108" s="3"/>
      <c r="EB108" s="3"/>
      <c r="EC108" s="3"/>
      <c r="ED108" s="3"/>
      <c r="EE108" s="3"/>
      <c r="EF108" s="3"/>
      <c r="EG108" s="3"/>
      <c r="EH108" s="3"/>
      <c r="EI108" s="3"/>
      <c r="EJ108" s="3"/>
      <c r="EK108" s="3"/>
      <c r="EL108" s="3"/>
      <c r="EM108" s="3"/>
      <c r="EN108" s="3"/>
      <c r="EO108" s="3"/>
      <c r="EP108" s="3"/>
      <c r="EQ108" s="3"/>
      <c r="ER108" s="3"/>
      <c r="ES108" s="3"/>
      <c r="ET108" s="3"/>
      <c r="EU108" s="3"/>
      <c r="EV108" s="3"/>
      <c r="EW108" s="3"/>
      <c r="EX108" s="3"/>
      <c r="EY108" s="3"/>
      <c r="EZ108" s="3"/>
      <c r="FA108" s="3"/>
      <c r="FB108" s="3"/>
      <c r="FC108" s="3"/>
      <c r="FD108" s="3"/>
      <c r="FE108" s="3"/>
      <c r="FF108" s="3"/>
      <c r="FG108" s="3"/>
      <c r="FH108" s="3"/>
      <c r="FI108" s="3"/>
      <c r="FJ108" s="3"/>
      <c r="FK108" s="3"/>
      <c r="FL108" s="3"/>
      <c r="FM108" s="3"/>
      <c r="FN108" s="3"/>
      <c r="FO108" s="3"/>
      <c r="FP108" s="3"/>
      <c r="FQ108" s="3"/>
      <c r="FR108" s="3"/>
      <c r="FS108" s="3"/>
      <c r="FT108" s="3"/>
      <c r="FU108" s="3"/>
      <c r="FV108" s="3"/>
      <c r="FW108" s="3"/>
      <c r="FX108" s="3"/>
      <c r="FY108" s="3"/>
      <c r="FZ108" s="3"/>
      <c r="GA108" s="3"/>
      <c r="GB108" s="3"/>
      <c r="GC108" s="3"/>
      <c r="GD108" s="3"/>
      <c r="GE108" s="3"/>
      <c r="GF108" s="3"/>
      <c r="GG108" s="3"/>
      <c r="GH108" s="3"/>
      <c r="GI108" s="3"/>
      <c r="GJ108" s="3"/>
      <c r="GK108" s="3"/>
      <c r="GL108" s="3"/>
      <c r="GM108" s="3"/>
      <c r="GN108" s="3"/>
      <c r="GO108" s="3"/>
      <c r="GP108" s="3"/>
      <c r="GQ108" s="3"/>
      <c r="GR108" s="3"/>
      <c r="GS108" s="3"/>
      <c r="GT108" s="3"/>
      <c r="GU108" s="3"/>
      <c r="GV108" s="3"/>
      <c r="GW108" s="3"/>
      <c r="GX108" s="3"/>
      <c r="GY108" s="3"/>
      <c r="GZ108" s="3"/>
      <c r="HA108" s="3"/>
      <c r="HB108" s="3"/>
      <c r="HC108" s="3"/>
      <c r="HD108" s="3"/>
      <c r="HE108" s="3"/>
      <c r="HF108" s="3"/>
      <c r="HG108" s="3"/>
      <c r="HH108" s="3"/>
      <c r="HI108" s="3"/>
      <c r="HJ108" s="3"/>
      <c r="HK108" s="3"/>
      <c r="HL108" s="3"/>
      <c r="HM108" s="3"/>
      <c r="HN108" s="3"/>
      <c r="HO108" s="3"/>
      <c r="HP108" s="3"/>
      <c r="HQ108" s="3"/>
      <c r="HR108" s="3"/>
      <c r="HS108" s="3"/>
      <c r="HT108" s="3"/>
      <c r="HU108" s="3"/>
      <c r="HV108" s="3"/>
      <c r="HW108" s="3"/>
      <c r="HX108" s="3"/>
      <c r="HY108" s="3"/>
      <c r="HZ108" s="3"/>
      <c r="IA108" s="3"/>
      <c r="IB108" s="3"/>
      <c r="IC108" s="3"/>
      <c r="ID108" s="3"/>
      <c r="IE108" s="3"/>
      <c r="IF108" s="3"/>
      <c r="IG108" s="3"/>
      <c r="IH108" s="3"/>
      <c r="II108" s="3"/>
      <c r="IJ108" s="3"/>
      <c r="IK108" s="3"/>
      <c r="IL108" s="3"/>
    </row>
    <row r="109" spans="1:246" x14ac:dyDescent="0.35">
      <c r="C109" s="344" t="s">
        <v>740</v>
      </c>
      <c r="D109" s="344"/>
      <c r="F109" s="344" t="s">
        <v>736</v>
      </c>
      <c r="G109" s="344"/>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c r="CJ109" s="3"/>
      <c r="CK109" s="3"/>
      <c r="CL109" s="3"/>
      <c r="CM109" s="3"/>
      <c r="CN109" s="3"/>
      <c r="CO109" s="3"/>
      <c r="CP109" s="3"/>
      <c r="CQ109" s="3"/>
      <c r="CR109" s="3"/>
      <c r="CS109" s="3"/>
      <c r="CT109" s="3"/>
      <c r="CU109" s="3"/>
      <c r="CV109" s="3"/>
      <c r="CW109" s="3"/>
      <c r="CX109" s="3"/>
      <c r="CY109" s="3"/>
      <c r="CZ109" s="3"/>
      <c r="DA109" s="3"/>
      <c r="DB109" s="3"/>
      <c r="DC109" s="3"/>
      <c r="DD109" s="3"/>
      <c r="DE109" s="3"/>
      <c r="DF109" s="3"/>
      <c r="DG109" s="3"/>
      <c r="DH109" s="3"/>
      <c r="DI109" s="3"/>
      <c r="DJ109" s="3"/>
      <c r="DK109" s="3"/>
      <c r="DL109" s="3"/>
      <c r="DM109" s="3"/>
      <c r="DN109" s="3"/>
      <c r="DO109" s="3"/>
      <c r="DP109" s="3"/>
      <c r="DQ109" s="3"/>
      <c r="DR109" s="3"/>
      <c r="DS109" s="3"/>
      <c r="DT109" s="3"/>
      <c r="DU109" s="3"/>
      <c r="DV109" s="3"/>
      <c r="DW109" s="3"/>
      <c r="DX109" s="3"/>
      <c r="DY109" s="3"/>
      <c r="DZ109" s="3"/>
      <c r="EA109" s="3"/>
      <c r="EB109" s="3"/>
      <c r="EC109" s="3"/>
      <c r="ED109" s="3"/>
      <c r="EE109" s="3"/>
      <c r="EF109" s="3"/>
      <c r="EG109" s="3"/>
      <c r="EH109" s="3"/>
      <c r="EI109" s="3"/>
      <c r="EJ109" s="3"/>
      <c r="EK109" s="3"/>
      <c r="EL109" s="3"/>
      <c r="EM109" s="3"/>
      <c r="EN109" s="3"/>
      <c r="EO109" s="3"/>
      <c r="EP109" s="3"/>
      <c r="EQ109" s="3"/>
      <c r="ER109" s="3"/>
      <c r="ES109" s="3"/>
      <c r="ET109" s="3"/>
      <c r="EU109" s="3"/>
      <c r="EV109" s="3"/>
      <c r="EW109" s="3"/>
      <c r="EX109" s="3"/>
      <c r="EY109" s="3"/>
      <c r="EZ109" s="3"/>
      <c r="FA109" s="3"/>
      <c r="FB109" s="3"/>
      <c r="FC109" s="3"/>
      <c r="FD109" s="3"/>
      <c r="FE109" s="3"/>
      <c r="FF109" s="3"/>
      <c r="FG109" s="3"/>
      <c r="FH109" s="3"/>
      <c r="FI109" s="3"/>
      <c r="FJ109" s="3"/>
      <c r="FK109" s="3"/>
      <c r="FL109" s="3"/>
      <c r="FM109" s="3"/>
      <c r="FN109" s="3"/>
      <c r="FO109" s="3"/>
      <c r="FP109" s="3"/>
      <c r="FQ109" s="3"/>
      <c r="FR109" s="3"/>
      <c r="FS109" s="3"/>
      <c r="FT109" s="3"/>
      <c r="FU109" s="3"/>
      <c r="FV109" s="3"/>
      <c r="FW109" s="3"/>
      <c r="FX109" s="3"/>
      <c r="FY109" s="3"/>
      <c r="FZ109" s="3"/>
      <c r="GA109" s="3"/>
      <c r="GB109" s="3"/>
      <c r="GC109" s="3"/>
      <c r="GD109" s="3"/>
      <c r="GE109" s="3"/>
      <c r="GF109" s="3"/>
      <c r="GG109" s="3"/>
      <c r="GH109" s="3"/>
      <c r="GI109" s="3"/>
      <c r="GJ109" s="3"/>
      <c r="GK109" s="3"/>
      <c r="GL109" s="3"/>
      <c r="GM109" s="3"/>
      <c r="GN109" s="3"/>
      <c r="GO109" s="3"/>
      <c r="GP109" s="3"/>
      <c r="GQ109" s="3"/>
      <c r="GR109" s="3"/>
      <c r="GS109" s="3"/>
      <c r="GT109" s="3"/>
      <c r="GU109" s="3"/>
      <c r="GV109" s="3"/>
      <c r="GW109" s="3"/>
      <c r="GX109" s="3"/>
      <c r="GY109" s="3"/>
      <c r="GZ109" s="3"/>
      <c r="HA109" s="3"/>
      <c r="HB109" s="3"/>
      <c r="HC109" s="3"/>
      <c r="HD109" s="3"/>
      <c r="HE109" s="3"/>
      <c r="HF109" s="3"/>
      <c r="HG109" s="3"/>
      <c r="HH109" s="3"/>
      <c r="HI109" s="3"/>
      <c r="HJ109" s="3"/>
      <c r="HK109" s="3"/>
      <c r="HL109" s="3"/>
      <c r="HM109" s="3"/>
      <c r="HN109" s="3"/>
      <c r="HO109" s="3"/>
      <c r="HP109" s="3"/>
      <c r="HQ109" s="3"/>
      <c r="HR109" s="3"/>
      <c r="HS109" s="3"/>
      <c r="HT109" s="3"/>
      <c r="HU109" s="3"/>
      <c r="HV109" s="3"/>
      <c r="HW109" s="3"/>
      <c r="HX109" s="3"/>
      <c r="HY109" s="3"/>
      <c r="HZ109" s="3"/>
      <c r="IA109" s="3"/>
      <c r="IB109" s="3"/>
      <c r="IC109" s="3"/>
      <c r="ID109" s="3"/>
      <c r="IE109" s="3"/>
      <c r="IF109" s="3"/>
      <c r="IG109" s="3"/>
      <c r="IH109" s="3"/>
      <c r="II109" s="3"/>
      <c r="IJ109" s="3"/>
      <c r="IK109" s="3"/>
      <c r="IL109" s="3"/>
    </row>
    <row r="110" spans="1:246" x14ac:dyDescent="0.35">
      <c r="C110" s="4" t="s">
        <v>741</v>
      </c>
      <c r="D110" s="165">
        <v>0.25</v>
      </c>
      <c r="F110" s="4" t="s">
        <v>737</v>
      </c>
      <c r="G110" s="92">
        <v>0.08</v>
      </c>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c r="CJ110" s="3"/>
      <c r="CK110" s="3"/>
      <c r="CL110" s="3"/>
      <c r="CM110" s="3"/>
      <c r="CN110" s="3"/>
      <c r="CO110" s="3"/>
      <c r="CP110" s="3"/>
      <c r="CQ110" s="3"/>
      <c r="CR110" s="3"/>
      <c r="CS110" s="3"/>
      <c r="CT110" s="3"/>
      <c r="CU110" s="3"/>
      <c r="CV110" s="3"/>
      <c r="CW110" s="3"/>
      <c r="CX110" s="3"/>
      <c r="CY110" s="3"/>
      <c r="CZ110" s="3"/>
      <c r="DA110" s="3"/>
      <c r="DB110" s="3"/>
      <c r="DC110" s="3"/>
      <c r="DD110" s="3"/>
      <c r="DE110" s="3"/>
      <c r="DF110" s="3"/>
      <c r="DG110" s="3"/>
      <c r="DH110" s="3"/>
      <c r="DI110" s="3"/>
      <c r="DJ110" s="3"/>
      <c r="DK110" s="3"/>
      <c r="DL110" s="3"/>
      <c r="DM110" s="3"/>
      <c r="DN110" s="3"/>
      <c r="DO110" s="3"/>
      <c r="DP110" s="3"/>
      <c r="DQ110" s="3"/>
      <c r="DR110" s="3"/>
      <c r="DS110" s="3"/>
      <c r="DT110" s="3"/>
      <c r="DU110" s="3"/>
      <c r="DV110" s="3"/>
      <c r="DW110" s="3"/>
      <c r="DX110" s="3"/>
      <c r="DY110" s="3"/>
      <c r="DZ110" s="3"/>
      <c r="EA110" s="3"/>
      <c r="EB110" s="3"/>
      <c r="EC110" s="3"/>
      <c r="ED110" s="3"/>
      <c r="EE110" s="3"/>
      <c r="EF110" s="3"/>
      <c r="EG110" s="3"/>
      <c r="EH110" s="3"/>
      <c r="EI110" s="3"/>
      <c r="EJ110" s="3"/>
      <c r="EK110" s="3"/>
      <c r="EL110" s="3"/>
      <c r="EM110" s="3"/>
      <c r="EN110" s="3"/>
      <c r="EO110" s="3"/>
      <c r="EP110" s="3"/>
      <c r="EQ110" s="3"/>
      <c r="ER110" s="3"/>
      <c r="ES110" s="3"/>
      <c r="ET110" s="3"/>
      <c r="EU110" s="3"/>
      <c r="EV110" s="3"/>
      <c r="EW110" s="3"/>
      <c r="EX110" s="3"/>
      <c r="EY110" s="3"/>
      <c r="EZ110" s="3"/>
      <c r="FA110" s="3"/>
      <c r="FB110" s="3"/>
      <c r="FC110" s="3"/>
      <c r="FD110" s="3"/>
      <c r="FE110" s="3"/>
      <c r="FF110" s="3"/>
      <c r="FG110" s="3"/>
      <c r="FH110" s="3"/>
      <c r="FI110" s="3"/>
      <c r="FJ110" s="3"/>
      <c r="FK110" s="3"/>
      <c r="FL110" s="3"/>
      <c r="FM110" s="3"/>
      <c r="FN110" s="3"/>
      <c r="FO110" s="3"/>
      <c r="FP110" s="3"/>
      <c r="FQ110" s="3"/>
      <c r="FR110" s="3"/>
      <c r="FS110" s="3"/>
      <c r="FT110" s="3"/>
      <c r="FU110" s="3"/>
      <c r="FV110" s="3"/>
      <c r="FW110" s="3"/>
      <c r="FX110" s="3"/>
      <c r="FY110" s="3"/>
      <c r="FZ110" s="3"/>
      <c r="GA110" s="3"/>
      <c r="GB110" s="3"/>
      <c r="GC110" s="3"/>
      <c r="GD110" s="3"/>
      <c r="GE110" s="3"/>
      <c r="GF110" s="3"/>
      <c r="GG110" s="3"/>
      <c r="GH110" s="3"/>
      <c r="GI110" s="3"/>
      <c r="GJ110" s="3"/>
      <c r="GK110" s="3"/>
      <c r="GL110" s="3"/>
      <c r="GM110" s="3"/>
      <c r="GN110" s="3"/>
      <c r="GO110" s="3"/>
      <c r="GP110" s="3"/>
      <c r="GQ110" s="3"/>
      <c r="GR110" s="3"/>
      <c r="GS110" s="3"/>
      <c r="GT110" s="3"/>
      <c r="GU110" s="3"/>
      <c r="GV110" s="3"/>
      <c r="GW110" s="3"/>
      <c r="GX110" s="3"/>
      <c r="GY110" s="3"/>
      <c r="GZ110" s="3"/>
      <c r="HA110" s="3"/>
      <c r="HB110" s="3"/>
      <c r="HC110" s="3"/>
      <c r="HD110" s="3"/>
      <c r="HE110" s="3"/>
      <c r="HF110" s="3"/>
      <c r="HG110" s="3"/>
      <c r="HH110" s="3"/>
      <c r="HI110" s="3"/>
      <c r="HJ110" s="3"/>
      <c r="HK110" s="3"/>
      <c r="HL110" s="3"/>
      <c r="HM110" s="3"/>
      <c r="HN110" s="3"/>
      <c r="HO110" s="3"/>
      <c r="HP110" s="3"/>
      <c r="HQ110" s="3"/>
      <c r="HR110" s="3"/>
      <c r="HS110" s="3"/>
      <c r="HT110" s="3"/>
      <c r="HU110" s="3"/>
      <c r="HV110" s="3"/>
      <c r="HW110" s="3"/>
      <c r="HX110" s="3"/>
      <c r="HY110" s="3"/>
      <c r="HZ110" s="3"/>
      <c r="IA110" s="3"/>
      <c r="IB110" s="3"/>
      <c r="IC110" s="3"/>
      <c r="ID110" s="3"/>
      <c r="IE110" s="3"/>
      <c r="IF110" s="3"/>
      <c r="IG110" s="3"/>
      <c r="IH110" s="3"/>
      <c r="II110" s="3"/>
      <c r="IJ110" s="3"/>
      <c r="IK110" s="3"/>
      <c r="IL110" s="3"/>
    </row>
    <row r="111" spans="1:246" x14ac:dyDescent="0.35">
      <c r="A111" s="45">
        <f>SUM(F152:H152)</f>
        <v>152854059.80811879</v>
      </c>
      <c r="B111">
        <f>A111/(A111+A112)</f>
        <v>0.76370074534342902</v>
      </c>
      <c r="C111" s="4" t="s">
        <v>742</v>
      </c>
      <c r="D111" s="92">
        <v>0.5</v>
      </c>
      <c r="F111" s="4" t="s">
        <v>738</v>
      </c>
      <c r="G111" s="92">
        <v>0.6</v>
      </c>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c r="CJ111" s="3"/>
      <c r="CK111" s="3"/>
      <c r="CL111" s="3"/>
      <c r="CM111" s="3"/>
      <c r="CN111" s="3"/>
      <c r="CO111" s="3"/>
      <c r="CP111" s="3"/>
      <c r="CQ111" s="3"/>
      <c r="CR111" s="3"/>
      <c r="CS111" s="3"/>
      <c r="CT111" s="3"/>
      <c r="CU111" s="3"/>
      <c r="CV111" s="3"/>
      <c r="CW111" s="3"/>
      <c r="CX111" s="3"/>
      <c r="CY111" s="3"/>
      <c r="CZ111" s="3"/>
      <c r="DA111" s="3"/>
      <c r="DB111" s="3"/>
      <c r="DC111" s="3"/>
      <c r="DD111" s="3"/>
      <c r="DE111" s="3"/>
      <c r="DF111" s="3"/>
      <c r="DG111" s="3"/>
      <c r="DH111" s="3"/>
      <c r="DI111" s="3"/>
      <c r="DJ111" s="3"/>
      <c r="DK111" s="3"/>
      <c r="DL111" s="3"/>
      <c r="DM111" s="3"/>
      <c r="DN111" s="3"/>
      <c r="DO111" s="3"/>
      <c r="DP111" s="3"/>
      <c r="DQ111" s="3"/>
      <c r="DR111" s="3"/>
      <c r="DS111" s="3"/>
      <c r="DT111" s="3"/>
      <c r="DU111" s="3"/>
      <c r="DV111" s="3"/>
      <c r="DW111" s="3"/>
      <c r="DX111" s="3"/>
      <c r="DY111" s="3"/>
      <c r="DZ111" s="3"/>
      <c r="EA111" s="3"/>
      <c r="EB111" s="3"/>
      <c r="EC111" s="3"/>
      <c r="ED111" s="3"/>
      <c r="EE111" s="3"/>
      <c r="EF111" s="3"/>
      <c r="EG111" s="3"/>
      <c r="EH111" s="3"/>
      <c r="EI111" s="3"/>
      <c r="EJ111" s="3"/>
      <c r="EK111" s="3"/>
      <c r="EL111" s="3"/>
      <c r="EM111" s="3"/>
      <c r="EN111" s="3"/>
      <c r="EO111" s="3"/>
      <c r="EP111" s="3"/>
      <c r="EQ111" s="3"/>
      <c r="ER111" s="3"/>
      <c r="ES111" s="3"/>
      <c r="ET111" s="3"/>
      <c r="EU111" s="3"/>
      <c r="EV111" s="3"/>
      <c r="EW111" s="3"/>
      <c r="EX111" s="3"/>
      <c r="EY111" s="3"/>
      <c r="EZ111" s="3"/>
      <c r="FA111" s="3"/>
      <c r="FB111" s="3"/>
      <c r="FC111" s="3"/>
      <c r="FD111" s="3"/>
      <c r="FE111" s="3"/>
      <c r="FF111" s="3"/>
      <c r="FG111" s="3"/>
      <c r="FH111" s="3"/>
      <c r="FI111" s="3"/>
      <c r="FJ111" s="3"/>
      <c r="FK111" s="3"/>
      <c r="FL111" s="3"/>
      <c r="FM111" s="3"/>
      <c r="FN111" s="3"/>
      <c r="FO111" s="3"/>
      <c r="FP111" s="3"/>
      <c r="FQ111" s="3"/>
      <c r="FR111" s="3"/>
      <c r="FS111" s="3"/>
      <c r="FT111" s="3"/>
      <c r="FU111" s="3"/>
      <c r="FV111" s="3"/>
      <c r="FW111" s="3"/>
      <c r="FX111" s="3"/>
      <c r="FY111" s="3"/>
      <c r="FZ111" s="3"/>
      <c r="GA111" s="3"/>
      <c r="GB111" s="3"/>
      <c r="GC111" s="3"/>
      <c r="GD111" s="3"/>
      <c r="GE111" s="3"/>
      <c r="GF111" s="3"/>
      <c r="GG111" s="3"/>
      <c r="GH111" s="3"/>
      <c r="GI111" s="3"/>
      <c r="GJ111" s="3"/>
      <c r="GK111" s="3"/>
      <c r="GL111" s="3"/>
      <c r="GM111" s="3"/>
      <c r="GN111" s="3"/>
      <c r="GO111" s="3"/>
      <c r="GP111" s="3"/>
      <c r="GQ111" s="3"/>
      <c r="GR111" s="3"/>
      <c r="GS111" s="3"/>
      <c r="GT111" s="3"/>
      <c r="GU111" s="3"/>
      <c r="GV111" s="3"/>
      <c r="GW111" s="3"/>
      <c r="GX111" s="3"/>
      <c r="GY111" s="3"/>
      <c r="GZ111" s="3"/>
      <c r="HA111" s="3"/>
      <c r="HB111" s="3"/>
      <c r="HC111" s="3"/>
      <c r="HD111" s="3"/>
      <c r="HE111" s="3"/>
      <c r="HF111" s="3"/>
      <c r="HG111" s="3"/>
      <c r="HH111" s="3"/>
      <c r="HI111" s="3"/>
      <c r="HJ111" s="3"/>
      <c r="HK111" s="3"/>
      <c r="HL111" s="3"/>
      <c r="HM111" s="3"/>
      <c r="HN111" s="3"/>
      <c r="HO111" s="3"/>
      <c r="HP111" s="3"/>
      <c r="HQ111" s="3"/>
      <c r="HR111" s="3"/>
      <c r="HS111" s="3"/>
      <c r="HT111" s="3"/>
      <c r="HU111" s="3"/>
      <c r="HV111" s="3"/>
      <c r="HW111" s="3"/>
      <c r="HX111" s="3"/>
      <c r="HY111" s="3"/>
      <c r="HZ111" s="3"/>
      <c r="IA111" s="3"/>
      <c r="IB111" s="3"/>
      <c r="IC111" s="3"/>
      <c r="ID111" s="3"/>
      <c r="IE111" s="3"/>
      <c r="IF111" s="3"/>
      <c r="IG111" s="3"/>
      <c r="IH111" s="3"/>
      <c r="II111" s="3"/>
      <c r="IJ111" s="3"/>
      <c r="IK111" s="3"/>
      <c r="IL111" s="3"/>
    </row>
    <row r="112" spans="1:246" x14ac:dyDescent="0.35">
      <c r="A112" s="4">
        <f>Full_Prod_Rate*1.55</f>
        <v>47295096.442058451</v>
      </c>
      <c r="B112">
        <f>A112/(A111+A112)</f>
        <v>0.23629925465657101</v>
      </c>
      <c r="C112" s="4" t="s">
        <v>743</v>
      </c>
      <c r="D112">
        <f>I90*1000000</f>
        <v>30512965.446489323</v>
      </c>
      <c r="E112" t="s">
        <v>769</v>
      </c>
      <c r="F112" s="4" t="s">
        <v>739</v>
      </c>
      <c r="G112" s="92">
        <v>0.32</v>
      </c>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c r="CJ112" s="3"/>
      <c r="CK112" s="3"/>
      <c r="CL112" s="3"/>
      <c r="CM112" s="3"/>
      <c r="CN112" s="3"/>
      <c r="CO112" s="3"/>
      <c r="CP112" s="3"/>
      <c r="CQ112" s="3"/>
      <c r="CR112" s="3"/>
      <c r="CS112" s="3"/>
      <c r="CT112" s="3"/>
      <c r="CU112" s="3"/>
      <c r="CV112" s="3"/>
      <c r="CW112" s="3"/>
      <c r="CX112" s="3"/>
      <c r="CY112" s="3"/>
      <c r="CZ112" s="3"/>
      <c r="DA112" s="3"/>
      <c r="DB112" s="3"/>
      <c r="DC112" s="3"/>
      <c r="DD112" s="3"/>
      <c r="DE112" s="3"/>
      <c r="DF112" s="3"/>
      <c r="DG112" s="3"/>
      <c r="DH112" s="3"/>
      <c r="DI112" s="3"/>
      <c r="DJ112" s="3"/>
      <c r="DK112" s="3"/>
      <c r="DL112" s="3"/>
      <c r="DM112" s="3"/>
      <c r="DN112" s="3"/>
      <c r="DO112" s="3"/>
      <c r="DP112" s="3"/>
      <c r="DQ112" s="3"/>
      <c r="DR112" s="3"/>
      <c r="DS112" s="3"/>
      <c r="DT112" s="3"/>
      <c r="DU112" s="3"/>
      <c r="DV112" s="3"/>
      <c r="DW112" s="3"/>
      <c r="DX112" s="3"/>
      <c r="DY112" s="3"/>
      <c r="DZ112" s="3"/>
      <c r="EA112" s="3"/>
      <c r="EB112" s="3"/>
      <c r="EC112" s="3"/>
      <c r="ED112" s="3"/>
      <c r="EE112" s="3"/>
      <c r="EF112" s="3"/>
      <c r="EG112" s="3"/>
      <c r="EH112" s="3"/>
      <c r="EI112" s="3"/>
      <c r="EJ112" s="3"/>
      <c r="EK112" s="3"/>
      <c r="EL112" s="3"/>
      <c r="EM112" s="3"/>
      <c r="EN112" s="3"/>
      <c r="EO112" s="3"/>
      <c r="EP112" s="3"/>
      <c r="EQ112" s="3"/>
      <c r="ER112" s="3"/>
      <c r="ES112" s="3"/>
      <c r="ET112" s="3"/>
      <c r="EU112" s="3"/>
      <c r="EV112" s="3"/>
      <c r="EW112" s="3"/>
      <c r="EX112" s="3"/>
      <c r="EY112" s="3"/>
      <c r="EZ112" s="3"/>
      <c r="FA112" s="3"/>
      <c r="FB112" s="3"/>
      <c r="FC112" s="3"/>
      <c r="FD112" s="3"/>
      <c r="FE112" s="3"/>
      <c r="FF112" s="3"/>
      <c r="FG112" s="3"/>
      <c r="FH112" s="3"/>
      <c r="FI112" s="3"/>
      <c r="FJ112" s="3"/>
      <c r="FK112" s="3"/>
      <c r="FL112" s="3"/>
      <c r="FM112" s="3"/>
      <c r="FN112" s="3"/>
      <c r="FO112" s="3"/>
      <c r="FP112" s="3"/>
      <c r="FQ112" s="3"/>
      <c r="FR112" s="3"/>
      <c r="FS112" s="3"/>
      <c r="FT112" s="3"/>
      <c r="FU112" s="3"/>
      <c r="FV112" s="3"/>
      <c r="FW112" s="3"/>
      <c r="FX112" s="3"/>
      <c r="FY112" s="3"/>
      <c r="FZ112" s="3"/>
      <c r="GA112" s="3"/>
      <c r="GB112" s="3"/>
      <c r="GC112" s="3"/>
      <c r="GD112" s="3"/>
      <c r="GE112" s="3"/>
      <c r="GF112" s="3"/>
      <c r="GG112" s="3"/>
      <c r="GH112" s="3"/>
      <c r="GI112" s="3"/>
      <c r="GJ112" s="3"/>
      <c r="GK112" s="3"/>
      <c r="GL112" s="3"/>
      <c r="GM112" s="3"/>
      <c r="GN112" s="3"/>
      <c r="GO112" s="3"/>
      <c r="GP112" s="3"/>
      <c r="GQ112" s="3"/>
      <c r="GR112" s="3"/>
      <c r="GS112" s="3"/>
      <c r="GT112" s="3"/>
      <c r="GU112" s="3"/>
      <c r="GV112" s="3"/>
      <c r="GW112" s="3"/>
      <c r="GX112" s="3"/>
      <c r="GY112" s="3"/>
      <c r="GZ112" s="3"/>
      <c r="HA112" s="3"/>
      <c r="HB112" s="3"/>
      <c r="HC112" s="3"/>
      <c r="HD112" s="3"/>
      <c r="HE112" s="3"/>
      <c r="HF112" s="3"/>
      <c r="HG112" s="3"/>
      <c r="HH112" s="3"/>
      <c r="HI112" s="3"/>
      <c r="HJ112" s="3"/>
      <c r="HK112" s="3"/>
      <c r="HL112" s="3"/>
      <c r="HM112" s="3"/>
      <c r="HN112" s="3"/>
      <c r="HO112" s="3"/>
      <c r="HP112" s="3"/>
      <c r="HQ112" s="3"/>
      <c r="HR112" s="3"/>
      <c r="HS112" s="3"/>
      <c r="HT112" s="3"/>
      <c r="HU112" s="3"/>
      <c r="HV112" s="3"/>
      <c r="HW112" s="3"/>
      <c r="HX112" s="3"/>
      <c r="HY112" s="3"/>
      <c r="HZ112" s="3"/>
      <c r="IA112" s="3"/>
      <c r="IB112" s="3"/>
      <c r="IC112" s="3"/>
      <c r="ID112" s="3"/>
      <c r="IE112" s="3"/>
      <c r="IF112" s="3"/>
      <c r="IG112" s="3"/>
      <c r="IH112" s="3"/>
      <c r="II112" s="3"/>
      <c r="IJ112" s="3"/>
      <c r="IK112" s="3"/>
      <c r="IL112" s="3"/>
    </row>
    <row r="113" spans="1:246" x14ac:dyDescent="0.35">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c r="CJ113" s="3"/>
      <c r="CK113" s="3"/>
      <c r="CL113" s="3"/>
      <c r="CM113" s="3"/>
      <c r="CN113" s="3"/>
      <c r="CO113" s="3"/>
      <c r="CP113" s="3"/>
      <c r="CQ113" s="3"/>
      <c r="CR113" s="3"/>
      <c r="CS113" s="3"/>
      <c r="CT113" s="3"/>
      <c r="CU113" s="3"/>
      <c r="CV113" s="3"/>
      <c r="CW113" s="3"/>
      <c r="CX113" s="3"/>
      <c r="CY113" s="3"/>
      <c r="CZ113" s="3"/>
      <c r="DA113" s="3"/>
      <c r="DB113" s="3"/>
      <c r="DC113" s="3"/>
      <c r="DD113" s="3"/>
      <c r="DE113" s="3"/>
      <c r="DF113" s="3"/>
      <c r="DG113" s="3"/>
      <c r="DH113" s="3"/>
      <c r="DI113" s="3"/>
      <c r="DJ113" s="3"/>
      <c r="DK113" s="3"/>
      <c r="DL113" s="3"/>
      <c r="DM113" s="3"/>
      <c r="DN113" s="3"/>
      <c r="DO113" s="3"/>
      <c r="DP113" s="3"/>
      <c r="DQ113" s="3"/>
      <c r="DR113" s="3"/>
      <c r="DS113" s="3"/>
      <c r="DT113" s="3"/>
      <c r="DU113" s="3"/>
      <c r="DV113" s="3"/>
      <c r="DW113" s="3"/>
      <c r="DX113" s="3"/>
      <c r="DY113" s="3"/>
      <c r="DZ113" s="3"/>
      <c r="EA113" s="3"/>
      <c r="EB113" s="3"/>
      <c r="EC113" s="3"/>
      <c r="ED113" s="3"/>
      <c r="EE113" s="3"/>
      <c r="EF113" s="3"/>
      <c r="EG113" s="3"/>
      <c r="EH113" s="3"/>
      <c r="EI113" s="3"/>
      <c r="EJ113" s="3"/>
      <c r="EK113" s="3"/>
      <c r="EL113" s="3"/>
      <c r="EM113" s="3"/>
      <c r="EN113" s="3"/>
      <c r="EO113" s="3"/>
      <c r="EP113" s="3"/>
      <c r="EQ113" s="3"/>
      <c r="ER113" s="3"/>
      <c r="ES113" s="3"/>
      <c r="ET113" s="3"/>
      <c r="EU113" s="3"/>
      <c r="EV113" s="3"/>
      <c r="EW113" s="3"/>
      <c r="EX113" s="3"/>
      <c r="EY113" s="3"/>
      <c r="EZ113" s="3"/>
      <c r="FA113" s="3"/>
      <c r="FB113" s="3"/>
      <c r="FC113" s="3"/>
      <c r="FD113" s="3"/>
      <c r="FE113" s="3"/>
      <c r="FF113" s="3"/>
      <c r="FG113" s="3"/>
      <c r="FH113" s="3"/>
      <c r="FI113" s="3"/>
      <c r="FJ113" s="3"/>
      <c r="FK113" s="3"/>
      <c r="FL113" s="3"/>
      <c r="FM113" s="3"/>
      <c r="FN113" s="3"/>
      <c r="FO113" s="3"/>
      <c r="FP113" s="3"/>
      <c r="FQ113" s="3"/>
      <c r="FR113" s="3"/>
      <c r="FS113" s="3"/>
      <c r="FT113" s="3"/>
      <c r="FU113" s="3"/>
      <c r="FV113" s="3"/>
      <c r="FW113" s="3"/>
      <c r="FX113" s="3"/>
      <c r="FY113" s="3"/>
      <c r="FZ113" s="3"/>
      <c r="GA113" s="3"/>
      <c r="GB113" s="3"/>
      <c r="GC113" s="3"/>
      <c r="GD113" s="3"/>
      <c r="GE113" s="3"/>
      <c r="GF113" s="3"/>
      <c r="GG113" s="3"/>
      <c r="GH113" s="3"/>
      <c r="GI113" s="3"/>
      <c r="GJ113" s="3"/>
      <c r="GK113" s="3"/>
      <c r="GL113" s="3"/>
      <c r="GM113" s="3"/>
      <c r="GN113" s="3"/>
      <c r="GO113" s="3"/>
      <c r="GP113" s="3"/>
      <c r="GQ113" s="3"/>
      <c r="GR113" s="3"/>
      <c r="GS113" s="3"/>
      <c r="GT113" s="3"/>
      <c r="GU113" s="3"/>
      <c r="GV113" s="3"/>
      <c r="GW113" s="3"/>
      <c r="GX113" s="3"/>
      <c r="GY113" s="3"/>
      <c r="GZ113" s="3"/>
      <c r="HA113" s="3"/>
      <c r="HB113" s="3"/>
      <c r="HC113" s="3"/>
      <c r="HD113" s="3"/>
      <c r="HE113" s="3"/>
      <c r="HF113" s="3"/>
      <c r="HG113" s="3"/>
      <c r="HH113" s="3"/>
      <c r="HI113" s="3"/>
      <c r="HJ113" s="3"/>
      <c r="HK113" s="3"/>
      <c r="HL113" s="3"/>
      <c r="HM113" s="3"/>
      <c r="HN113" s="3"/>
      <c r="HO113" s="3"/>
      <c r="HP113" s="3"/>
      <c r="HQ113" s="3"/>
      <c r="HR113" s="3"/>
      <c r="HS113" s="3"/>
      <c r="HT113" s="3"/>
      <c r="HU113" s="3"/>
      <c r="HV113" s="3"/>
      <c r="HW113" s="3"/>
      <c r="HX113" s="3"/>
      <c r="HY113" s="3"/>
      <c r="HZ113" s="3"/>
      <c r="IA113" s="3"/>
      <c r="IB113" s="3"/>
      <c r="IC113" s="3"/>
      <c r="ID113" s="3"/>
      <c r="IE113" s="3"/>
      <c r="IF113" s="3"/>
      <c r="IG113" s="3"/>
      <c r="IH113" s="3"/>
      <c r="II113" s="3"/>
      <c r="IJ113" s="3"/>
      <c r="IK113" s="3"/>
      <c r="IL113" s="3"/>
    </row>
    <row r="114" spans="1:246" x14ac:dyDescent="0.35">
      <c r="H114" s="196" t="s">
        <v>770</v>
      </c>
      <c r="J114" t="s">
        <v>776</v>
      </c>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c r="CJ114" s="3"/>
      <c r="CK114" s="3"/>
      <c r="CL114" s="3"/>
      <c r="CM114" s="3"/>
      <c r="CN114" s="3"/>
      <c r="CO114" s="3"/>
      <c r="CP114" s="3"/>
      <c r="CQ114" s="3"/>
      <c r="CR114" s="3"/>
      <c r="CS114" s="3"/>
      <c r="CT114" s="3"/>
      <c r="CU114" s="3"/>
      <c r="CV114" s="3"/>
      <c r="CW114" s="3"/>
      <c r="CX114" s="3"/>
      <c r="CY114" s="3"/>
      <c r="CZ114" s="3"/>
      <c r="DA114" s="3"/>
      <c r="DB114" s="3"/>
      <c r="DC114" s="3"/>
      <c r="DD114" s="3"/>
      <c r="DE114" s="3"/>
      <c r="DF114" s="3"/>
      <c r="DG114" s="3"/>
      <c r="DH114" s="3"/>
      <c r="DI114" s="3"/>
      <c r="DJ114" s="3"/>
      <c r="DK114" s="3"/>
      <c r="DL114" s="3"/>
      <c r="DM114" s="3"/>
      <c r="DN114" s="3"/>
      <c r="DO114" s="3"/>
      <c r="DP114" s="3"/>
      <c r="DQ114" s="3"/>
      <c r="DR114" s="3"/>
      <c r="DS114" s="3"/>
      <c r="DT114" s="3"/>
      <c r="DU114" s="3"/>
      <c r="DV114" s="3"/>
      <c r="DW114" s="3"/>
      <c r="DX114" s="3"/>
      <c r="DY114" s="3"/>
      <c r="DZ114" s="3"/>
      <c r="EA114" s="3"/>
      <c r="EB114" s="3"/>
      <c r="EC114" s="3"/>
      <c r="ED114" s="3"/>
      <c r="EE114" s="3"/>
      <c r="EF114" s="3"/>
      <c r="EG114" s="3"/>
      <c r="EH114" s="3"/>
      <c r="EI114" s="3"/>
      <c r="EJ114" s="3"/>
      <c r="EK114" s="3"/>
      <c r="EL114" s="3"/>
      <c r="EM114" s="3"/>
      <c r="EN114" s="3"/>
      <c r="EO114" s="3"/>
      <c r="EP114" s="3"/>
      <c r="EQ114" s="3"/>
      <c r="ER114" s="3"/>
      <c r="ES114" s="3"/>
      <c r="ET114" s="3"/>
      <c r="EU114" s="3"/>
      <c r="EV114" s="3"/>
      <c r="EW114" s="3"/>
      <c r="EX114" s="3"/>
      <c r="EY114" s="3"/>
      <c r="EZ114" s="3"/>
      <c r="FA114" s="3"/>
      <c r="FB114" s="3"/>
      <c r="FC114" s="3"/>
      <c r="FD114" s="3"/>
      <c r="FE114" s="3"/>
      <c r="FF114" s="3"/>
      <c r="FG114" s="3"/>
      <c r="FH114" s="3"/>
      <c r="FI114" s="3"/>
      <c r="FJ114" s="3"/>
      <c r="FK114" s="3"/>
      <c r="FL114" s="3"/>
      <c r="FM114" s="3"/>
      <c r="FN114" s="3"/>
      <c r="FO114" s="3"/>
      <c r="FP114" s="3"/>
      <c r="FQ114" s="3"/>
      <c r="FR114" s="3"/>
      <c r="FS114" s="3"/>
      <c r="FT114" s="3"/>
      <c r="FU114" s="3"/>
      <c r="FV114" s="3"/>
      <c r="FW114" s="3"/>
      <c r="FX114" s="3"/>
      <c r="FY114" s="3"/>
      <c r="FZ114" s="3"/>
      <c r="GA114" s="3"/>
      <c r="GB114" s="3"/>
      <c r="GC114" s="3"/>
      <c r="GD114" s="3"/>
      <c r="GE114" s="3"/>
      <c r="GF114" s="3"/>
      <c r="GG114" s="3"/>
      <c r="GH114" s="3"/>
      <c r="GI114" s="3"/>
      <c r="GJ114" s="3"/>
      <c r="GK114" s="3"/>
      <c r="GL114" s="3"/>
      <c r="GM114" s="3"/>
      <c r="GN114" s="3"/>
      <c r="GO114" s="3"/>
      <c r="GP114" s="3"/>
      <c r="GQ114" s="3"/>
      <c r="GR114" s="3"/>
      <c r="GS114" s="3"/>
      <c r="GT114" s="3"/>
      <c r="GU114" s="3"/>
      <c r="GV114" s="3"/>
      <c r="GW114" s="3"/>
      <c r="GX114" s="3"/>
      <c r="GY114" s="3"/>
      <c r="GZ114" s="3"/>
      <c r="HA114" s="3"/>
      <c r="HB114" s="3"/>
      <c r="HC114" s="3"/>
      <c r="HD114" s="3"/>
      <c r="HE114" s="3"/>
      <c r="HF114" s="3"/>
      <c r="HG114" s="3"/>
      <c r="HH114" s="3"/>
      <c r="HI114" s="3"/>
      <c r="HJ114" s="3"/>
      <c r="HK114" s="3"/>
      <c r="HL114" s="3"/>
      <c r="HM114" s="3"/>
      <c r="HN114" s="3"/>
      <c r="HO114" s="3"/>
      <c r="HP114" s="3"/>
      <c r="HQ114" s="3"/>
      <c r="HR114" s="3"/>
      <c r="HS114" s="3"/>
      <c r="HT114" s="3"/>
      <c r="HU114" s="3"/>
      <c r="HV114" s="3"/>
      <c r="HW114" s="3"/>
      <c r="HX114" s="3"/>
      <c r="HY114" s="3"/>
      <c r="HZ114" s="3"/>
      <c r="IA114" s="3"/>
      <c r="IB114" s="3"/>
      <c r="IC114" s="3"/>
      <c r="ID114" s="3"/>
      <c r="IE114" s="3"/>
      <c r="IF114" s="3"/>
      <c r="IG114" s="3"/>
      <c r="IH114" s="3"/>
      <c r="II114" s="3"/>
      <c r="IJ114" s="3"/>
      <c r="IK114" s="3"/>
      <c r="IL114" s="3"/>
    </row>
    <row r="115" spans="1:246" x14ac:dyDescent="0.35">
      <c r="H115" s="232">
        <v>2.4307930833445983</v>
      </c>
      <c r="I115" t="s">
        <v>771</v>
      </c>
      <c r="J115">
        <f>[1]DCFROR!$B$35</f>
        <v>2.3398322125926292</v>
      </c>
      <c r="K115" t="s">
        <v>777</v>
      </c>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c r="CJ115" s="3"/>
      <c r="CK115" s="3"/>
      <c r="CL115" s="3"/>
      <c r="CM115" s="3"/>
      <c r="CN115" s="3"/>
      <c r="CO115" s="3"/>
      <c r="CP115" s="3"/>
      <c r="CQ115" s="3"/>
      <c r="CR115" s="3"/>
      <c r="CS115" s="3"/>
      <c r="CT115" s="3"/>
      <c r="CU115" s="3"/>
      <c r="CV115" s="3"/>
      <c r="CW115" s="3"/>
      <c r="CX115" s="3"/>
      <c r="CY115" s="3"/>
      <c r="CZ115" s="3"/>
      <c r="DA115" s="3"/>
      <c r="DB115" s="3"/>
      <c r="DC115" s="3"/>
      <c r="DD115" s="3"/>
      <c r="DE115" s="3"/>
      <c r="DF115" s="3"/>
      <c r="DG115" s="3"/>
      <c r="DH115" s="3"/>
      <c r="DI115" s="3"/>
      <c r="DJ115" s="3"/>
      <c r="DK115" s="3"/>
      <c r="DL115" s="3"/>
      <c r="DM115" s="3"/>
      <c r="DN115" s="3"/>
      <c r="DO115" s="3"/>
      <c r="DP115" s="3"/>
      <c r="DQ115" s="3"/>
      <c r="DR115" s="3"/>
      <c r="DS115" s="3"/>
      <c r="DT115" s="3"/>
      <c r="DU115" s="3"/>
      <c r="DV115" s="3"/>
      <c r="DW115" s="3"/>
      <c r="DX115" s="3"/>
      <c r="DY115" s="3"/>
      <c r="DZ115" s="3"/>
      <c r="EA115" s="3"/>
      <c r="EB115" s="3"/>
      <c r="EC115" s="3"/>
      <c r="ED115" s="3"/>
      <c r="EE115" s="3"/>
      <c r="EF115" s="3"/>
      <c r="EG115" s="3"/>
      <c r="EH115" s="3"/>
      <c r="EI115" s="3"/>
      <c r="EJ115" s="3"/>
      <c r="EK115" s="3"/>
      <c r="EL115" s="3"/>
      <c r="EM115" s="3"/>
      <c r="EN115" s="3"/>
      <c r="EO115" s="3"/>
      <c r="EP115" s="3"/>
      <c r="EQ115" s="3"/>
      <c r="ER115" s="3"/>
      <c r="ES115" s="3"/>
      <c r="ET115" s="3"/>
      <c r="EU115" s="3"/>
      <c r="EV115" s="3"/>
      <c r="EW115" s="3"/>
      <c r="EX115" s="3"/>
      <c r="EY115" s="3"/>
      <c r="EZ115" s="3"/>
      <c r="FA115" s="3"/>
      <c r="FB115" s="3"/>
      <c r="FC115" s="3"/>
      <c r="FD115" s="3"/>
      <c r="FE115" s="3"/>
      <c r="FF115" s="3"/>
      <c r="FG115" s="3"/>
      <c r="FH115" s="3"/>
      <c r="FI115" s="3"/>
      <c r="FJ115" s="3"/>
      <c r="FK115" s="3"/>
      <c r="FL115" s="3"/>
      <c r="FM115" s="3"/>
      <c r="FN115" s="3"/>
      <c r="FO115" s="3"/>
      <c r="FP115" s="3"/>
      <c r="FQ115" s="3"/>
      <c r="FR115" s="3"/>
      <c r="FS115" s="3"/>
      <c r="FT115" s="3"/>
      <c r="FU115" s="3"/>
      <c r="FV115" s="3"/>
      <c r="FW115" s="3"/>
      <c r="FX115" s="3"/>
      <c r="FY115" s="3"/>
      <c r="FZ115" s="3"/>
      <c r="GA115" s="3"/>
      <c r="GB115" s="3"/>
      <c r="GC115" s="3"/>
      <c r="GD115" s="3"/>
      <c r="GE115" s="3"/>
      <c r="GF115" s="3"/>
      <c r="GG115" s="3"/>
      <c r="GH115" s="3"/>
      <c r="GI115" s="3"/>
      <c r="GJ115" s="3"/>
      <c r="GK115" s="3"/>
      <c r="GL115" s="3"/>
      <c r="GM115" s="3"/>
      <c r="GN115" s="3"/>
      <c r="GO115" s="3"/>
      <c r="GP115" s="3"/>
      <c r="GQ115" s="3"/>
      <c r="GR115" s="3"/>
      <c r="GS115" s="3"/>
      <c r="GT115" s="3"/>
      <c r="GU115" s="3"/>
      <c r="GV115" s="3"/>
      <c r="GW115" s="3"/>
      <c r="GX115" s="3"/>
      <c r="GY115" s="3"/>
      <c r="GZ115" s="3"/>
      <c r="HA115" s="3"/>
      <c r="HB115" s="3"/>
      <c r="HC115" s="3"/>
      <c r="HD115" s="3"/>
      <c r="HE115" s="3"/>
      <c r="HF115" s="3"/>
      <c r="HG115" s="3"/>
      <c r="HH115" s="3"/>
      <c r="HI115" s="3"/>
      <c r="HJ115" s="3"/>
      <c r="HK115" s="3"/>
      <c r="HL115" s="3"/>
      <c r="HM115" s="3"/>
      <c r="HN115" s="3"/>
      <c r="HO115" s="3"/>
      <c r="HP115" s="3"/>
      <c r="HQ115" s="3"/>
      <c r="HR115" s="3"/>
      <c r="HS115" s="3"/>
      <c r="HT115" s="3"/>
      <c r="HU115" s="3"/>
      <c r="HV115" s="3"/>
      <c r="HW115" s="3"/>
      <c r="HX115" s="3"/>
      <c r="HY115" s="3"/>
      <c r="HZ115" s="3"/>
      <c r="IA115" s="3"/>
      <c r="IB115" s="3"/>
      <c r="IC115" s="3"/>
      <c r="ID115" s="3"/>
      <c r="IE115" s="3"/>
      <c r="IF115" s="3"/>
      <c r="IG115" s="3"/>
      <c r="IH115" s="3"/>
      <c r="II115" s="3"/>
      <c r="IJ115" s="3"/>
      <c r="IK115" s="3"/>
      <c r="IL115" s="3"/>
    </row>
    <row r="116" spans="1:246" x14ac:dyDescent="0.35">
      <c r="H116" s="6">
        <f>E151-SUM(F152:H152)</f>
        <v>-108023690.38875569</v>
      </c>
      <c r="I116" t="s">
        <v>775</v>
      </c>
      <c r="J116" s="206">
        <f>MESP/J115</f>
        <v>1.0388749544785438</v>
      </c>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c r="CJ116" s="3"/>
      <c r="CK116" s="3"/>
      <c r="CL116" s="3"/>
      <c r="CM116" s="3"/>
      <c r="CN116" s="3"/>
      <c r="CO116" s="3"/>
      <c r="CP116" s="3"/>
      <c r="CQ116" s="3"/>
      <c r="CR116" s="3"/>
      <c r="CS116" s="3"/>
      <c r="CT116" s="3"/>
      <c r="CU116" s="3"/>
      <c r="CV116" s="3"/>
      <c r="CW116" s="3"/>
      <c r="CX116" s="3"/>
      <c r="CY116" s="3"/>
      <c r="CZ116" s="3"/>
      <c r="DA116" s="3"/>
      <c r="DB116" s="3"/>
      <c r="DC116" s="3"/>
      <c r="DD116" s="3"/>
      <c r="DE116" s="3"/>
      <c r="DF116" s="3"/>
      <c r="DG116" s="3"/>
      <c r="DH116" s="3"/>
      <c r="DI116" s="3"/>
      <c r="DJ116" s="3"/>
      <c r="DK116" s="3"/>
      <c r="DL116" s="3"/>
      <c r="DM116" s="3"/>
      <c r="DN116" s="3"/>
      <c r="DO116" s="3"/>
      <c r="DP116" s="3"/>
      <c r="DQ116" s="3"/>
      <c r="DR116" s="3"/>
      <c r="DS116" s="3"/>
      <c r="DT116" s="3"/>
      <c r="DU116" s="3"/>
      <c r="DV116" s="3"/>
      <c r="DW116" s="3"/>
      <c r="DX116" s="3"/>
      <c r="DY116" s="3"/>
      <c r="DZ116" s="3"/>
      <c r="EA116" s="3"/>
      <c r="EB116" s="3"/>
      <c r="EC116" s="3"/>
      <c r="ED116" s="3"/>
      <c r="EE116" s="3"/>
      <c r="EF116" s="3"/>
      <c r="EG116" s="3"/>
      <c r="EH116" s="3"/>
      <c r="EI116" s="3"/>
      <c r="EJ116" s="3"/>
      <c r="EK116" s="3"/>
      <c r="EL116" s="3"/>
      <c r="EM116" s="3"/>
      <c r="EN116" s="3"/>
      <c r="EO116" s="3"/>
      <c r="EP116" s="3"/>
      <c r="EQ116" s="3"/>
      <c r="ER116" s="3"/>
      <c r="ES116" s="3"/>
      <c r="ET116" s="3"/>
      <c r="EU116" s="3"/>
      <c r="EV116" s="3"/>
      <c r="EW116" s="3"/>
      <c r="EX116" s="3"/>
      <c r="EY116" s="3"/>
      <c r="EZ116" s="3"/>
      <c r="FA116" s="3"/>
      <c r="FB116" s="3"/>
      <c r="FC116" s="3"/>
      <c r="FD116" s="3"/>
      <c r="FE116" s="3"/>
      <c r="FF116" s="3"/>
      <c r="FG116" s="3"/>
      <c r="FH116" s="3"/>
      <c r="FI116" s="3"/>
      <c r="FJ116" s="3"/>
      <c r="FK116" s="3"/>
      <c r="FL116" s="3"/>
      <c r="FM116" s="3"/>
      <c r="FN116" s="3"/>
      <c r="FO116" s="3"/>
      <c r="FP116" s="3"/>
      <c r="FQ116" s="3"/>
      <c r="FR116" s="3"/>
      <c r="FS116" s="3"/>
      <c r="FT116" s="3"/>
      <c r="FU116" s="3"/>
      <c r="FV116" s="3"/>
      <c r="FW116" s="3"/>
      <c r="FX116" s="3"/>
      <c r="FY116" s="3"/>
      <c r="FZ116" s="3"/>
      <c r="GA116" s="3"/>
      <c r="GB116" s="3"/>
      <c r="GC116" s="3"/>
      <c r="GD116" s="3"/>
      <c r="GE116" s="3"/>
      <c r="GF116" s="3"/>
      <c r="GG116" s="3"/>
      <c r="GH116" s="3"/>
      <c r="GI116" s="3"/>
      <c r="GJ116" s="3"/>
      <c r="GK116" s="3"/>
      <c r="GL116" s="3"/>
      <c r="GM116" s="3"/>
      <c r="GN116" s="3"/>
      <c r="GO116" s="3"/>
      <c r="GP116" s="3"/>
      <c r="GQ116" s="3"/>
      <c r="GR116" s="3"/>
      <c r="GS116" s="3"/>
      <c r="GT116" s="3"/>
      <c r="GU116" s="3"/>
      <c r="GV116" s="3"/>
      <c r="GW116" s="3"/>
      <c r="GX116" s="3"/>
      <c r="GY116" s="3"/>
      <c r="GZ116" s="3"/>
      <c r="HA116" s="3"/>
      <c r="HB116" s="3"/>
      <c r="HC116" s="3"/>
      <c r="HD116" s="3"/>
      <c r="HE116" s="3"/>
      <c r="HF116" s="3"/>
      <c r="HG116" s="3"/>
      <c r="HH116" s="3"/>
      <c r="HI116" s="3"/>
      <c r="HJ116" s="3"/>
      <c r="HK116" s="3"/>
      <c r="HL116" s="3"/>
      <c r="HM116" s="3"/>
      <c r="HN116" s="3"/>
      <c r="HO116" s="3"/>
      <c r="HP116" s="3"/>
      <c r="HQ116" s="3"/>
      <c r="HR116" s="3"/>
      <c r="HS116" s="3"/>
      <c r="HT116" s="3"/>
      <c r="HU116" s="3"/>
      <c r="HV116" s="3"/>
      <c r="HW116" s="3"/>
      <c r="HX116" s="3"/>
      <c r="HY116" s="3"/>
      <c r="HZ116" s="3"/>
      <c r="IA116" s="3"/>
      <c r="IB116" s="3"/>
      <c r="IC116" s="3"/>
      <c r="ID116" s="3"/>
      <c r="IE116" s="3"/>
      <c r="IF116" s="3"/>
      <c r="IG116" s="3"/>
      <c r="IH116" s="3"/>
      <c r="II116" s="3"/>
      <c r="IJ116" s="3"/>
      <c r="IK116" s="3"/>
      <c r="IL116" s="3"/>
    </row>
    <row r="117" spans="1:246" x14ac:dyDescent="0.35">
      <c r="J117" s="139">
        <f>MESP-J115</f>
        <v>9.0960870751969125E-2</v>
      </c>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c r="CJ117" s="3"/>
      <c r="CK117" s="3"/>
      <c r="CL117" s="3"/>
      <c r="CM117" s="3"/>
      <c r="CN117" s="3"/>
      <c r="CO117" s="3"/>
      <c r="CP117" s="3"/>
      <c r="CQ117" s="3"/>
      <c r="CR117" s="3"/>
      <c r="CS117" s="3"/>
      <c r="CT117" s="3"/>
      <c r="CU117" s="3"/>
      <c r="CV117" s="3"/>
      <c r="CW117" s="3"/>
      <c r="CX117" s="3"/>
      <c r="CY117" s="3"/>
      <c r="CZ117" s="3"/>
      <c r="DA117" s="3"/>
      <c r="DB117" s="3"/>
      <c r="DC117" s="3"/>
      <c r="DD117" s="3"/>
      <c r="DE117" s="3"/>
      <c r="DF117" s="3"/>
      <c r="DG117" s="3"/>
      <c r="DH117" s="3"/>
      <c r="DI117" s="3"/>
      <c r="DJ117" s="3"/>
      <c r="DK117" s="3"/>
      <c r="DL117" s="3"/>
      <c r="DM117" s="3"/>
      <c r="DN117" s="3"/>
      <c r="DO117" s="3"/>
      <c r="DP117" s="3"/>
      <c r="DQ117" s="3"/>
      <c r="DR117" s="3"/>
      <c r="DS117" s="3"/>
      <c r="DT117" s="3"/>
      <c r="DU117" s="3"/>
      <c r="DV117" s="3"/>
      <c r="DW117" s="3"/>
      <c r="DX117" s="3"/>
      <c r="DY117" s="3"/>
      <c r="DZ117" s="3"/>
      <c r="EA117" s="3"/>
      <c r="EB117" s="3"/>
      <c r="EC117" s="3"/>
      <c r="ED117" s="3"/>
      <c r="EE117" s="3"/>
      <c r="EF117" s="3"/>
      <c r="EG117" s="3"/>
      <c r="EH117" s="3"/>
      <c r="EI117" s="3"/>
      <c r="EJ117" s="3"/>
      <c r="EK117" s="3"/>
      <c r="EL117" s="3"/>
      <c r="EM117" s="3"/>
      <c r="EN117" s="3"/>
      <c r="EO117" s="3"/>
      <c r="EP117" s="3"/>
      <c r="EQ117" s="3"/>
      <c r="ER117" s="3"/>
      <c r="ES117" s="3"/>
      <c r="ET117" s="3"/>
      <c r="EU117" s="3"/>
      <c r="EV117" s="3"/>
      <c r="EW117" s="3"/>
      <c r="EX117" s="3"/>
      <c r="EY117" s="3"/>
      <c r="EZ117" s="3"/>
      <c r="FA117" s="3"/>
      <c r="FB117" s="3"/>
      <c r="FC117" s="3"/>
      <c r="FD117" s="3"/>
      <c r="FE117" s="3"/>
      <c r="FF117" s="3"/>
      <c r="FG117" s="3"/>
      <c r="FH117" s="3"/>
      <c r="FI117" s="3"/>
      <c r="FJ117" s="3"/>
      <c r="FK117" s="3"/>
      <c r="FL117" s="3"/>
      <c r="FM117" s="3"/>
      <c r="FN117" s="3"/>
      <c r="FO117" s="3"/>
      <c r="FP117" s="3"/>
      <c r="FQ117" s="3"/>
      <c r="FR117" s="3"/>
      <c r="FS117" s="3"/>
      <c r="FT117" s="3"/>
      <c r="FU117" s="3"/>
      <c r="FV117" s="3"/>
      <c r="FW117" s="3"/>
      <c r="FX117" s="3"/>
      <c r="FY117" s="3"/>
      <c r="FZ117" s="3"/>
      <c r="GA117" s="3"/>
      <c r="GB117" s="3"/>
      <c r="GC117" s="3"/>
      <c r="GD117" s="3"/>
      <c r="GE117" s="3"/>
      <c r="GF117" s="3"/>
      <c r="GG117" s="3"/>
      <c r="GH117" s="3"/>
      <c r="GI117" s="3"/>
      <c r="GJ117" s="3"/>
      <c r="GK117" s="3"/>
      <c r="GL117" s="3"/>
      <c r="GM117" s="3"/>
      <c r="GN117" s="3"/>
      <c r="GO117" s="3"/>
      <c r="GP117" s="3"/>
      <c r="GQ117" s="3"/>
      <c r="GR117" s="3"/>
      <c r="GS117" s="3"/>
      <c r="GT117" s="3"/>
      <c r="GU117" s="3"/>
      <c r="GV117" s="3"/>
      <c r="GW117" s="3"/>
      <c r="GX117" s="3"/>
      <c r="GY117" s="3"/>
      <c r="GZ117" s="3"/>
      <c r="HA117" s="3"/>
      <c r="HB117" s="3"/>
      <c r="HC117" s="3"/>
      <c r="HD117" s="3"/>
      <c r="HE117" s="3"/>
      <c r="HF117" s="3"/>
      <c r="HG117" s="3"/>
      <c r="HH117" s="3"/>
      <c r="HI117" s="3"/>
      <c r="HJ117" s="3"/>
      <c r="HK117" s="3"/>
      <c r="HL117" s="3"/>
      <c r="HM117" s="3"/>
      <c r="HN117" s="3"/>
      <c r="HO117" s="3"/>
      <c r="HP117" s="3"/>
      <c r="HQ117" s="3"/>
      <c r="HR117" s="3"/>
      <c r="HS117" s="3"/>
      <c r="HT117" s="3"/>
      <c r="HU117" s="3"/>
      <c r="HV117" s="3"/>
      <c r="HW117" s="3"/>
      <c r="HX117" s="3"/>
      <c r="HY117" s="3"/>
      <c r="HZ117" s="3"/>
      <c r="IA117" s="3"/>
      <c r="IB117" s="3"/>
      <c r="IC117" s="3"/>
      <c r="ID117" s="3"/>
      <c r="IE117" s="3"/>
      <c r="IF117" s="3"/>
      <c r="IG117" s="3"/>
      <c r="IH117" s="3"/>
      <c r="II117" s="3"/>
      <c r="IJ117" s="3"/>
      <c r="IK117" s="3"/>
      <c r="IL117" s="3"/>
    </row>
    <row r="118" spans="1:246" x14ac:dyDescent="0.35">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c r="CS118" s="3"/>
      <c r="CT118" s="3"/>
      <c r="CU118" s="3"/>
      <c r="CV118" s="3"/>
      <c r="CW118" s="3"/>
      <c r="CX118" s="3"/>
      <c r="CY118" s="3"/>
      <c r="CZ118" s="3"/>
      <c r="DA118" s="3"/>
      <c r="DB118" s="3"/>
      <c r="DC118" s="3"/>
      <c r="DD118" s="3"/>
      <c r="DE118" s="3"/>
      <c r="DF118" s="3"/>
      <c r="DG118" s="3"/>
      <c r="DH118" s="3"/>
      <c r="DI118" s="3"/>
      <c r="DJ118" s="3"/>
      <c r="DK118" s="3"/>
      <c r="DL118" s="3"/>
      <c r="DM118" s="3"/>
      <c r="DN118" s="3"/>
      <c r="DO118" s="3"/>
      <c r="DP118" s="3"/>
      <c r="DQ118" s="3"/>
      <c r="DR118" s="3"/>
      <c r="DS118" s="3"/>
      <c r="DT118" s="3"/>
      <c r="DU118" s="3"/>
      <c r="DV118" s="3"/>
      <c r="DW118" s="3"/>
      <c r="DX118" s="3"/>
      <c r="DY118" s="3"/>
      <c r="DZ118" s="3"/>
      <c r="EA118" s="3"/>
      <c r="EB118" s="3"/>
      <c r="EC118" s="3"/>
      <c r="ED118" s="3"/>
      <c r="EE118" s="3"/>
      <c r="EF118" s="3"/>
      <c r="EG118" s="3"/>
      <c r="EH118" s="3"/>
      <c r="EI118" s="3"/>
      <c r="EJ118" s="3"/>
      <c r="EK118" s="3"/>
      <c r="EL118" s="3"/>
      <c r="EM118" s="3"/>
      <c r="EN118" s="3"/>
      <c r="EO118" s="3"/>
      <c r="EP118" s="3"/>
      <c r="EQ118" s="3"/>
      <c r="ER118" s="3"/>
      <c r="ES118" s="3"/>
      <c r="ET118" s="3"/>
      <c r="EU118" s="3"/>
      <c r="EV118" s="3"/>
      <c r="EW118" s="3"/>
      <c r="EX118" s="3"/>
      <c r="EY118" s="3"/>
      <c r="EZ118" s="3"/>
      <c r="FA118" s="3"/>
      <c r="FB118" s="3"/>
      <c r="FC118" s="3"/>
      <c r="FD118" s="3"/>
      <c r="FE118" s="3"/>
      <c r="FF118" s="3"/>
      <c r="FG118" s="3"/>
      <c r="FH118" s="3"/>
      <c r="FI118" s="3"/>
      <c r="FJ118" s="3"/>
      <c r="FK118" s="3"/>
      <c r="FL118" s="3"/>
      <c r="FM118" s="3"/>
      <c r="FN118" s="3"/>
      <c r="FO118" s="3"/>
      <c r="FP118" s="3"/>
      <c r="FQ118" s="3"/>
      <c r="FR118" s="3"/>
      <c r="FS118" s="3"/>
      <c r="FT118" s="3"/>
      <c r="FU118" s="3"/>
      <c r="FV118" s="3"/>
      <c r="FW118" s="3"/>
      <c r="FX118" s="3"/>
      <c r="FY118" s="3"/>
      <c r="FZ118" s="3"/>
      <c r="GA118" s="3"/>
      <c r="GB118" s="3"/>
      <c r="GC118" s="3"/>
      <c r="GD118" s="3"/>
      <c r="GE118" s="3"/>
      <c r="GF118" s="3"/>
      <c r="GG118" s="3"/>
      <c r="GH118" s="3"/>
      <c r="GI118" s="3"/>
      <c r="GJ118" s="3"/>
      <c r="GK118" s="3"/>
      <c r="GL118" s="3"/>
      <c r="GM118" s="3"/>
      <c r="GN118" s="3"/>
      <c r="GO118" s="3"/>
      <c r="GP118" s="3"/>
      <c r="GQ118" s="3"/>
      <c r="GR118" s="3"/>
      <c r="GS118" s="3"/>
      <c r="GT118" s="3"/>
      <c r="GU118" s="3"/>
      <c r="GV118" s="3"/>
      <c r="GW118" s="3"/>
      <c r="GX118" s="3"/>
      <c r="GY118" s="3"/>
      <c r="GZ118" s="3"/>
      <c r="HA118" s="3"/>
      <c r="HB118" s="3"/>
      <c r="HC118" s="3"/>
      <c r="HD118" s="3"/>
      <c r="HE118" s="3"/>
      <c r="HF118" s="3"/>
      <c r="HG118" s="3"/>
      <c r="HH118" s="3"/>
      <c r="HI118" s="3"/>
      <c r="HJ118" s="3"/>
      <c r="HK118" s="3"/>
      <c r="HL118" s="3"/>
      <c r="HM118" s="3"/>
      <c r="HN118" s="3"/>
      <c r="HO118" s="3"/>
      <c r="HP118" s="3"/>
      <c r="HQ118" s="3"/>
      <c r="HR118" s="3"/>
      <c r="HS118" s="3"/>
      <c r="HT118" s="3"/>
      <c r="HU118" s="3"/>
      <c r="HV118" s="3"/>
      <c r="HW118" s="3"/>
      <c r="HX118" s="3"/>
      <c r="HY118" s="3"/>
      <c r="HZ118" s="3"/>
      <c r="IA118" s="3"/>
      <c r="IB118" s="3"/>
      <c r="IC118" s="3"/>
      <c r="ID118" s="3"/>
      <c r="IE118" s="3"/>
      <c r="IF118" s="3"/>
      <c r="IG118" s="3"/>
      <c r="IH118" s="3"/>
      <c r="II118" s="3"/>
      <c r="IJ118" s="3"/>
      <c r="IK118" s="3"/>
      <c r="IL118" s="3"/>
    </row>
    <row r="119" spans="1:246" x14ac:dyDescent="0.35">
      <c r="A119" s="4" t="s">
        <v>747</v>
      </c>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c r="CJ119" s="3"/>
      <c r="CK119" s="3"/>
      <c r="CL119" s="3"/>
      <c r="CM119" s="3"/>
      <c r="CN119" s="3"/>
      <c r="CO119" s="3"/>
      <c r="CP119" s="3"/>
      <c r="CQ119" s="3"/>
      <c r="CR119" s="3"/>
      <c r="CS119" s="3"/>
      <c r="CT119" s="3"/>
      <c r="CU119" s="3"/>
      <c r="CV119" s="3"/>
      <c r="CW119" s="3"/>
      <c r="CX119" s="3"/>
      <c r="CY119" s="3"/>
      <c r="CZ119" s="3"/>
      <c r="DA119" s="3"/>
      <c r="DB119" s="3"/>
      <c r="DC119" s="3"/>
      <c r="DD119" s="3"/>
      <c r="DE119" s="3"/>
      <c r="DF119" s="3"/>
      <c r="DG119" s="3"/>
      <c r="DH119" s="3"/>
      <c r="DI119" s="3"/>
      <c r="DJ119" s="3"/>
      <c r="DK119" s="3"/>
      <c r="DL119" s="3"/>
      <c r="DM119" s="3"/>
      <c r="DN119" s="3"/>
      <c r="DO119" s="3"/>
      <c r="DP119" s="3"/>
      <c r="DQ119" s="3"/>
      <c r="DR119" s="3"/>
      <c r="DS119" s="3"/>
      <c r="DT119" s="3"/>
      <c r="DU119" s="3"/>
      <c r="DV119" s="3"/>
      <c r="DW119" s="3"/>
      <c r="DX119" s="3"/>
      <c r="DY119" s="3"/>
      <c r="DZ119" s="3"/>
      <c r="EA119" s="3"/>
      <c r="EB119" s="3"/>
      <c r="EC119" s="3"/>
      <c r="ED119" s="3"/>
      <c r="EE119" s="3"/>
      <c r="EF119" s="3"/>
      <c r="EG119" s="3"/>
      <c r="EH119" s="3"/>
      <c r="EI119" s="3"/>
      <c r="EJ119" s="3"/>
      <c r="EK119" s="3"/>
      <c r="EL119" s="3"/>
      <c r="EM119" s="3"/>
      <c r="EN119" s="3"/>
      <c r="EO119" s="3"/>
      <c r="EP119" s="3"/>
      <c r="EQ119" s="3"/>
      <c r="ER119" s="3"/>
      <c r="ES119" s="3"/>
      <c r="ET119" s="3"/>
      <c r="EU119" s="3"/>
      <c r="EV119" s="3"/>
      <c r="EW119" s="3"/>
      <c r="EX119" s="3"/>
      <c r="EY119" s="3"/>
      <c r="EZ119" s="3"/>
      <c r="FA119" s="3"/>
      <c r="FB119" s="3"/>
      <c r="FC119" s="3"/>
      <c r="FD119" s="3"/>
      <c r="FE119" s="3"/>
      <c r="FF119" s="3"/>
      <c r="FG119" s="3"/>
      <c r="FH119" s="3"/>
      <c r="FI119" s="3"/>
      <c r="FJ119" s="3"/>
      <c r="FK119" s="3"/>
      <c r="FL119" s="3"/>
      <c r="FM119" s="3"/>
      <c r="FN119" s="3"/>
      <c r="FO119" s="3"/>
      <c r="FP119" s="3"/>
      <c r="FQ119" s="3"/>
      <c r="FR119" s="3"/>
      <c r="FS119" s="3"/>
      <c r="FT119" s="3"/>
      <c r="FU119" s="3"/>
      <c r="FV119" s="3"/>
      <c r="FW119" s="3"/>
      <c r="FX119" s="3"/>
      <c r="FY119" s="3"/>
      <c r="FZ119" s="3"/>
      <c r="GA119" s="3"/>
      <c r="GB119" s="3"/>
      <c r="GC119" s="3"/>
      <c r="GD119" s="3"/>
      <c r="GE119" s="3"/>
      <c r="GF119" s="3"/>
      <c r="GG119" s="3"/>
      <c r="GH119" s="3"/>
      <c r="GI119" s="3"/>
      <c r="GJ119" s="3"/>
      <c r="GK119" s="3"/>
      <c r="GL119" s="3"/>
      <c r="GM119" s="3"/>
      <c r="GN119" s="3"/>
      <c r="GO119" s="3"/>
      <c r="GP119" s="3"/>
      <c r="GQ119" s="3"/>
      <c r="GR119" s="3"/>
      <c r="GS119" s="3"/>
      <c r="GT119" s="3"/>
      <c r="GU119" s="3"/>
      <c r="GV119" s="3"/>
      <c r="GW119" s="3"/>
      <c r="GX119" s="3"/>
      <c r="GY119" s="3"/>
      <c r="GZ119" s="3"/>
      <c r="HA119" s="3"/>
      <c r="HB119" s="3"/>
      <c r="HC119" s="3"/>
      <c r="HD119" s="3"/>
      <c r="HE119" s="3"/>
      <c r="HF119" s="3"/>
      <c r="HG119" s="3"/>
      <c r="HH119" s="3"/>
      <c r="HI119" s="3"/>
      <c r="HJ119" s="3"/>
      <c r="HK119" s="3"/>
      <c r="HL119" s="3"/>
      <c r="HM119" s="3"/>
      <c r="HN119" s="3"/>
      <c r="HO119" s="3"/>
      <c r="HP119" s="3"/>
      <c r="HQ119" s="3"/>
      <c r="HR119" s="3"/>
      <c r="HS119" s="3"/>
      <c r="HT119" s="3"/>
      <c r="HU119" s="3"/>
      <c r="HV119" s="3"/>
      <c r="HW119" s="3"/>
      <c r="HX119" s="3"/>
      <c r="HY119" s="3"/>
      <c r="HZ119" s="3"/>
      <c r="IA119" s="3"/>
      <c r="IB119" s="3"/>
      <c r="IC119" s="3"/>
      <c r="ID119" s="3"/>
      <c r="IE119" s="3"/>
      <c r="IF119" s="3"/>
      <c r="IG119" s="3"/>
      <c r="IH119" s="3"/>
      <c r="II119" s="3"/>
      <c r="IJ119" s="3"/>
      <c r="IK119" s="3"/>
      <c r="IL119" s="3"/>
    </row>
    <row r="120" spans="1:246" ht="15" thickBot="1" x14ac:dyDescent="0.4">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c r="CJ120" s="3"/>
      <c r="CK120" s="3"/>
      <c r="CL120" s="3"/>
      <c r="CM120" s="3"/>
      <c r="CN120" s="3"/>
      <c r="CO120" s="3"/>
      <c r="CP120" s="3"/>
      <c r="CQ120" s="3"/>
      <c r="CR120" s="3"/>
      <c r="CS120" s="3"/>
      <c r="CT120" s="3"/>
      <c r="CU120" s="3"/>
      <c r="CV120" s="3"/>
      <c r="CW120" s="3"/>
      <c r="CX120" s="3"/>
      <c r="CY120" s="3"/>
      <c r="CZ120" s="3"/>
      <c r="DA120" s="3"/>
      <c r="DB120" s="3"/>
      <c r="DC120" s="3"/>
      <c r="DD120" s="3"/>
      <c r="DE120" s="3"/>
      <c r="DF120" s="3"/>
      <c r="DG120" s="3"/>
      <c r="DH120" s="3"/>
      <c r="DI120" s="3"/>
      <c r="DJ120" s="3"/>
      <c r="DK120" s="3"/>
      <c r="DL120" s="3"/>
      <c r="DM120" s="3"/>
      <c r="DN120" s="3"/>
      <c r="DO120" s="3"/>
      <c r="DP120" s="3"/>
      <c r="DQ120" s="3"/>
      <c r="DR120" s="3"/>
      <c r="DS120" s="3"/>
      <c r="DT120" s="3"/>
      <c r="DU120" s="3"/>
      <c r="DV120" s="3"/>
      <c r="DW120" s="3"/>
      <c r="DX120" s="3"/>
      <c r="DY120" s="3"/>
      <c r="DZ120" s="3"/>
      <c r="EA120" s="3"/>
      <c r="EB120" s="3"/>
      <c r="EC120" s="3"/>
      <c r="ED120" s="3"/>
      <c r="EE120" s="3"/>
      <c r="EF120" s="3"/>
      <c r="EG120" s="3"/>
      <c r="EH120" s="3"/>
      <c r="EI120" s="3"/>
      <c r="EJ120" s="3"/>
      <c r="EK120" s="3"/>
      <c r="EL120" s="3"/>
      <c r="EM120" s="3"/>
      <c r="EN120" s="3"/>
      <c r="EO120" s="3"/>
      <c r="EP120" s="3"/>
      <c r="EQ120" s="3"/>
      <c r="ER120" s="3"/>
      <c r="ES120" s="3"/>
      <c r="ET120" s="3"/>
      <c r="EU120" s="3"/>
      <c r="EV120" s="3"/>
      <c r="EW120" s="3"/>
      <c r="EX120" s="3"/>
      <c r="EY120" s="3"/>
      <c r="EZ120" s="3"/>
      <c r="FA120" s="3"/>
      <c r="FB120" s="3"/>
      <c r="FC120" s="3"/>
      <c r="FD120" s="3"/>
      <c r="FE120" s="3"/>
      <c r="FF120" s="3"/>
      <c r="FG120" s="3"/>
      <c r="FH120" s="3"/>
      <c r="FI120" s="3"/>
      <c r="FJ120" s="3"/>
      <c r="FK120" s="3"/>
      <c r="FL120" s="3"/>
      <c r="FM120" s="3"/>
      <c r="FN120" s="3"/>
      <c r="FO120" s="3"/>
      <c r="FP120" s="3"/>
      <c r="FQ120" s="3"/>
      <c r="FR120" s="3"/>
      <c r="FS120" s="3"/>
      <c r="FT120" s="3"/>
      <c r="FU120" s="3"/>
      <c r="FV120" s="3"/>
      <c r="FW120" s="3"/>
      <c r="FX120" s="3"/>
      <c r="FY120" s="3"/>
      <c r="FZ120" s="3"/>
      <c r="GA120" s="3"/>
      <c r="GB120" s="3"/>
      <c r="GC120" s="3"/>
      <c r="GD120" s="3"/>
      <c r="GE120" s="3"/>
      <c r="GF120" s="3"/>
      <c r="GG120" s="3"/>
      <c r="GH120" s="3"/>
      <c r="GI120" s="3"/>
      <c r="GJ120" s="3"/>
      <c r="GK120" s="3"/>
      <c r="GL120" s="3"/>
      <c r="GM120" s="3"/>
      <c r="GN120" s="3"/>
      <c r="GO120" s="3"/>
      <c r="GP120" s="3"/>
      <c r="GQ120" s="3"/>
      <c r="GR120" s="3"/>
      <c r="GS120" s="3"/>
      <c r="GT120" s="3"/>
      <c r="GU120" s="3"/>
      <c r="GV120" s="3"/>
      <c r="GW120" s="3"/>
      <c r="GX120" s="3"/>
      <c r="GY120" s="3"/>
      <c r="GZ120" s="3"/>
      <c r="HA120" s="3"/>
      <c r="HB120" s="3"/>
      <c r="HC120" s="3"/>
      <c r="HD120" s="3"/>
      <c r="HE120" s="3"/>
      <c r="HF120" s="3"/>
      <c r="HG120" s="3"/>
      <c r="HH120" s="3"/>
      <c r="HI120" s="3"/>
      <c r="HJ120" s="3"/>
      <c r="HK120" s="3"/>
      <c r="HL120" s="3"/>
      <c r="HM120" s="3"/>
      <c r="HN120" s="3"/>
      <c r="HO120" s="3"/>
      <c r="HP120" s="3"/>
      <c r="HQ120" s="3"/>
      <c r="HR120" s="3"/>
      <c r="HS120" s="3"/>
      <c r="HT120" s="3"/>
      <c r="HU120" s="3"/>
      <c r="HV120" s="3"/>
      <c r="HW120" s="3"/>
      <c r="HX120" s="3"/>
      <c r="HY120" s="3"/>
      <c r="HZ120" s="3"/>
      <c r="IA120" s="3"/>
      <c r="IB120" s="3"/>
      <c r="IC120" s="3"/>
      <c r="ID120" s="3"/>
      <c r="IE120" s="3"/>
      <c r="IF120" s="3"/>
      <c r="IG120" s="3"/>
      <c r="IH120" s="3"/>
      <c r="II120" s="3"/>
      <c r="IJ120" s="3"/>
      <c r="IK120" s="3"/>
      <c r="IL120" s="3"/>
    </row>
    <row r="121" spans="1:246" x14ac:dyDescent="0.35">
      <c r="A121" s="168" t="s">
        <v>748</v>
      </c>
      <c r="B121" s="169"/>
      <c r="C121" s="169"/>
      <c r="D121" s="169"/>
      <c r="E121" s="169"/>
      <c r="F121" s="169">
        <v>-2</v>
      </c>
      <c r="G121" s="169">
        <v>-1</v>
      </c>
      <c r="H121" s="169">
        <v>0</v>
      </c>
      <c r="I121" s="169">
        <v>1</v>
      </c>
      <c r="J121" s="169">
        <v>2</v>
      </c>
      <c r="K121" s="169">
        <v>3</v>
      </c>
      <c r="L121" s="169">
        <v>4</v>
      </c>
      <c r="M121" s="169">
        <v>5</v>
      </c>
      <c r="N121" s="169">
        <v>6</v>
      </c>
      <c r="O121" s="169">
        <v>7</v>
      </c>
      <c r="P121" s="169">
        <v>8</v>
      </c>
      <c r="Q121" s="169">
        <v>9</v>
      </c>
      <c r="R121" s="169">
        <v>10</v>
      </c>
      <c r="S121" s="169">
        <v>11</v>
      </c>
      <c r="T121" s="169">
        <v>12</v>
      </c>
      <c r="U121" s="169">
        <v>13</v>
      </c>
      <c r="V121" s="169">
        <v>14</v>
      </c>
      <c r="W121" s="169">
        <v>15</v>
      </c>
      <c r="X121" s="169">
        <v>16</v>
      </c>
      <c r="Y121" s="169">
        <v>17</v>
      </c>
      <c r="Z121" s="169">
        <v>18</v>
      </c>
      <c r="AA121" s="169">
        <v>19</v>
      </c>
      <c r="AB121" s="169">
        <v>20</v>
      </c>
      <c r="AC121" s="169">
        <v>21</v>
      </c>
      <c r="AD121" s="169">
        <v>22</v>
      </c>
      <c r="AE121" s="169">
        <v>23</v>
      </c>
      <c r="AF121" s="169">
        <v>24</v>
      </c>
      <c r="AG121" s="169">
        <v>25</v>
      </c>
      <c r="AH121" s="169">
        <v>26</v>
      </c>
      <c r="AI121" s="169">
        <v>27</v>
      </c>
      <c r="AJ121" s="169">
        <v>28</v>
      </c>
      <c r="AK121" s="169">
        <v>29</v>
      </c>
      <c r="AL121" s="170">
        <v>30</v>
      </c>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c r="CJ121" s="3"/>
      <c r="CK121" s="3"/>
      <c r="CL121" s="3"/>
      <c r="CM121" s="3"/>
      <c r="CN121" s="3"/>
      <c r="CO121" s="3"/>
      <c r="CP121" s="3"/>
      <c r="CQ121" s="3"/>
      <c r="CR121" s="3"/>
      <c r="CS121" s="3"/>
      <c r="CT121" s="3"/>
      <c r="CU121" s="3"/>
      <c r="CV121" s="3"/>
      <c r="CW121" s="3"/>
      <c r="CX121" s="3"/>
      <c r="CY121" s="3"/>
      <c r="CZ121" s="3"/>
      <c r="DA121" s="3"/>
      <c r="DB121" s="3"/>
      <c r="DC121" s="3"/>
      <c r="DD121" s="3"/>
      <c r="DE121" s="3"/>
      <c r="DF121" s="3"/>
      <c r="DG121" s="3"/>
      <c r="DH121" s="3"/>
      <c r="DI121" s="3"/>
      <c r="DJ121" s="3"/>
      <c r="DK121" s="3"/>
      <c r="DL121" s="3"/>
      <c r="DM121" s="3"/>
      <c r="DN121" s="3"/>
      <c r="DO121" s="3"/>
      <c r="DP121" s="3"/>
      <c r="DQ121" s="3"/>
      <c r="DR121" s="3"/>
      <c r="DS121" s="3"/>
      <c r="DT121" s="3"/>
      <c r="DU121" s="3"/>
      <c r="DV121" s="3"/>
      <c r="DW121" s="3"/>
      <c r="DX121" s="3"/>
      <c r="DY121" s="3"/>
      <c r="DZ121" s="3"/>
      <c r="EA121" s="3"/>
      <c r="EB121" s="3"/>
      <c r="EC121" s="3"/>
      <c r="ED121" s="3"/>
      <c r="EE121" s="3"/>
      <c r="EF121" s="3"/>
      <c r="EG121" s="3"/>
      <c r="EH121" s="3"/>
      <c r="EI121" s="3"/>
      <c r="EJ121" s="3"/>
      <c r="EK121" s="3"/>
      <c r="EL121" s="3"/>
      <c r="EM121" s="3"/>
      <c r="EN121" s="3"/>
      <c r="EO121" s="3"/>
      <c r="EP121" s="3"/>
      <c r="EQ121" s="3"/>
      <c r="ER121" s="3"/>
      <c r="ES121" s="3"/>
      <c r="ET121" s="3"/>
      <c r="EU121" s="3"/>
      <c r="EV121" s="3"/>
      <c r="EW121" s="3"/>
      <c r="EX121" s="3"/>
      <c r="EY121" s="3"/>
      <c r="EZ121" s="3"/>
      <c r="FA121" s="3"/>
      <c r="FB121" s="3"/>
      <c r="FC121" s="3"/>
      <c r="FD121" s="3"/>
      <c r="FE121" s="3"/>
      <c r="FF121" s="3"/>
      <c r="FG121" s="3"/>
      <c r="FH121" s="3"/>
      <c r="FI121" s="3"/>
      <c r="FJ121" s="3"/>
      <c r="FK121" s="3"/>
      <c r="FL121" s="3"/>
      <c r="FM121" s="3"/>
      <c r="FN121" s="3"/>
      <c r="FO121" s="3"/>
      <c r="FP121" s="3"/>
      <c r="FQ121" s="3"/>
      <c r="FR121" s="3"/>
      <c r="FS121" s="3"/>
      <c r="FT121" s="3"/>
      <c r="FU121" s="3"/>
      <c r="FV121" s="3"/>
      <c r="FW121" s="3"/>
      <c r="FX121" s="3"/>
      <c r="FY121" s="3"/>
      <c r="FZ121" s="3"/>
      <c r="GA121" s="3"/>
      <c r="GB121" s="3"/>
      <c r="GC121" s="3"/>
      <c r="GD121" s="3"/>
      <c r="GE121" s="3"/>
      <c r="GF121" s="3"/>
      <c r="GG121" s="3"/>
      <c r="GH121" s="3"/>
      <c r="GI121" s="3"/>
      <c r="GJ121" s="3"/>
      <c r="GK121" s="3"/>
      <c r="GL121" s="3"/>
      <c r="GM121" s="3"/>
      <c r="GN121" s="3"/>
      <c r="GO121" s="3"/>
      <c r="GP121" s="3"/>
      <c r="GQ121" s="3"/>
      <c r="GR121" s="3"/>
      <c r="GS121" s="3"/>
      <c r="GT121" s="3"/>
      <c r="GU121" s="3"/>
      <c r="GV121" s="3"/>
      <c r="GW121" s="3"/>
      <c r="GX121" s="3"/>
      <c r="GY121" s="3"/>
      <c r="GZ121" s="3"/>
      <c r="HA121" s="3"/>
      <c r="HB121" s="3"/>
      <c r="HC121" s="3"/>
      <c r="HD121" s="3"/>
      <c r="HE121" s="3"/>
      <c r="HF121" s="3"/>
      <c r="HG121" s="3"/>
      <c r="HH121" s="3"/>
      <c r="HI121" s="3"/>
      <c r="HJ121" s="3"/>
      <c r="HK121" s="3"/>
      <c r="HL121" s="3"/>
      <c r="HM121" s="3"/>
      <c r="HN121" s="3"/>
      <c r="HO121" s="3"/>
      <c r="HP121" s="3"/>
      <c r="HQ121" s="3"/>
      <c r="HR121" s="3"/>
      <c r="HS121" s="3"/>
      <c r="HT121" s="3"/>
      <c r="HU121" s="3"/>
      <c r="HV121" s="3"/>
      <c r="HW121" s="3"/>
      <c r="HX121" s="3"/>
      <c r="HY121" s="3"/>
      <c r="HZ121" s="3"/>
      <c r="IA121" s="3"/>
      <c r="IB121" s="3"/>
      <c r="IC121" s="3"/>
      <c r="ID121" s="3"/>
      <c r="IE121" s="3"/>
      <c r="IF121" s="3"/>
      <c r="IG121" s="3"/>
      <c r="IH121" s="3"/>
      <c r="II121" s="3"/>
      <c r="IJ121" s="3"/>
      <c r="IK121" s="3"/>
      <c r="IL121" s="3"/>
    </row>
    <row r="122" spans="1:246" x14ac:dyDescent="0.35">
      <c r="A122" s="171" t="s">
        <v>749</v>
      </c>
      <c r="B122" s="172"/>
      <c r="C122" s="172"/>
      <c r="D122" s="172"/>
      <c r="E122" s="172"/>
      <c r="F122" s="173">
        <f>FCI*Year_Minus_2_Work*Equity</f>
        <v>8466583.4616726991</v>
      </c>
      <c r="G122" s="173">
        <f>FCI*Year_Minus_1_Work*Equity</f>
        <v>63499375.962545231</v>
      </c>
      <c r="H122" s="173">
        <f>FCI*Year_0_Work*Equity</f>
        <v>33866333.846690796</v>
      </c>
      <c r="I122" s="173"/>
      <c r="J122" s="173"/>
      <c r="K122" s="173"/>
      <c r="L122" s="173"/>
      <c r="M122" s="173"/>
      <c r="N122" s="173"/>
      <c r="O122" s="173"/>
      <c r="P122" s="173"/>
      <c r="Q122" s="173"/>
      <c r="R122" s="173"/>
      <c r="S122" s="173"/>
      <c r="T122" s="173"/>
      <c r="U122" s="173"/>
      <c r="V122" s="173"/>
      <c r="W122" s="173"/>
      <c r="X122" s="173"/>
      <c r="Y122" s="173"/>
      <c r="Z122" s="173"/>
      <c r="AA122" s="173"/>
      <c r="AB122" s="173"/>
      <c r="AC122" s="173"/>
      <c r="AD122" s="173"/>
      <c r="AE122" s="173"/>
      <c r="AF122" s="173"/>
      <c r="AG122" s="173"/>
      <c r="AH122" s="173"/>
      <c r="AI122" s="173"/>
      <c r="AJ122" s="173"/>
      <c r="AK122" s="173"/>
      <c r="AL122" s="174"/>
      <c r="AM122" s="159"/>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c r="CJ122" s="3"/>
      <c r="CK122" s="3"/>
      <c r="CL122" s="3"/>
      <c r="CM122" s="3"/>
      <c r="CN122" s="3"/>
      <c r="CO122" s="3"/>
      <c r="CP122" s="3"/>
      <c r="CQ122" s="3"/>
      <c r="CR122" s="3"/>
      <c r="CS122" s="3"/>
      <c r="CT122" s="3"/>
      <c r="CU122" s="3"/>
      <c r="CV122" s="3"/>
      <c r="CW122" s="3"/>
      <c r="CX122" s="3"/>
      <c r="CY122" s="3"/>
      <c r="CZ122" s="3"/>
      <c r="DA122" s="3"/>
      <c r="DB122" s="3"/>
      <c r="DC122" s="3"/>
      <c r="DD122" s="3"/>
      <c r="DE122" s="3"/>
      <c r="DF122" s="3"/>
      <c r="DG122" s="3"/>
      <c r="DH122" s="3"/>
      <c r="DI122" s="3"/>
      <c r="DJ122" s="3"/>
      <c r="DK122" s="3"/>
      <c r="DL122" s="3"/>
      <c r="DM122" s="3"/>
      <c r="DN122" s="3"/>
      <c r="DO122" s="3"/>
      <c r="DP122" s="3"/>
      <c r="DQ122" s="3"/>
      <c r="DR122" s="3"/>
      <c r="DS122" s="3"/>
      <c r="DT122" s="3"/>
      <c r="DU122" s="3"/>
      <c r="DV122" s="3"/>
      <c r="DW122" s="3"/>
      <c r="DX122" s="3"/>
      <c r="DY122" s="3"/>
      <c r="DZ122" s="3"/>
      <c r="EA122" s="3"/>
      <c r="EB122" s="3"/>
      <c r="EC122" s="3"/>
      <c r="ED122" s="3"/>
      <c r="EE122" s="3"/>
      <c r="EF122" s="3"/>
      <c r="EG122" s="3"/>
      <c r="EH122" s="3"/>
      <c r="EI122" s="3"/>
      <c r="EJ122" s="3"/>
      <c r="EK122" s="3"/>
      <c r="EL122" s="3"/>
      <c r="EM122" s="3"/>
      <c r="EN122" s="3"/>
      <c r="EO122" s="3"/>
      <c r="EP122" s="3"/>
      <c r="EQ122" s="3"/>
      <c r="ER122" s="3"/>
      <c r="ES122" s="3"/>
      <c r="ET122" s="3"/>
      <c r="EU122" s="3"/>
      <c r="EV122" s="3"/>
      <c r="EW122" s="3"/>
      <c r="EX122" s="3"/>
      <c r="EY122" s="3"/>
      <c r="EZ122" s="3"/>
      <c r="FA122" s="3"/>
      <c r="FB122" s="3"/>
      <c r="FC122" s="3"/>
      <c r="FD122" s="3"/>
      <c r="FE122" s="3"/>
      <c r="FF122" s="3"/>
      <c r="FG122" s="3"/>
      <c r="FH122" s="3"/>
      <c r="FI122" s="3"/>
      <c r="FJ122" s="3"/>
      <c r="FK122" s="3"/>
      <c r="FL122" s="3"/>
      <c r="FM122" s="3"/>
      <c r="FN122" s="3"/>
      <c r="FO122" s="3"/>
      <c r="FP122" s="3"/>
      <c r="FQ122" s="3"/>
      <c r="FR122" s="3"/>
      <c r="FS122" s="3"/>
      <c r="FT122" s="3"/>
      <c r="FU122" s="3"/>
      <c r="FV122" s="3"/>
      <c r="FW122" s="3"/>
      <c r="FX122" s="3"/>
      <c r="FY122" s="3"/>
      <c r="FZ122" s="3"/>
      <c r="GA122" s="3"/>
      <c r="GB122" s="3"/>
      <c r="GC122" s="3"/>
      <c r="GD122" s="3"/>
      <c r="GE122" s="3"/>
      <c r="GF122" s="3"/>
      <c r="GG122" s="3"/>
      <c r="GH122" s="3"/>
      <c r="GI122" s="3"/>
      <c r="GJ122" s="3"/>
      <c r="GK122" s="3"/>
      <c r="GL122" s="3"/>
      <c r="GM122" s="3"/>
      <c r="GN122" s="3"/>
      <c r="GO122" s="3"/>
      <c r="GP122" s="3"/>
      <c r="GQ122" s="3"/>
      <c r="GR122" s="3"/>
      <c r="GS122" s="3"/>
      <c r="GT122" s="3"/>
      <c r="GU122" s="3"/>
      <c r="GV122" s="3"/>
      <c r="GW122" s="3"/>
      <c r="GX122" s="3"/>
      <c r="GY122" s="3"/>
      <c r="GZ122" s="3"/>
      <c r="HA122" s="3"/>
      <c r="HB122" s="3"/>
      <c r="HC122" s="3"/>
      <c r="HD122" s="3"/>
      <c r="HE122" s="3"/>
      <c r="HF122" s="3"/>
      <c r="HG122" s="3"/>
      <c r="HH122" s="3"/>
      <c r="HI122" s="3"/>
      <c r="HJ122" s="3"/>
      <c r="HK122" s="3"/>
      <c r="HL122" s="3"/>
      <c r="HM122" s="3"/>
      <c r="HN122" s="3"/>
      <c r="HO122" s="3"/>
      <c r="HP122" s="3"/>
      <c r="HQ122" s="3"/>
      <c r="HR122" s="3"/>
      <c r="HS122" s="3"/>
      <c r="HT122" s="3"/>
      <c r="HU122" s="3"/>
      <c r="HV122" s="3"/>
      <c r="HW122" s="3"/>
      <c r="HX122" s="3"/>
      <c r="HY122" s="3"/>
      <c r="HZ122" s="3"/>
      <c r="IA122" s="3"/>
      <c r="IB122" s="3"/>
      <c r="IC122" s="3"/>
      <c r="ID122" s="3"/>
      <c r="IE122" s="3"/>
      <c r="IF122" s="3"/>
      <c r="IG122" s="3"/>
      <c r="IH122" s="3"/>
      <c r="II122" s="3"/>
      <c r="IJ122" s="3"/>
      <c r="IK122" s="3"/>
      <c r="IL122" s="3"/>
    </row>
    <row r="123" spans="1:246" x14ac:dyDescent="0.35">
      <c r="A123" s="171" t="s">
        <v>750</v>
      </c>
      <c r="B123" s="172"/>
      <c r="C123" s="172"/>
      <c r="D123" s="172"/>
      <c r="E123" s="172"/>
      <c r="F123" s="173">
        <f>Land_Cap</f>
        <v>1848000</v>
      </c>
      <c r="G123" s="173"/>
      <c r="H123" s="173"/>
      <c r="I123" s="173"/>
      <c r="J123" s="173"/>
      <c r="K123" s="173"/>
      <c r="L123" s="173"/>
      <c r="M123" s="173"/>
      <c r="N123" s="173"/>
      <c r="O123" s="173"/>
      <c r="P123" s="173"/>
      <c r="Q123" s="173"/>
      <c r="R123" s="173"/>
      <c r="S123" s="173"/>
      <c r="T123" s="173"/>
      <c r="U123" s="173"/>
      <c r="V123" s="173"/>
      <c r="W123" s="173"/>
      <c r="X123" s="173"/>
      <c r="Y123" s="173"/>
      <c r="Z123" s="173"/>
      <c r="AA123" s="173"/>
      <c r="AB123" s="173"/>
      <c r="AC123" s="173"/>
      <c r="AD123" s="173"/>
      <c r="AE123" s="173"/>
      <c r="AF123" s="173"/>
      <c r="AG123" s="173"/>
      <c r="AH123" s="173"/>
      <c r="AI123" s="173"/>
      <c r="AJ123" s="173"/>
      <c r="AK123" s="173"/>
      <c r="AL123" s="174"/>
      <c r="AM123" s="159"/>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3"/>
      <c r="CJ123" s="3"/>
      <c r="CK123" s="3"/>
      <c r="CL123" s="3"/>
      <c r="CM123" s="3"/>
      <c r="CN123" s="3"/>
      <c r="CO123" s="3"/>
      <c r="CP123" s="3"/>
      <c r="CQ123" s="3"/>
      <c r="CR123" s="3"/>
      <c r="CS123" s="3"/>
      <c r="CT123" s="3"/>
      <c r="CU123" s="3"/>
      <c r="CV123" s="3"/>
      <c r="CW123" s="3"/>
      <c r="CX123" s="3"/>
      <c r="CY123" s="3"/>
      <c r="CZ123" s="3"/>
      <c r="DA123" s="3"/>
      <c r="DB123" s="3"/>
      <c r="DC123" s="3"/>
      <c r="DD123" s="3"/>
      <c r="DE123" s="3"/>
      <c r="DF123" s="3"/>
      <c r="DG123" s="3"/>
      <c r="DH123" s="3"/>
      <c r="DI123" s="3"/>
      <c r="DJ123" s="3"/>
      <c r="DK123" s="3"/>
      <c r="DL123" s="3"/>
      <c r="DM123" s="3"/>
      <c r="DN123" s="3"/>
      <c r="DO123" s="3"/>
      <c r="DP123" s="3"/>
      <c r="DQ123" s="3"/>
      <c r="DR123" s="3"/>
      <c r="DS123" s="3"/>
      <c r="DT123" s="3"/>
      <c r="DU123" s="3"/>
      <c r="DV123" s="3"/>
      <c r="DW123" s="3"/>
      <c r="DX123" s="3"/>
      <c r="DY123" s="3"/>
      <c r="DZ123" s="3"/>
      <c r="EA123" s="3"/>
      <c r="EB123" s="3"/>
      <c r="EC123" s="3"/>
      <c r="ED123" s="3"/>
      <c r="EE123" s="3"/>
      <c r="EF123" s="3"/>
      <c r="EG123" s="3"/>
      <c r="EH123" s="3"/>
      <c r="EI123" s="3"/>
      <c r="EJ123" s="3"/>
      <c r="EK123" s="3"/>
      <c r="EL123" s="3"/>
      <c r="EM123" s="3"/>
      <c r="EN123" s="3"/>
      <c r="EO123" s="3"/>
      <c r="EP123" s="3"/>
      <c r="EQ123" s="3"/>
      <c r="ER123" s="3"/>
      <c r="ES123" s="3"/>
      <c r="ET123" s="3"/>
      <c r="EU123" s="3"/>
      <c r="EV123" s="3"/>
      <c r="EW123" s="3"/>
      <c r="EX123" s="3"/>
      <c r="EY123" s="3"/>
      <c r="EZ123" s="3"/>
      <c r="FA123" s="3"/>
      <c r="FB123" s="3"/>
      <c r="FC123" s="3"/>
      <c r="FD123" s="3"/>
      <c r="FE123" s="3"/>
      <c r="FF123" s="3"/>
      <c r="FG123" s="3"/>
      <c r="FH123" s="3"/>
      <c r="FI123" s="3"/>
      <c r="FJ123" s="3"/>
      <c r="FK123" s="3"/>
      <c r="FL123" s="3"/>
      <c r="FM123" s="3"/>
      <c r="FN123" s="3"/>
      <c r="FO123" s="3"/>
      <c r="FP123" s="3"/>
      <c r="FQ123" s="3"/>
      <c r="FR123" s="3"/>
      <c r="FS123" s="3"/>
      <c r="FT123" s="3"/>
      <c r="FU123" s="3"/>
      <c r="FV123" s="3"/>
      <c r="FW123" s="3"/>
      <c r="FX123" s="3"/>
      <c r="FY123" s="3"/>
      <c r="FZ123" s="3"/>
      <c r="GA123" s="3"/>
      <c r="GB123" s="3"/>
      <c r="GC123" s="3"/>
      <c r="GD123" s="3"/>
      <c r="GE123" s="3"/>
      <c r="GF123" s="3"/>
      <c r="GG123" s="3"/>
      <c r="GH123" s="3"/>
      <c r="GI123" s="3"/>
      <c r="GJ123" s="3"/>
      <c r="GK123" s="3"/>
      <c r="GL123" s="3"/>
      <c r="GM123" s="3"/>
      <c r="GN123" s="3"/>
      <c r="GO123" s="3"/>
      <c r="GP123" s="3"/>
      <c r="GQ123" s="3"/>
      <c r="GR123" s="3"/>
      <c r="GS123" s="3"/>
      <c r="GT123" s="3"/>
      <c r="GU123" s="3"/>
      <c r="GV123" s="3"/>
      <c r="GW123" s="3"/>
      <c r="GX123" s="3"/>
      <c r="GY123" s="3"/>
      <c r="GZ123" s="3"/>
      <c r="HA123" s="3"/>
      <c r="HB123" s="3"/>
      <c r="HC123" s="3"/>
      <c r="HD123" s="3"/>
      <c r="HE123" s="3"/>
      <c r="HF123" s="3"/>
      <c r="HG123" s="3"/>
      <c r="HH123" s="3"/>
      <c r="HI123" s="3"/>
      <c r="HJ123" s="3"/>
      <c r="HK123" s="3"/>
      <c r="HL123" s="3"/>
      <c r="HM123" s="3"/>
      <c r="HN123" s="3"/>
      <c r="HO123" s="3"/>
      <c r="HP123" s="3"/>
      <c r="HQ123" s="3"/>
      <c r="HR123" s="3"/>
      <c r="HS123" s="3"/>
      <c r="HT123" s="3"/>
      <c r="HU123" s="3"/>
      <c r="HV123" s="3"/>
      <c r="HW123" s="3"/>
      <c r="HX123" s="3"/>
      <c r="HY123" s="3"/>
      <c r="HZ123" s="3"/>
      <c r="IA123" s="3"/>
      <c r="IB123" s="3"/>
      <c r="IC123" s="3"/>
      <c r="ID123" s="3"/>
      <c r="IE123" s="3"/>
      <c r="IF123" s="3"/>
      <c r="IG123" s="3"/>
      <c r="IH123" s="3"/>
      <c r="II123" s="3"/>
      <c r="IJ123" s="3"/>
      <c r="IK123" s="3"/>
      <c r="IL123" s="3"/>
    </row>
    <row r="124" spans="1:246" x14ac:dyDescent="0.35">
      <c r="A124" s="171" t="s">
        <v>751</v>
      </c>
      <c r="B124" s="172"/>
      <c r="C124" s="172"/>
      <c r="D124" s="172"/>
      <c r="E124" s="172"/>
      <c r="F124" s="173"/>
      <c r="G124" s="173"/>
      <c r="H124" s="173">
        <f>Working_Cap_Restate</f>
        <v>13229036.658863591</v>
      </c>
      <c r="I124" s="173"/>
      <c r="J124" s="173"/>
      <c r="K124" s="173"/>
      <c r="L124" s="173"/>
      <c r="M124" s="173"/>
      <c r="N124" s="173"/>
      <c r="O124" s="173"/>
      <c r="P124" s="173"/>
      <c r="Q124" s="173"/>
      <c r="R124" s="173"/>
      <c r="S124" s="173"/>
      <c r="T124" s="173"/>
      <c r="U124" s="173"/>
      <c r="V124" s="173"/>
      <c r="W124" s="173"/>
      <c r="X124" s="173"/>
      <c r="Y124" s="173"/>
      <c r="Z124" s="173"/>
      <c r="AA124" s="173"/>
      <c r="AB124" s="173"/>
      <c r="AC124" s="173"/>
      <c r="AD124" s="173"/>
      <c r="AE124" s="173"/>
      <c r="AF124" s="173"/>
      <c r="AG124" s="173"/>
      <c r="AH124" s="173"/>
      <c r="AI124" s="173"/>
      <c r="AJ124" s="173"/>
      <c r="AK124" s="173"/>
      <c r="AL124" s="174"/>
      <c r="AM124" s="159"/>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c r="CJ124" s="3"/>
      <c r="CK124" s="3"/>
      <c r="CL124" s="3"/>
      <c r="CM124" s="3"/>
      <c r="CN124" s="3"/>
      <c r="CO124" s="3"/>
      <c r="CP124" s="3"/>
      <c r="CQ124" s="3"/>
      <c r="CR124" s="3"/>
      <c r="CS124" s="3"/>
      <c r="CT124" s="3"/>
      <c r="CU124" s="3"/>
      <c r="CV124" s="3"/>
      <c r="CW124" s="3"/>
      <c r="CX124" s="3"/>
      <c r="CY124" s="3"/>
      <c r="CZ124" s="3"/>
      <c r="DA124" s="3"/>
      <c r="DB124" s="3"/>
      <c r="DC124" s="3"/>
      <c r="DD124" s="3"/>
      <c r="DE124" s="3"/>
      <c r="DF124" s="3"/>
      <c r="DG124" s="3"/>
      <c r="DH124" s="3"/>
      <c r="DI124" s="3"/>
      <c r="DJ124" s="3"/>
      <c r="DK124" s="3"/>
      <c r="DL124" s="3"/>
      <c r="DM124" s="3"/>
      <c r="DN124" s="3"/>
      <c r="DO124" s="3"/>
      <c r="DP124" s="3"/>
      <c r="DQ124" s="3"/>
      <c r="DR124" s="3"/>
      <c r="DS124" s="3"/>
      <c r="DT124" s="3"/>
      <c r="DU124" s="3"/>
      <c r="DV124" s="3"/>
      <c r="DW124" s="3"/>
      <c r="DX124" s="3"/>
      <c r="DY124" s="3"/>
      <c r="DZ124" s="3"/>
      <c r="EA124" s="3"/>
      <c r="EB124" s="3"/>
      <c r="EC124" s="3"/>
      <c r="ED124" s="3"/>
      <c r="EE124" s="3"/>
      <c r="EF124" s="3"/>
      <c r="EG124" s="3"/>
      <c r="EH124" s="3"/>
      <c r="EI124" s="3"/>
      <c r="EJ124" s="3"/>
      <c r="EK124" s="3"/>
      <c r="EL124" s="3"/>
      <c r="EM124" s="3"/>
      <c r="EN124" s="3"/>
      <c r="EO124" s="3"/>
      <c r="EP124" s="3"/>
      <c r="EQ124" s="3"/>
      <c r="ER124" s="3"/>
      <c r="ES124" s="3"/>
      <c r="ET124" s="3"/>
      <c r="EU124" s="3"/>
      <c r="EV124" s="3"/>
      <c r="EW124" s="3"/>
      <c r="EX124" s="3"/>
      <c r="EY124" s="3"/>
      <c r="EZ124" s="3"/>
      <c r="FA124" s="3"/>
      <c r="FB124" s="3"/>
      <c r="FC124" s="3"/>
      <c r="FD124" s="3"/>
      <c r="FE124" s="3"/>
      <c r="FF124" s="3"/>
      <c r="FG124" s="3"/>
      <c r="FH124" s="3"/>
      <c r="FI124" s="3"/>
      <c r="FJ124" s="3"/>
      <c r="FK124" s="3"/>
      <c r="FL124" s="3"/>
      <c r="FM124" s="3"/>
      <c r="FN124" s="3"/>
      <c r="FO124" s="3"/>
      <c r="FP124" s="3"/>
      <c r="FQ124" s="3"/>
      <c r="FR124" s="3"/>
      <c r="FS124" s="3"/>
      <c r="FT124" s="3"/>
      <c r="FU124" s="3"/>
      <c r="FV124" s="3"/>
      <c r="FW124" s="3"/>
      <c r="FX124" s="3"/>
      <c r="FY124" s="3"/>
      <c r="FZ124" s="3"/>
      <c r="GA124" s="3"/>
      <c r="GB124" s="3"/>
      <c r="GC124" s="3"/>
      <c r="GD124" s="3"/>
      <c r="GE124" s="3"/>
      <c r="GF124" s="3"/>
      <c r="GG124" s="3"/>
      <c r="GH124" s="3"/>
      <c r="GI124" s="3"/>
      <c r="GJ124" s="3"/>
      <c r="GK124" s="3"/>
      <c r="GL124" s="3"/>
      <c r="GM124" s="3"/>
      <c r="GN124" s="3"/>
      <c r="GO124" s="3"/>
      <c r="GP124" s="3"/>
      <c r="GQ124" s="3"/>
      <c r="GR124" s="3"/>
      <c r="GS124" s="3"/>
      <c r="GT124" s="3"/>
      <c r="GU124" s="3"/>
      <c r="GV124" s="3"/>
      <c r="GW124" s="3"/>
      <c r="GX124" s="3"/>
      <c r="GY124" s="3"/>
      <c r="GZ124" s="3"/>
      <c r="HA124" s="3"/>
      <c r="HB124" s="3"/>
      <c r="HC124" s="3"/>
      <c r="HD124" s="3"/>
      <c r="HE124" s="3"/>
      <c r="HF124" s="3"/>
      <c r="HG124" s="3"/>
      <c r="HH124" s="3"/>
      <c r="HI124" s="3"/>
      <c r="HJ124" s="3"/>
      <c r="HK124" s="3"/>
      <c r="HL124" s="3"/>
      <c r="HM124" s="3"/>
      <c r="HN124" s="3"/>
      <c r="HO124" s="3"/>
      <c r="HP124" s="3"/>
      <c r="HQ124" s="3"/>
      <c r="HR124" s="3"/>
      <c r="HS124" s="3"/>
      <c r="HT124" s="3"/>
      <c r="HU124" s="3"/>
      <c r="HV124" s="3"/>
      <c r="HW124" s="3"/>
      <c r="HX124" s="3"/>
      <c r="HY124" s="3"/>
      <c r="HZ124" s="3"/>
      <c r="IA124" s="3"/>
      <c r="IB124" s="3"/>
      <c r="IC124" s="3"/>
      <c r="ID124" s="3"/>
      <c r="IE124" s="3"/>
      <c r="IF124" s="3"/>
      <c r="IG124" s="3"/>
      <c r="IH124" s="3"/>
      <c r="II124" s="3"/>
      <c r="IJ124" s="3"/>
      <c r="IK124" s="3"/>
      <c r="IL124" s="3"/>
    </row>
    <row r="125" spans="1:246" s="131" customFormat="1" ht="4.9000000000000004" customHeight="1" x14ac:dyDescent="0.35">
      <c r="A125" s="188"/>
      <c r="B125" s="189"/>
      <c r="C125" s="189"/>
      <c r="D125" s="189"/>
      <c r="E125" s="189"/>
      <c r="F125" s="190"/>
      <c r="G125" s="190"/>
      <c r="H125" s="190"/>
      <c r="I125" s="190"/>
      <c r="J125" s="190"/>
      <c r="K125" s="190"/>
      <c r="L125" s="190"/>
      <c r="M125" s="190"/>
      <c r="N125" s="190"/>
      <c r="O125" s="190"/>
      <c r="P125" s="190"/>
      <c r="Q125" s="190"/>
      <c r="R125" s="190"/>
      <c r="S125" s="190"/>
      <c r="T125" s="190"/>
      <c r="U125" s="190"/>
      <c r="V125" s="190"/>
      <c r="W125" s="190"/>
      <c r="X125" s="190"/>
      <c r="Y125" s="190"/>
      <c r="Z125" s="190"/>
      <c r="AA125" s="190"/>
      <c r="AB125" s="190"/>
      <c r="AC125" s="190"/>
      <c r="AD125" s="190"/>
      <c r="AE125" s="190"/>
      <c r="AF125" s="190"/>
      <c r="AG125" s="190"/>
      <c r="AH125" s="190"/>
      <c r="AI125" s="190"/>
      <c r="AJ125" s="190"/>
      <c r="AK125" s="190"/>
      <c r="AL125" s="191"/>
      <c r="AM125" s="159"/>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c r="CS125" s="3"/>
      <c r="CT125" s="3"/>
      <c r="CU125" s="3"/>
      <c r="CV125" s="3"/>
      <c r="CW125" s="3"/>
      <c r="CX125" s="3"/>
      <c r="CY125" s="3"/>
      <c r="CZ125" s="3"/>
      <c r="DA125" s="3"/>
      <c r="DB125" s="3"/>
      <c r="DC125" s="3"/>
      <c r="DD125" s="3"/>
      <c r="DE125" s="3"/>
      <c r="DF125" s="3"/>
      <c r="DG125" s="3"/>
      <c r="DH125" s="3"/>
      <c r="DI125" s="3"/>
      <c r="DJ125" s="3"/>
      <c r="DK125" s="3"/>
      <c r="DL125" s="3"/>
      <c r="DM125" s="3"/>
      <c r="DN125" s="3"/>
      <c r="DO125" s="3"/>
      <c r="DP125" s="3"/>
      <c r="DQ125" s="3"/>
      <c r="DR125" s="3"/>
      <c r="DS125" s="3"/>
      <c r="DT125" s="3"/>
      <c r="DU125" s="3"/>
      <c r="DV125" s="3"/>
      <c r="DW125" s="3"/>
      <c r="DX125" s="3"/>
      <c r="DY125" s="3"/>
      <c r="DZ125" s="3"/>
      <c r="EA125" s="3"/>
      <c r="EB125" s="3"/>
      <c r="EC125" s="3"/>
      <c r="ED125" s="3"/>
      <c r="EE125" s="3"/>
      <c r="EF125" s="3"/>
      <c r="EG125" s="3"/>
      <c r="EH125" s="3"/>
      <c r="EI125" s="3"/>
      <c r="EJ125" s="3"/>
      <c r="EK125" s="3"/>
      <c r="EL125" s="3"/>
      <c r="EM125" s="3"/>
      <c r="EN125" s="3"/>
      <c r="EO125" s="3"/>
      <c r="EP125" s="3"/>
      <c r="EQ125" s="3"/>
      <c r="ER125" s="3"/>
      <c r="ES125" s="3"/>
      <c r="ET125" s="3"/>
      <c r="EU125" s="3"/>
      <c r="EV125" s="3"/>
      <c r="EW125" s="3"/>
      <c r="EX125" s="3"/>
      <c r="EY125" s="3"/>
      <c r="EZ125" s="3"/>
      <c r="FA125" s="3"/>
      <c r="FB125" s="3"/>
      <c r="FC125" s="3"/>
      <c r="FD125" s="3"/>
      <c r="FE125" s="3"/>
      <c r="FF125" s="3"/>
      <c r="FG125" s="3"/>
      <c r="FH125" s="3"/>
      <c r="FI125" s="3"/>
      <c r="FJ125" s="3"/>
      <c r="FK125" s="3"/>
      <c r="FL125" s="3"/>
      <c r="FM125" s="3"/>
      <c r="FN125" s="3"/>
      <c r="FO125" s="3"/>
      <c r="FP125" s="3"/>
      <c r="FQ125" s="3"/>
      <c r="FR125" s="3"/>
      <c r="FS125" s="3"/>
      <c r="FT125" s="3"/>
      <c r="FU125" s="3"/>
      <c r="FV125" s="3"/>
      <c r="FW125" s="3"/>
      <c r="FX125" s="3"/>
      <c r="FY125" s="3"/>
      <c r="FZ125" s="3"/>
      <c r="GA125" s="3"/>
      <c r="GB125" s="3"/>
      <c r="GC125" s="3"/>
      <c r="GD125" s="3"/>
      <c r="GE125" s="3"/>
      <c r="GF125" s="3"/>
      <c r="GG125" s="3"/>
      <c r="GH125" s="3"/>
      <c r="GI125" s="3"/>
      <c r="GJ125" s="3"/>
      <c r="GK125" s="3"/>
      <c r="GL125" s="3"/>
      <c r="GM125" s="3"/>
      <c r="GN125" s="3"/>
      <c r="GO125" s="3"/>
      <c r="GP125" s="3"/>
      <c r="GQ125" s="3"/>
      <c r="GR125" s="3"/>
      <c r="GS125" s="3"/>
      <c r="GT125" s="3"/>
      <c r="GU125" s="3"/>
      <c r="GV125" s="3"/>
      <c r="GW125" s="3"/>
      <c r="GX125" s="3"/>
      <c r="GY125" s="3"/>
      <c r="GZ125" s="3"/>
      <c r="HA125" s="3"/>
      <c r="HB125" s="3"/>
      <c r="HC125" s="3"/>
      <c r="HD125" s="3"/>
      <c r="HE125" s="3"/>
      <c r="HF125" s="3"/>
      <c r="HG125" s="3"/>
      <c r="HH125" s="3"/>
      <c r="HI125" s="3"/>
      <c r="HJ125" s="3"/>
      <c r="HK125" s="3"/>
      <c r="HL125" s="3"/>
      <c r="HM125" s="3"/>
      <c r="HN125" s="3"/>
      <c r="HO125" s="3"/>
      <c r="HP125" s="3"/>
      <c r="HQ125" s="3"/>
      <c r="HR125" s="3"/>
      <c r="HS125" s="3"/>
      <c r="HT125" s="3"/>
      <c r="HU125" s="3"/>
      <c r="HV125" s="3"/>
      <c r="HW125" s="3"/>
      <c r="HX125" s="3"/>
      <c r="HY125" s="3"/>
      <c r="HZ125" s="3"/>
      <c r="IA125" s="3"/>
      <c r="IB125" s="3"/>
      <c r="IC125" s="3"/>
      <c r="ID125" s="3"/>
      <c r="IE125" s="3"/>
      <c r="IF125" s="3"/>
      <c r="IG125" s="3"/>
      <c r="IH125" s="3"/>
      <c r="II125" s="3"/>
      <c r="IJ125" s="3"/>
      <c r="IK125" s="3"/>
      <c r="IL125" s="3"/>
    </row>
    <row r="126" spans="1:246" x14ac:dyDescent="0.35">
      <c r="A126" s="171" t="s">
        <v>752</v>
      </c>
      <c r="B126" s="172"/>
      <c r="C126" s="172"/>
      <c r="D126" s="172"/>
      <c r="E126" s="193">
        <f>SUM(F160:S160)</f>
        <v>145369390.31536284</v>
      </c>
      <c r="F126" s="173"/>
      <c r="G126" s="173"/>
      <c r="H126" s="173"/>
      <c r="I126" s="173">
        <f t="shared" ref="I126:R126" si="9">Annual_Loan_Payment</f>
        <v>23658198.830703687</v>
      </c>
      <c r="J126" s="173">
        <f t="shared" si="9"/>
        <v>23658198.830703687</v>
      </c>
      <c r="K126" s="173">
        <f t="shared" si="9"/>
        <v>23658198.830703687</v>
      </c>
      <c r="L126" s="173">
        <f t="shared" si="9"/>
        <v>23658198.830703687</v>
      </c>
      <c r="M126" s="173">
        <f t="shared" si="9"/>
        <v>23658198.830703687</v>
      </c>
      <c r="N126" s="173">
        <f t="shared" si="9"/>
        <v>23658198.830703687</v>
      </c>
      <c r="O126" s="173">
        <f t="shared" si="9"/>
        <v>23658198.830703687</v>
      </c>
      <c r="P126" s="173">
        <f t="shared" si="9"/>
        <v>23658198.830703687</v>
      </c>
      <c r="Q126" s="173">
        <f t="shared" si="9"/>
        <v>23658198.830703687</v>
      </c>
      <c r="R126" s="173">
        <f t="shared" si="9"/>
        <v>23658198.830703687</v>
      </c>
      <c r="S126" s="173"/>
      <c r="T126" s="173"/>
      <c r="U126" s="173"/>
      <c r="V126" s="173"/>
      <c r="W126" s="173"/>
      <c r="X126" s="173"/>
      <c r="Y126" s="173"/>
      <c r="Z126" s="173"/>
      <c r="AA126" s="173"/>
      <c r="AB126" s="173"/>
      <c r="AC126" s="173"/>
      <c r="AD126" s="173"/>
      <c r="AE126" s="173"/>
      <c r="AF126" s="173"/>
      <c r="AG126" s="173"/>
      <c r="AH126" s="173"/>
      <c r="AI126" s="173"/>
      <c r="AJ126" s="173"/>
      <c r="AK126" s="173"/>
      <c r="AL126" s="174"/>
      <c r="AM126" s="159"/>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3"/>
      <c r="CJ126" s="3"/>
      <c r="CK126" s="3"/>
      <c r="CL126" s="3"/>
      <c r="CM126" s="3"/>
      <c r="CN126" s="3"/>
      <c r="CO126" s="3"/>
      <c r="CP126" s="3"/>
      <c r="CQ126" s="3"/>
      <c r="CR126" s="3"/>
      <c r="CS126" s="3"/>
      <c r="CT126" s="3"/>
      <c r="CU126" s="3"/>
      <c r="CV126" s="3"/>
      <c r="CW126" s="3"/>
      <c r="CX126" s="3"/>
      <c r="CY126" s="3"/>
      <c r="CZ126" s="3"/>
      <c r="DA126" s="3"/>
      <c r="DB126" s="3"/>
      <c r="DC126" s="3"/>
      <c r="DD126" s="3"/>
      <c r="DE126" s="3"/>
      <c r="DF126" s="3"/>
      <c r="DG126" s="3"/>
      <c r="DH126" s="3"/>
      <c r="DI126" s="3"/>
      <c r="DJ126" s="3"/>
      <c r="DK126" s="3"/>
      <c r="DL126" s="3"/>
      <c r="DM126" s="3"/>
      <c r="DN126" s="3"/>
      <c r="DO126" s="3"/>
      <c r="DP126" s="3"/>
      <c r="DQ126" s="3"/>
      <c r="DR126" s="3"/>
      <c r="DS126" s="3"/>
      <c r="DT126" s="3"/>
      <c r="DU126" s="3"/>
      <c r="DV126" s="3"/>
      <c r="DW126" s="3"/>
      <c r="DX126" s="3"/>
      <c r="DY126" s="3"/>
      <c r="DZ126" s="3"/>
      <c r="EA126" s="3"/>
      <c r="EB126" s="3"/>
      <c r="EC126" s="3"/>
      <c r="ED126" s="3"/>
      <c r="EE126" s="3"/>
      <c r="EF126" s="3"/>
      <c r="EG126" s="3"/>
      <c r="EH126" s="3"/>
      <c r="EI126" s="3"/>
      <c r="EJ126" s="3"/>
      <c r="EK126" s="3"/>
      <c r="EL126" s="3"/>
      <c r="EM126" s="3"/>
      <c r="EN126" s="3"/>
      <c r="EO126" s="3"/>
      <c r="EP126" s="3"/>
      <c r="EQ126" s="3"/>
      <c r="ER126" s="3"/>
      <c r="ES126" s="3"/>
      <c r="ET126" s="3"/>
      <c r="EU126" s="3"/>
      <c r="EV126" s="3"/>
      <c r="EW126" s="3"/>
      <c r="EX126" s="3"/>
      <c r="EY126" s="3"/>
      <c r="EZ126" s="3"/>
      <c r="FA126" s="3"/>
      <c r="FB126" s="3"/>
      <c r="FC126" s="3"/>
      <c r="FD126" s="3"/>
      <c r="FE126" s="3"/>
      <c r="FF126" s="3"/>
      <c r="FG126" s="3"/>
      <c r="FH126" s="3"/>
      <c r="FI126" s="3"/>
      <c r="FJ126" s="3"/>
      <c r="FK126" s="3"/>
      <c r="FL126" s="3"/>
      <c r="FM126" s="3"/>
      <c r="FN126" s="3"/>
      <c r="FO126" s="3"/>
      <c r="FP126" s="3"/>
      <c r="FQ126" s="3"/>
      <c r="FR126" s="3"/>
      <c r="FS126" s="3"/>
      <c r="FT126" s="3"/>
      <c r="FU126" s="3"/>
      <c r="FV126" s="3"/>
      <c r="FW126" s="3"/>
      <c r="FX126" s="3"/>
      <c r="FY126" s="3"/>
      <c r="FZ126" s="3"/>
      <c r="GA126" s="3"/>
      <c r="GB126" s="3"/>
      <c r="GC126" s="3"/>
      <c r="GD126" s="3"/>
      <c r="GE126" s="3"/>
      <c r="GF126" s="3"/>
      <c r="GG126" s="3"/>
      <c r="GH126" s="3"/>
      <c r="GI126" s="3"/>
      <c r="GJ126" s="3"/>
      <c r="GK126" s="3"/>
      <c r="GL126" s="3"/>
      <c r="GM126" s="3"/>
      <c r="GN126" s="3"/>
      <c r="GO126" s="3"/>
      <c r="GP126" s="3"/>
      <c r="GQ126" s="3"/>
      <c r="GR126" s="3"/>
      <c r="GS126" s="3"/>
      <c r="GT126" s="3"/>
      <c r="GU126" s="3"/>
      <c r="GV126" s="3"/>
      <c r="GW126" s="3"/>
      <c r="GX126" s="3"/>
      <c r="GY126" s="3"/>
      <c r="GZ126" s="3"/>
      <c r="HA126" s="3"/>
      <c r="HB126" s="3"/>
      <c r="HC126" s="3"/>
      <c r="HD126" s="3"/>
      <c r="HE126" s="3"/>
      <c r="HF126" s="3"/>
      <c r="HG126" s="3"/>
      <c r="HH126" s="3"/>
      <c r="HI126" s="3"/>
      <c r="HJ126" s="3"/>
      <c r="HK126" s="3"/>
      <c r="HL126" s="3"/>
      <c r="HM126" s="3"/>
      <c r="HN126" s="3"/>
      <c r="HO126" s="3"/>
      <c r="HP126" s="3"/>
      <c r="HQ126" s="3"/>
      <c r="HR126" s="3"/>
      <c r="HS126" s="3"/>
      <c r="HT126" s="3"/>
      <c r="HU126" s="3"/>
      <c r="HV126" s="3"/>
      <c r="HW126" s="3"/>
      <c r="HX126" s="3"/>
      <c r="HY126" s="3"/>
      <c r="HZ126" s="3"/>
      <c r="IA126" s="3"/>
      <c r="IB126" s="3"/>
      <c r="IC126" s="3"/>
      <c r="ID126" s="3"/>
      <c r="IE126" s="3"/>
      <c r="IF126" s="3"/>
      <c r="IG126" s="3"/>
      <c r="IH126" s="3"/>
      <c r="II126" s="3"/>
      <c r="IJ126" s="3"/>
      <c r="IK126" s="3"/>
      <c r="IL126" s="3"/>
    </row>
    <row r="127" spans="1:246" x14ac:dyDescent="0.35">
      <c r="A127" s="171"/>
      <c r="B127" s="172" t="s">
        <v>768</v>
      </c>
      <c r="C127" s="172"/>
      <c r="D127" s="172"/>
      <c r="E127" s="172"/>
      <c r="F127" s="173">
        <f>F128*Loan_Interest</f>
        <v>1015990.0154007237</v>
      </c>
      <c r="G127" s="173">
        <f>G128*Loan_Interest</f>
        <v>8635915.1309061497</v>
      </c>
      <c r="H127" s="173">
        <f>H128*Loan_Interest</f>
        <v>12699875.192509046</v>
      </c>
      <c r="I127" s="173">
        <f t="shared" ref="I127:AL127" si="10">H128*Loan_Interest</f>
        <v>12699875.192509046</v>
      </c>
      <c r="J127" s="173">
        <f t="shared" si="10"/>
        <v>11823209.301453477</v>
      </c>
      <c r="K127" s="173">
        <f t="shared" si="10"/>
        <v>10876410.13911346</v>
      </c>
      <c r="L127" s="173">
        <f t="shared" si="10"/>
        <v>9853867.0437862407</v>
      </c>
      <c r="M127" s="173">
        <f t="shared" si="10"/>
        <v>8749520.5008328445</v>
      </c>
      <c r="N127" s="173">
        <f t="shared" si="10"/>
        <v>7556826.2344431775</v>
      </c>
      <c r="O127" s="173">
        <f t="shared" si="10"/>
        <v>6268716.4267423358</v>
      </c>
      <c r="P127" s="173">
        <f t="shared" si="10"/>
        <v>4877557.834425427</v>
      </c>
      <c r="Q127" s="173">
        <f t="shared" si="10"/>
        <v>3375106.5547231664</v>
      </c>
      <c r="R127" s="173">
        <f t="shared" si="10"/>
        <v>1752459.1726447246</v>
      </c>
      <c r="S127" s="173">
        <f t="shared" si="10"/>
        <v>7.4505805969238281E-9</v>
      </c>
      <c r="T127" s="173">
        <f t="shared" si="10"/>
        <v>8.0466270446777349E-9</v>
      </c>
      <c r="U127" s="173">
        <f t="shared" si="10"/>
        <v>8.6903572082519539E-9</v>
      </c>
      <c r="V127" s="173">
        <f t="shared" si="10"/>
        <v>9.3855857849121089E-9</v>
      </c>
      <c r="W127" s="173">
        <f t="shared" si="10"/>
        <v>1.0136432647705077E-8</v>
      </c>
      <c r="X127" s="173">
        <f t="shared" si="10"/>
        <v>1.0947347259521484E-8</v>
      </c>
      <c r="Y127" s="173">
        <f t="shared" si="10"/>
        <v>1.1823135040283204E-8</v>
      </c>
      <c r="Z127" s="173">
        <f t="shared" si="10"/>
        <v>1.2768985843505859E-8</v>
      </c>
      <c r="AA127" s="173">
        <f t="shared" si="10"/>
        <v>1.3790504710986327E-8</v>
      </c>
      <c r="AB127" s="173">
        <f t="shared" si="10"/>
        <v>1.4893745087865233E-8</v>
      </c>
      <c r="AC127" s="173">
        <f t="shared" si="10"/>
        <v>1.6085244694894451E-8</v>
      </c>
      <c r="AD127" s="173">
        <f t="shared" si="10"/>
        <v>1.7372064270486008E-8</v>
      </c>
      <c r="AE127" s="173">
        <f t="shared" si="10"/>
        <v>1.8761829412124891E-8</v>
      </c>
      <c r="AF127" s="173">
        <f t="shared" si="10"/>
        <v>2.0262775765094883E-8</v>
      </c>
      <c r="AG127" s="173">
        <f t="shared" si="10"/>
        <v>2.1883797826302475E-8</v>
      </c>
      <c r="AH127" s="173">
        <f t="shared" si="10"/>
        <v>2.3634501652406672E-8</v>
      </c>
      <c r="AI127" s="173">
        <f t="shared" si="10"/>
        <v>2.5525261784599207E-8</v>
      </c>
      <c r="AJ127" s="173">
        <f t="shared" si="10"/>
        <v>2.7567282727367145E-8</v>
      </c>
      <c r="AK127" s="173">
        <f t="shared" si="10"/>
        <v>2.9772665345556518E-8</v>
      </c>
      <c r="AL127" s="174">
        <f t="shared" si="10"/>
        <v>3.2154478573201037E-8</v>
      </c>
      <c r="AM127" s="159"/>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c r="CI127" s="3"/>
      <c r="CJ127" s="3"/>
      <c r="CK127" s="3"/>
      <c r="CL127" s="3"/>
      <c r="CM127" s="3"/>
      <c r="CN127" s="3"/>
      <c r="CO127" s="3"/>
      <c r="CP127" s="3"/>
      <c r="CQ127" s="3"/>
      <c r="CR127" s="3"/>
      <c r="CS127" s="3"/>
      <c r="CT127" s="3"/>
      <c r="CU127" s="3"/>
      <c r="CV127" s="3"/>
      <c r="CW127" s="3"/>
      <c r="CX127" s="3"/>
      <c r="CY127" s="3"/>
      <c r="CZ127" s="3"/>
      <c r="DA127" s="3"/>
      <c r="DB127" s="3"/>
      <c r="DC127" s="3"/>
      <c r="DD127" s="3"/>
      <c r="DE127" s="3"/>
      <c r="DF127" s="3"/>
      <c r="DG127" s="3"/>
      <c r="DH127" s="3"/>
      <c r="DI127" s="3"/>
      <c r="DJ127" s="3"/>
      <c r="DK127" s="3"/>
      <c r="DL127" s="3"/>
      <c r="DM127" s="3"/>
      <c r="DN127" s="3"/>
      <c r="DO127" s="3"/>
      <c r="DP127" s="3"/>
      <c r="DQ127" s="3"/>
      <c r="DR127" s="3"/>
      <c r="DS127" s="3"/>
      <c r="DT127" s="3"/>
      <c r="DU127" s="3"/>
      <c r="DV127" s="3"/>
      <c r="DW127" s="3"/>
      <c r="DX127" s="3"/>
      <c r="DY127" s="3"/>
      <c r="DZ127" s="3"/>
      <c r="EA127" s="3"/>
      <c r="EB127" s="3"/>
      <c r="EC127" s="3"/>
      <c r="ED127" s="3"/>
      <c r="EE127" s="3"/>
      <c r="EF127" s="3"/>
      <c r="EG127" s="3"/>
      <c r="EH127" s="3"/>
      <c r="EI127" s="3"/>
      <c r="EJ127" s="3"/>
      <c r="EK127" s="3"/>
      <c r="EL127" s="3"/>
      <c r="EM127" s="3"/>
      <c r="EN127" s="3"/>
      <c r="EO127" s="3"/>
      <c r="EP127" s="3"/>
      <c r="EQ127" s="3"/>
      <c r="ER127" s="3"/>
      <c r="ES127" s="3"/>
      <c r="ET127" s="3"/>
      <c r="EU127" s="3"/>
      <c r="EV127" s="3"/>
      <c r="EW127" s="3"/>
      <c r="EX127" s="3"/>
      <c r="EY127" s="3"/>
      <c r="EZ127" s="3"/>
      <c r="FA127" s="3"/>
      <c r="FB127" s="3"/>
      <c r="FC127" s="3"/>
      <c r="FD127" s="3"/>
      <c r="FE127" s="3"/>
      <c r="FF127" s="3"/>
      <c r="FG127" s="3"/>
      <c r="FH127" s="3"/>
      <c r="FI127" s="3"/>
      <c r="FJ127" s="3"/>
      <c r="FK127" s="3"/>
      <c r="FL127" s="3"/>
      <c r="FM127" s="3"/>
      <c r="FN127" s="3"/>
      <c r="FO127" s="3"/>
      <c r="FP127" s="3"/>
      <c r="FQ127" s="3"/>
      <c r="FR127" s="3"/>
      <c r="FS127" s="3"/>
      <c r="FT127" s="3"/>
      <c r="FU127" s="3"/>
      <c r="FV127" s="3"/>
      <c r="FW127" s="3"/>
      <c r="FX127" s="3"/>
      <c r="FY127" s="3"/>
      <c r="FZ127" s="3"/>
      <c r="GA127" s="3"/>
      <c r="GB127" s="3"/>
      <c r="GC127" s="3"/>
      <c r="GD127" s="3"/>
      <c r="GE127" s="3"/>
      <c r="GF127" s="3"/>
      <c r="GG127" s="3"/>
      <c r="GH127" s="3"/>
      <c r="GI127" s="3"/>
      <c r="GJ127" s="3"/>
      <c r="GK127" s="3"/>
      <c r="GL127" s="3"/>
      <c r="GM127" s="3"/>
      <c r="GN127" s="3"/>
      <c r="GO127" s="3"/>
      <c r="GP127" s="3"/>
      <c r="GQ127" s="3"/>
      <c r="GR127" s="3"/>
      <c r="GS127" s="3"/>
      <c r="GT127" s="3"/>
      <c r="GU127" s="3"/>
      <c r="GV127" s="3"/>
      <c r="GW127" s="3"/>
      <c r="GX127" s="3"/>
      <c r="GY127" s="3"/>
      <c r="GZ127" s="3"/>
      <c r="HA127" s="3"/>
      <c r="HB127" s="3"/>
      <c r="HC127" s="3"/>
      <c r="HD127" s="3"/>
      <c r="HE127" s="3"/>
      <c r="HF127" s="3"/>
      <c r="HG127" s="3"/>
      <c r="HH127" s="3"/>
      <c r="HI127" s="3"/>
      <c r="HJ127" s="3"/>
      <c r="HK127" s="3"/>
      <c r="HL127" s="3"/>
      <c r="HM127" s="3"/>
      <c r="HN127" s="3"/>
      <c r="HO127" s="3"/>
      <c r="HP127" s="3"/>
      <c r="HQ127" s="3"/>
      <c r="HR127" s="3"/>
      <c r="HS127" s="3"/>
      <c r="HT127" s="3"/>
      <c r="HU127" s="3"/>
      <c r="HV127" s="3"/>
      <c r="HW127" s="3"/>
      <c r="HX127" s="3"/>
      <c r="HY127" s="3"/>
      <c r="HZ127" s="3"/>
      <c r="IA127" s="3"/>
      <c r="IB127" s="3"/>
      <c r="IC127" s="3"/>
      <c r="ID127" s="3"/>
      <c r="IE127" s="3"/>
      <c r="IF127" s="3"/>
      <c r="IG127" s="3"/>
      <c r="IH127" s="3"/>
      <c r="II127" s="3"/>
      <c r="IJ127" s="3"/>
      <c r="IK127" s="3"/>
      <c r="IL127" s="3"/>
    </row>
    <row r="128" spans="1:246" x14ac:dyDescent="0.35">
      <c r="A128" s="171"/>
      <c r="B128" s="172" t="s">
        <v>753</v>
      </c>
      <c r="C128" s="172"/>
      <c r="D128" s="172"/>
      <c r="E128" s="172"/>
      <c r="F128" s="173">
        <f>FCI*(1-Equity)*Year_Minus_2_Work</f>
        <v>12699875.192509046</v>
      </c>
      <c r="G128" s="173">
        <f>FCI*(1-Equity)*Year_Minus_1_Work+F128</f>
        <v>107948939.13632688</v>
      </c>
      <c r="H128" s="173">
        <f>FCI*(1-Equity)*Year_0_Work+G128</f>
        <v>158748439.90636307</v>
      </c>
      <c r="I128" s="173">
        <f>H128+I127-I126</f>
        <v>147790116.26816845</v>
      </c>
      <c r="J128" s="173">
        <f>I128+J127-J126</f>
        <v>135955126.73891824</v>
      </c>
      <c r="K128" s="173">
        <f t="shared" ref="K128:AL128" si="11">J128+K127-K126</f>
        <v>123173338.04732801</v>
      </c>
      <c r="L128" s="173">
        <f t="shared" si="11"/>
        <v>109369006.26041056</v>
      </c>
      <c r="M128" s="173">
        <f t="shared" si="11"/>
        <v>94460327.930539712</v>
      </c>
      <c r="N128" s="173">
        <f t="shared" si="11"/>
        <v>78358955.334279194</v>
      </c>
      <c r="O128" s="173">
        <f t="shared" si="11"/>
        <v>60969472.930317834</v>
      </c>
      <c r="P128" s="173">
        <f t="shared" si="11"/>
        <v>42188831.934039578</v>
      </c>
      <c r="Q128" s="173">
        <f t="shared" si="11"/>
        <v>21905739.658059057</v>
      </c>
      <c r="R128" s="173">
        <f t="shared" si="11"/>
        <v>9.3132257461547852E-8</v>
      </c>
      <c r="S128" s="173">
        <f t="shared" si="11"/>
        <v>1.0058283805847168E-7</v>
      </c>
      <c r="T128" s="173">
        <f t="shared" si="11"/>
        <v>1.0862946510314941E-7</v>
      </c>
      <c r="U128" s="173">
        <f t="shared" si="11"/>
        <v>1.1731982231140136E-7</v>
      </c>
      <c r="V128" s="173">
        <f t="shared" si="11"/>
        <v>1.2670540809631346E-7</v>
      </c>
      <c r="W128" s="173">
        <f t="shared" si="11"/>
        <v>1.3684184074401855E-7</v>
      </c>
      <c r="X128" s="173">
        <f t="shared" si="11"/>
        <v>1.4778918800354004E-7</v>
      </c>
      <c r="Y128" s="173">
        <f t="shared" si="11"/>
        <v>1.5961232304382323E-7</v>
      </c>
      <c r="Z128" s="173">
        <f t="shared" si="11"/>
        <v>1.7238130888732908E-7</v>
      </c>
      <c r="AA128" s="173">
        <f t="shared" si="11"/>
        <v>1.861718135983154E-7</v>
      </c>
      <c r="AB128" s="173">
        <f t="shared" si="11"/>
        <v>2.0106555868618064E-7</v>
      </c>
      <c r="AC128" s="173">
        <f t="shared" si="11"/>
        <v>2.171508033810751E-7</v>
      </c>
      <c r="AD128" s="173">
        <f t="shared" si="11"/>
        <v>2.3452286765156112E-7</v>
      </c>
      <c r="AE128" s="173">
        <f t="shared" si="11"/>
        <v>2.5328469706368602E-7</v>
      </c>
      <c r="AF128" s="173">
        <f t="shared" si="11"/>
        <v>2.7354747282878092E-7</v>
      </c>
      <c r="AG128" s="173">
        <f t="shared" si="11"/>
        <v>2.9543127065508342E-7</v>
      </c>
      <c r="AH128" s="173">
        <f t="shared" si="11"/>
        <v>3.1906577230749009E-7</v>
      </c>
      <c r="AI128" s="173">
        <f t="shared" si="11"/>
        <v>3.445910340920893E-7</v>
      </c>
      <c r="AJ128" s="173">
        <f t="shared" si="11"/>
        <v>3.7215831681945646E-7</v>
      </c>
      <c r="AK128" s="173">
        <f t="shared" si="11"/>
        <v>4.0193098216501299E-7</v>
      </c>
      <c r="AL128" s="174">
        <f t="shared" si="11"/>
        <v>4.3408546073821403E-7</v>
      </c>
      <c r="AM128" s="159"/>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c r="DA128" s="3"/>
      <c r="DB128" s="3"/>
      <c r="DC128" s="3"/>
      <c r="DD128" s="3"/>
      <c r="DE128" s="3"/>
      <c r="DF128" s="3"/>
      <c r="DG128" s="3"/>
      <c r="DH128" s="3"/>
      <c r="DI128" s="3"/>
      <c r="DJ128" s="3"/>
      <c r="DK128" s="3"/>
      <c r="DL128" s="3"/>
      <c r="DM128" s="3"/>
      <c r="DN128" s="3"/>
      <c r="DO128" s="3"/>
      <c r="DP128" s="3"/>
      <c r="DQ128" s="3"/>
      <c r="DR128" s="3"/>
      <c r="DS128" s="3"/>
      <c r="DT128" s="3"/>
      <c r="DU128" s="3"/>
      <c r="DV128" s="3"/>
      <c r="DW128" s="3"/>
      <c r="DX128" s="3"/>
      <c r="DY128" s="3"/>
      <c r="DZ128" s="3"/>
      <c r="EA128" s="3"/>
      <c r="EB128" s="3"/>
      <c r="EC128" s="3"/>
      <c r="ED128" s="3"/>
      <c r="EE128" s="3"/>
      <c r="EF128" s="3"/>
      <c r="EG128" s="3"/>
      <c r="EH128" s="3"/>
      <c r="EI128" s="3"/>
      <c r="EJ128" s="3"/>
      <c r="EK128" s="3"/>
      <c r="EL128" s="3"/>
      <c r="EM128" s="3"/>
      <c r="EN128" s="3"/>
      <c r="EO128" s="3"/>
      <c r="EP128" s="3"/>
      <c r="EQ128" s="3"/>
      <c r="ER128" s="3"/>
      <c r="ES128" s="3"/>
      <c r="ET128" s="3"/>
      <c r="EU128" s="3"/>
      <c r="EV128" s="3"/>
      <c r="EW128" s="3"/>
      <c r="EX128" s="3"/>
      <c r="EY128" s="3"/>
      <c r="EZ128" s="3"/>
      <c r="FA128" s="3"/>
      <c r="FB128" s="3"/>
      <c r="FC128" s="3"/>
      <c r="FD128" s="3"/>
      <c r="FE128" s="3"/>
      <c r="FF128" s="3"/>
      <c r="FG128" s="3"/>
      <c r="FH128" s="3"/>
      <c r="FI128" s="3"/>
      <c r="FJ128" s="3"/>
      <c r="FK128" s="3"/>
      <c r="FL128" s="3"/>
      <c r="FM128" s="3"/>
      <c r="FN128" s="3"/>
      <c r="FO128" s="3"/>
      <c r="FP128" s="3"/>
      <c r="FQ128" s="3"/>
      <c r="FR128" s="3"/>
      <c r="FS128" s="3"/>
      <c r="FT128" s="3"/>
      <c r="FU128" s="3"/>
      <c r="FV128" s="3"/>
      <c r="FW128" s="3"/>
      <c r="FX128" s="3"/>
      <c r="FY128" s="3"/>
      <c r="FZ128" s="3"/>
      <c r="GA128" s="3"/>
      <c r="GB128" s="3"/>
      <c r="GC128" s="3"/>
      <c r="GD128" s="3"/>
      <c r="GE128" s="3"/>
      <c r="GF128" s="3"/>
      <c r="GG128" s="3"/>
      <c r="GH128" s="3"/>
      <c r="GI128" s="3"/>
      <c r="GJ128" s="3"/>
      <c r="GK128" s="3"/>
      <c r="GL128" s="3"/>
      <c r="GM128" s="3"/>
      <c r="GN128" s="3"/>
      <c r="GO128" s="3"/>
      <c r="GP128" s="3"/>
      <c r="GQ128" s="3"/>
      <c r="GR128" s="3"/>
      <c r="GS128" s="3"/>
      <c r="GT128" s="3"/>
      <c r="GU128" s="3"/>
      <c r="GV128" s="3"/>
      <c r="GW128" s="3"/>
      <c r="GX128" s="3"/>
      <c r="GY128" s="3"/>
      <c r="GZ128" s="3"/>
      <c r="HA128" s="3"/>
      <c r="HB128" s="3"/>
      <c r="HC128" s="3"/>
      <c r="HD128" s="3"/>
      <c r="HE128" s="3"/>
      <c r="HF128" s="3"/>
      <c r="HG128" s="3"/>
      <c r="HH128" s="3"/>
      <c r="HI128" s="3"/>
      <c r="HJ128" s="3"/>
      <c r="HK128" s="3"/>
      <c r="HL128" s="3"/>
      <c r="HM128" s="3"/>
      <c r="HN128" s="3"/>
      <c r="HO128" s="3"/>
      <c r="HP128" s="3"/>
      <c r="HQ128" s="3"/>
      <c r="HR128" s="3"/>
      <c r="HS128" s="3"/>
      <c r="HT128" s="3"/>
      <c r="HU128" s="3"/>
      <c r="HV128" s="3"/>
      <c r="HW128" s="3"/>
      <c r="HX128" s="3"/>
      <c r="HY128" s="3"/>
      <c r="HZ128" s="3"/>
      <c r="IA128" s="3"/>
      <c r="IB128" s="3"/>
      <c r="IC128" s="3"/>
      <c r="ID128" s="3"/>
      <c r="IE128" s="3"/>
      <c r="IF128" s="3"/>
      <c r="IG128" s="3"/>
      <c r="IH128" s="3"/>
      <c r="II128" s="3"/>
      <c r="IJ128" s="3"/>
      <c r="IK128" s="3"/>
      <c r="IL128" s="3"/>
    </row>
    <row r="129" spans="1:246" s="131" customFormat="1" ht="4.9000000000000004" customHeight="1" x14ac:dyDescent="0.35">
      <c r="A129" s="188"/>
      <c r="B129" s="189"/>
      <c r="C129" s="189"/>
      <c r="D129" s="189"/>
      <c r="E129" s="189"/>
      <c r="F129" s="190"/>
      <c r="G129" s="190"/>
      <c r="H129" s="190"/>
      <c r="I129" s="190"/>
      <c r="J129" s="190"/>
      <c r="K129" s="190"/>
      <c r="L129" s="190"/>
      <c r="M129" s="190"/>
      <c r="N129" s="190"/>
      <c r="O129" s="190"/>
      <c r="P129" s="190"/>
      <c r="Q129" s="190"/>
      <c r="R129" s="190"/>
      <c r="S129" s="190"/>
      <c r="T129" s="190"/>
      <c r="U129" s="190"/>
      <c r="V129" s="190"/>
      <c r="W129" s="190"/>
      <c r="X129" s="190"/>
      <c r="Y129" s="190"/>
      <c r="Z129" s="190"/>
      <c r="AA129" s="190"/>
      <c r="AB129" s="190"/>
      <c r="AC129" s="190"/>
      <c r="AD129" s="190"/>
      <c r="AE129" s="190"/>
      <c r="AF129" s="190"/>
      <c r="AG129" s="190"/>
      <c r="AH129" s="190"/>
      <c r="AI129" s="190"/>
      <c r="AJ129" s="190"/>
      <c r="AK129" s="190"/>
      <c r="AL129" s="191"/>
      <c r="AM129" s="159"/>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c r="DA129" s="3"/>
      <c r="DB129" s="3"/>
      <c r="DC129" s="3"/>
      <c r="DD129" s="3"/>
      <c r="DE129" s="3"/>
      <c r="DF129" s="3"/>
      <c r="DG129" s="3"/>
      <c r="DH129" s="3"/>
      <c r="DI129" s="3"/>
      <c r="DJ129" s="3"/>
      <c r="DK129" s="3"/>
      <c r="DL129" s="3"/>
      <c r="DM129" s="3"/>
      <c r="DN129" s="3"/>
      <c r="DO129" s="3"/>
      <c r="DP129" s="3"/>
      <c r="DQ129" s="3"/>
      <c r="DR129" s="3"/>
      <c r="DS129" s="3"/>
      <c r="DT129" s="3"/>
      <c r="DU129" s="3"/>
      <c r="DV129" s="3"/>
      <c r="DW129" s="3"/>
      <c r="DX129" s="3"/>
      <c r="DY129" s="3"/>
      <c r="DZ129" s="3"/>
      <c r="EA129" s="3"/>
      <c r="EB129" s="3"/>
      <c r="EC129" s="3"/>
      <c r="ED129" s="3"/>
      <c r="EE129" s="3"/>
      <c r="EF129" s="3"/>
      <c r="EG129" s="3"/>
      <c r="EH129" s="3"/>
      <c r="EI129" s="3"/>
      <c r="EJ129" s="3"/>
      <c r="EK129" s="3"/>
      <c r="EL129" s="3"/>
      <c r="EM129" s="3"/>
      <c r="EN129" s="3"/>
      <c r="EO129" s="3"/>
      <c r="EP129" s="3"/>
      <c r="EQ129" s="3"/>
      <c r="ER129" s="3"/>
      <c r="ES129" s="3"/>
      <c r="ET129" s="3"/>
      <c r="EU129" s="3"/>
      <c r="EV129" s="3"/>
      <c r="EW129" s="3"/>
      <c r="EX129" s="3"/>
      <c r="EY129" s="3"/>
      <c r="EZ129" s="3"/>
      <c r="FA129" s="3"/>
      <c r="FB129" s="3"/>
      <c r="FC129" s="3"/>
      <c r="FD129" s="3"/>
      <c r="FE129" s="3"/>
      <c r="FF129" s="3"/>
      <c r="FG129" s="3"/>
      <c r="FH129" s="3"/>
      <c r="FI129" s="3"/>
      <c r="FJ129" s="3"/>
      <c r="FK129" s="3"/>
      <c r="FL129" s="3"/>
      <c r="FM129" s="3"/>
      <c r="FN129" s="3"/>
      <c r="FO129" s="3"/>
      <c r="FP129" s="3"/>
      <c r="FQ129" s="3"/>
      <c r="FR129" s="3"/>
      <c r="FS129" s="3"/>
      <c r="FT129" s="3"/>
      <c r="FU129" s="3"/>
      <c r="FV129" s="3"/>
      <c r="FW129" s="3"/>
      <c r="FX129" s="3"/>
      <c r="FY129" s="3"/>
      <c r="FZ129" s="3"/>
      <c r="GA129" s="3"/>
      <c r="GB129" s="3"/>
      <c r="GC129" s="3"/>
      <c r="GD129" s="3"/>
      <c r="GE129" s="3"/>
      <c r="GF129" s="3"/>
      <c r="GG129" s="3"/>
      <c r="GH129" s="3"/>
      <c r="GI129" s="3"/>
      <c r="GJ129" s="3"/>
      <c r="GK129" s="3"/>
      <c r="GL129" s="3"/>
      <c r="GM129" s="3"/>
      <c r="GN129" s="3"/>
      <c r="GO129" s="3"/>
      <c r="GP129" s="3"/>
      <c r="GQ129" s="3"/>
      <c r="GR129" s="3"/>
      <c r="GS129" s="3"/>
      <c r="GT129" s="3"/>
      <c r="GU129" s="3"/>
      <c r="GV129" s="3"/>
      <c r="GW129" s="3"/>
      <c r="GX129" s="3"/>
      <c r="GY129" s="3"/>
      <c r="GZ129" s="3"/>
      <c r="HA129" s="3"/>
      <c r="HB129" s="3"/>
      <c r="HC129" s="3"/>
      <c r="HD129" s="3"/>
      <c r="HE129" s="3"/>
      <c r="HF129" s="3"/>
      <c r="HG129" s="3"/>
      <c r="HH129" s="3"/>
      <c r="HI129" s="3"/>
      <c r="HJ129" s="3"/>
      <c r="HK129" s="3"/>
      <c r="HL129" s="3"/>
      <c r="HM129" s="3"/>
      <c r="HN129" s="3"/>
      <c r="HO129" s="3"/>
      <c r="HP129" s="3"/>
      <c r="HQ129" s="3"/>
      <c r="HR129" s="3"/>
      <c r="HS129" s="3"/>
      <c r="HT129" s="3"/>
      <c r="HU129" s="3"/>
      <c r="HV129" s="3"/>
      <c r="HW129" s="3"/>
      <c r="HX129" s="3"/>
      <c r="HY129" s="3"/>
      <c r="HZ129" s="3"/>
      <c r="IA129" s="3"/>
      <c r="IB129" s="3"/>
      <c r="IC129" s="3"/>
      <c r="ID129" s="3"/>
      <c r="IE129" s="3"/>
      <c r="IF129" s="3"/>
      <c r="IG129" s="3"/>
      <c r="IH129" s="3"/>
      <c r="II129" s="3"/>
      <c r="IJ129" s="3"/>
      <c r="IK129" s="3"/>
      <c r="IL129" s="3"/>
    </row>
    <row r="130" spans="1:246" ht="13.9" customHeight="1" x14ac:dyDescent="0.35">
      <c r="A130" s="171" t="s">
        <v>754</v>
      </c>
      <c r="B130" s="172" t="s">
        <v>755</v>
      </c>
      <c r="C130" s="172"/>
      <c r="D130" s="172"/>
      <c r="E130" s="172"/>
      <c r="F130" s="173">
        <v>0</v>
      </c>
      <c r="G130" s="173">
        <v>0</v>
      </c>
      <c r="H130" s="173">
        <v>0</v>
      </c>
      <c r="I130" s="173">
        <f>((Full_Prod_Rate*H115)*(1-Start_Up_Time))+(Full_Prod_Rate*StartUp_Percentage*Start_Up_Time*H115)</f>
        <v>64899367.189701602</v>
      </c>
      <c r="J130" s="173">
        <f t="shared" ref="J130:AL130" si="12">+Full_Prod_Rate*MESP</f>
        <v>74170705.359658971</v>
      </c>
      <c r="K130" s="173">
        <f t="shared" si="12"/>
        <v>74170705.359658971</v>
      </c>
      <c r="L130" s="173">
        <f t="shared" si="12"/>
        <v>74170705.359658971</v>
      </c>
      <c r="M130" s="173">
        <f t="shared" si="12"/>
        <v>74170705.359658971</v>
      </c>
      <c r="N130" s="173">
        <f t="shared" si="12"/>
        <v>74170705.359658971</v>
      </c>
      <c r="O130" s="173">
        <f t="shared" si="12"/>
        <v>74170705.359658971</v>
      </c>
      <c r="P130" s="173">
        <f t="shared" si="12"/>
        <v>74170705.359658971</v>
      </c>
      <c r="Q130" s="173">
        <f t="shared" si="12"/>
        <v>74170705.359658971</v>
      </c>
      <c r="R130" s="173">
        <f t="shared" si="12"/>
        <v>74170705.359658971</v>
      </c>
      <c r="S130" s="173">
        <f t="shared" si="12"/>
        <v>74170705.359658971</v>
      </c>
      <c r="T130" s="173">
        <f t="shared" si="12"/>
        <v>74170705.359658971</v>
      </c>
      <c r="U130" s="173">
        <f t="shared" si="12"/>
        <v>74170705.359658971</v>
      </c>
      <c r="V130" s="173">
        <f t="shared" si="12"/>
        <v>74170705.359658971</v>
      </c>
      <c r="W130" s="173">
        <f t="shared" si="12"/>
        <v>74170705.359658971</v>
      </c>
      <c r="X130" s="173">
        <f t="shared" si="12"/>
        <v>74170705.359658971</v>
      </c>
      <c r="Y130" s="173">
        <f t="shared" si="12"/>
        <v>74170705.359658971</v>
      </c>
      <c r="Z130" s="173">
        <f t="shared" si="12"/>
        <v>74170705.359658971</v>
      </c>
      <c r="AA130" s="173">
        <f t="shared" si="12"/>
        <v>74170705.359658971</v>
      </c>
      <c r="AB130" s="173">
        <f t="shared" si="12"/>
        <v>74170705.359658971</v>
      </c>
      <c r="AC130" s="173">
        <f t="shared" si="12"/>
        <v>74170705.359658971</v>
      </c>
      <c r="AD130" s="173">
        <f t="shared" si="12"/>
        <v>74170705.359658971</v>
      </c>
      <c r="AE130" s="173">
        <f t="shared" si="12"/>
        <v>74170705.359658971</v>
      </c>
      <c r="AF130" s="173">
        <f t="shared" si="12"/>
        <v>74170705.359658971</v>
      </c>
      <c r="AG130" s="173">
        <f t="shared" si="12"/>
        <v>74170705.359658971</v>
      </c>
      <c r="AH130" s="173">
        <f t="shared" si="12"/>
        <v>74170705.359658971</v>
      </c>
      <c r="AI130" s="173">
        <f t="shared" si="12"/>
        <v>74170705.359658971</v>
      </c>
      <c r="AJ130" s="173">
        <f t="shared" si="12"/>
        <v>74170705.359658971</v>
      </c>
      <c r="AK130" s="173">
        <f t="shared" si="12"/>
        <v>74170705.359658971</v>
      </c>
      <c r="AL130" s="174">
        <f t="shared" si="12"/>
        <v>74170705.359658971</v>
      </c>
      <c r="AM130" s="159"/>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c r="CJ130" s="3"/>
      <c r="CK130" s="3"/>
      <c r="CL130" s="3"/>
      <c r="CM130" s="3"/>
      <c r="CN130" s="3"/>
      <c r="CO130" s="3"/>
      <c r="CP130" s="3"/>
      <c r="CQ130" s="3"/>
      <c r="CR130" s="3"/>
      <c r="CS130" s="3"/>
      <c r="CT130" s="3"/>
      <c r="CU130" s="3"/>
      <c r="CV130" s="3"/>
      <c r="CW130" s="3"/>
      <c r="CX130" s="3"/>
      <c r="CY130" s="3"/>
      <c r="CZ130" s="3"/>
      <c r="DA130" s="3"/>
      <c r="DB130" s="3"/>
      <c r="DC130" s="3"/>
      <c r="DD130" s="3"/>
      <c r="DE130" s="3"/>
      <c r="DF130" s="3"/>
      <c r="DG130" s="3"/>
      <c r="DH130" s="3"/>
      <c r="DI130" s="3"/>
      <c r="DJ130" s="3"/>
      <c r="DK130" s="3"/>
      <c r="DL130" s="3"/>
      <c r="DM130" s="3"/>
      <c r="DN130" s="3"/>
      <c r="DO130" s="3"/>
      <c r="DP130" s="3"/>
      <c r="DQ130" s="3"/>
      <c r="DR130" s="3"/>
      <c r="DS130" s="3"/>
      <c r="DT130" s="3"/>
      <c r="DU130" s="3"/>
      <c r="DV130" s="3"/>
      <c r="DW130" s="3"/>
      <c r="DX130" s="3"/>
      <c r="DY130" s="3"/>
      <c r="DZ130" s="3"/>
      <c r="EA130" s="3"/>
      <c r="EB130" s="3"/>
      <c r="EC130" s="3"/>
      <c r="ED130" s="3"/>
      <c r="EE130" s="3"/>
      <c r="EF130" s="3"/>
      <c r="EG130" s="3"/>
      <c r="EH130" s="3"/>
      <c r="EI130" s="3"/>
      <c r="EJ130" s="3"/>
      <c r="EK130" s="3"/>
      <c r="EL130" s="3"/>
      <c r="EM130" s="3"/>
      <c r="EN130" s="3"/>
      <c r="EO130" s="3"/>
      <c r="EP130" s="3"/>
      <c r="EQ130" s="3"/>
      <c r="ER130" s="3"/>
      <c r="ES130" s="3"/>
      <c r="ET130" s="3"/>
      <c r="EU130" s="3"/>
      <c r="EV130" s="3"/>
      <c r="EW130" s="3"/>
      <c r="EX130" s="3"/>
      <c r="EY130" s="3"/>
      <c r="EZ130" s="3"/>
      <c r="FA130" s="3"/>
      <c r="FB130" s="3"/>
      <c r="FC130" s="3"/>
      <c r="FD130" s="3"/>
      <c r="FE130" s="3"/>
      <c r="FF130" s="3"/>
      <c r="FG130" s="3"/>
      <c r="FH130" s="3"/>
      <c r="FI130" s="3"/>
      <c r="FJ130" s="3"/>
      <c r="FK130" s="3"/>
      <c r="FL130" s="3"/>
      <c r="FM130" s="3"/>
      <c r="FN130" s="3"/>
      <c r="FO130" s="3"/>
      <c r="FP130" s="3"/>
      <c r="FQ130" s="3"/>
      <c r="FR130" s="3"/>
      <c r="FS130" s="3"/>
      <c r="FT130" s="3"/>
      <c r="FU130" s="3"/>
      <c r="FV130" s="3"/>
      <c r="FW130" s="3"/>
      <c r="FX130" s="3"/>
      <c r="FY130" s="3"/>
      <c r="FZ130" s="3"/>
      <c r="GA130" s="3"/>
      <c r="GB130" s="3"/>
      <c r="GC130" s="3"/>
      <c r="GD130" s="3"/>
      <c r="GE130" s="3"/>
      <c r="GF130" s="3"/>
      <c r="GG130" s="3"/>
      <c r="GH130" s="3"/>
      <c r="GI130" s="3"/>
      <c r="GJ130" s="3"/>
      <c r="GK130" s="3"/>
      <c r="GL130" s="3"/>
      <c r="GM130" s="3"/>
      <c r="GN130" s="3"/>
      <c r="GO130" s="3"/>
      <c r="GP130" s="3"/>
      <c r="GQ130" s="3"/>
      <c r="GR130" s="3"/>
      <c r="GS130" s="3"/>
      <c r="GT130" s="3"/>
      <c r="GU130" s="3"/>
      <c r="GV130" s="3"/>
      <c r="GW130" s="3"/>
      <c r="GX130" s="3"/>
      <c r="GY130" s="3"/>
      <c r="GZ130" s="3"/>
      <c r="HA130" s="3"/>
      <c r="HB130" s="3"/>
      <c r="HC130" s="3"/>
      <c r="HD130" s="3"/>
      <c r="HE130" s="3"/>
      <c r="HF130" s="3"/>
      <c r="HG130" s="3"/>
      <c r="HH130" s="3"/>
      <c r="HI130" s="3"/>
      <c r="HJ130" s="3"/>
      <c r="HK130" s="3"/>
      <c r="HL130" s="3"/>
      <c r="HM130" s="3"/>
      <c r="HN130" s="3"/>
      <c r="HO130" s="3"/>
      <c r="HP130" s="3"/>
      <c r="HQ130" s="3"/>
      <c r="HR130" s="3"/>
      <c r="HS130" s="3"/>
      <c r="HT130" s="3"/>
      <c r="HU130" s="3"/>
      <c r="HV130" s="3"/>
      <c r="HW130" s="3"/>
      <c r="HX130" s="3"/>
      <c r="HY130" s="3"/>
      <c r="HZ130" s="3"/>
      <c r="IA130" s="3"/>
      <c r="IB130" s="3"/>
      <c r="IC130" s="3"/>
      <c r="ID130" s="3"/>
      <c r="IE130" s="3"/>
      <c r="IF130" s="3"/>
      <c r="IG130" s="3"/>
      <c r="IH130" s="3"/>
      <c r="II130" s="3"/>
      <c r="IJ130" s="3"/>
      <c r="IK130" s="3"/>
      <c r="IL130" s="3"/>
    </row>
    <row r="131" spans="1:246" ht="13.9" customHeight="1" x14ac:dyDescent="0.35">
      <c r="A131" s="171"/>
      <c r="B131" s="21" t="s">
        <v>466</v>
      </c>
      <c r="C131" s="172"/>
      <c r="D131" s="172"/>
      <c r="E131" s="172"/>
      <c r="F131" s="173"/>
      <c r="G131" s="173"/>
      <c r="H131" s="173"/>
      <c r="I131" s="173">
        <f>(((1000000*$H$47)*(1-Start_Up_Time))+(StartUp_Percentage*Start_Up_Time*1000000*H47))*F86</f>
        <v>2876123.6875</v>
      </c>
      <c r="J131" s="173">
        <f>1000000*$H$47*$F$86</f>
        <v>3286998.5</v>
      </c>
      <c r="K131" s="173">
        <f>1000000*$H$47*$F$86</f>
        <v>3286998.5</v>
      </c>
      <c r="L131" s="173">
        <f t="shared" ref="L131:AL131" si="13">1000000*$H$47*$F$86</f>
        <v>3286998.5</v>
      </c>
      <c r="M131" s="173">
        <f t="shared" si="13"/>
        <v>3286998.5</v>
      </c>
      <c r="N131" s="173">
        <f t="shared" si="13"/>
        <v>3286998.5</v>
      </c>
      <c r="O131" s="173">
        <f t="shared" si="13"/>
        <v>3286998.5</v>
      </c>
      <c r="P131" s="173">
        <f t="shared" si="13"/>
        <v>3286998.5</v>
      </c>
      <c r="Q131" s="173">
        <f t="shared" si="13"/>
        <v>3286998.5</v>
      </c>
      <c r="R131" s="173">
        <f t="shared" si="13"/>
        <v>3286998.5</v>
      </c>
      <c r="S131" s="173">
        <f t="shared" si="13"/>
        <v>3286998.5</v>
      </c>
      <c r="T131" s="173">
        <f t="shared" si="13"/>
        <v>3286998.5</v>
      </c>
      <c r="U131" s="173">
        <f t="shared" si="13"/>
        <v>3286998.5</v>
      </c>
      <c r="V131" s="173">
        <f t="shared" si="13"/>
        <v>3286998.5</v>
      </c>
      <c r="W131" s="173">
        <f t="shared" si="13"/>
        <v>3286998.5</v>
      </c>
      <c r="X131" s="173">
        <f t="shared" si="13"/>
        <v>3286998.5</v>
      </c>
      <c r="Y131" s="173">
        <f t="shared" si="13"/>
        <v>3286998.5</v>
      </c>
      <c r="Z131" s="173">
        <f t="shared" si="13"/>
        <v>3286998.5</v>
      </c>
      <c r="AA131" s="173">
        <f t="shared" si="13"/>
        <v>3286998.5</v>
      </c>
      <c r="AB131" s="173">
        <f t="shared" si="13"/>
        <v>3286998.5</v>
      </c>
      <c r="AC131" s="173">
        <f t="shared" si="13"/>
        <v>3286998.5</v>
      </c>
      <c r="AD131" s="173">
        <f t="shared" si="13"/>
        <v>3286998.5</v>
      </c>
      <c r="AE131" s="173">
        <f t="shared" si="13"/>
        <v>3286998.5</v>
      </c>
      <c r="AF131" s="173">
        <f t="shared" si="13"/>
        <v>3286998.5</v>
      </c>
      <c r="AG131" s="173">
        <f t="shared" si="13"/>
        <v>3286998.5</v>
      </c>
      <c r="AH131" s="173">
        <f t="shared" si="13"/>
        <v>3286998.5</v>
      </c>
      <c r="AI131" s="173">
        <f t="shared" si="13"/>
        <v>3286998.5</v>
      </c>
      <c r="AJ131" s="173">
        <f t="shared" si="13"/>
        <v>3286998.5</v>
      </c>
      <c r="AK131" s="173">
        <f t="shared" si="13"/>
        <v>3286998.5</v>
      </c>
      <c r="AL131" s="173">
        <f t="shared" si="13"/>
        <v>3286998.5</v>
      </c>
      <c r="AM131" s="159"/>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c r="CJ131" s="3"/>
      <c r="CK131" s="3"/>
      <c r="CL131" s="3"/>
      <c r="CM131" s="3"/>
      <c r="CN131" s="3"/>
      <c r="CO131" s="3"/>
      <c r="CP131" s="3"/>
      <c r="CQ131" s="3"/>
      <c r="CR131" s="3"/>
      <c r="CS131" s="3"/>
      <c r="CT131" s="3"/>
      <c r="CU131" s="3"/>
      <c r="CV131" s="3"/>
      <c r="CW131" s="3"/>
      <c r="CX131" s="3"/>
      <c r="CY131" s="3"/>
      <c r="CZ131" s="3"/>
      <c r="DA131" s="3"/>
      <c r="DB131" s="3"/>
      <c r="DC131" s="3"/>
      <c r="DD131" s="3"/>
      <c r="DE131" s="3"/>
      <c r="DF131" s="3"/>
      <c r="DG131" s="3"/>
      <c r="DH131" s="3"/>
      <c r="DI131" s="3"/>
      <c r="DJ131" s="3"/>
      <c r="DK131" s="3"/>
      <c r="DL131" s="3"/>
      <c r="DM131" s="3"/>
      <c r="DN131" s="3"/>
      <c r="DO131" s="3"/>
      <c r="DP131" s="3"/>
      <c r="DQ131" s="3"/>
      <c r="DR131" s="3"/>
      <c r="DS131" s="3"/>
      <c r="DT131" s="3"/>
      <c r="DU131" s="3"/>
      <c r="DV131" s="3"/>
      <c r="DW131" s="3"/>
      <c r="DX131" s="3"/>
      <c r="DY131" s="3"/>
      <c r="DZ131" s="3"/>
      <c r="EA131" s="3"/>
      <c r="EB131" s="3"/>
      <c r="EC131" s="3"/>
      <c r="ED131" s="3"/>
      <c r="EE131" s="3"/>
      <c r="EF131" s="3"/>
      <c r="EG131" s="3"/>
      <c r="EH131" s="3"/>
      <c r="EI131" s="3"/>
      <c r="EJ131" s="3"/>
      <c r="EK131" s="3"/>
      <c r="EL131" s="3"/>
      <c r="EM131" s="3"/>
      <c r="EN131" s="3"/>
      <c r="EO131" s="3"/>
      <c r="EP131" s="3"/>
      <c r="EQ131" s="3"/>
      <c r="ER131" s="3"/>
      <c r="ES131" s="3"/>
      <c r="ET131" s="3"/>
      <c r="EU131" s="3"/>
      <c r="EV131" s="3"/>
      <c r="EW131" s="3"/>
      <c r="EX131" s="3"/>
      <c r="EY131" s="3"/>
      <c r="EZ131" s="3"/>
      <c r="FA131" s="3"/>
      <c r="FB131" s="3"/>
      <c r="FC131" s="3"/>
      <c r="FD131" s="3"/>
      <c r="FE131" s="3"/>
      <c r="FF131" s="3"/>
      <c r="FG131" s="3"/>
      <c r="FH131" s="3"/>
      <c r="FI131" s="3"/>
      <c r="FJ131" s="3"/>
      <c r="FK131" s="3"/>
      <c r="FL131" s="3"/>
      <c r="FM131" s="3"/>
      <c r="FN131" s="3"/>
      <c r="FO131" s="3"/>
      <c r="FP131" s="3"/>
      <c r="FQ131" s="3"/>
      <c r="FR131" s="3"/>
      <c r="FS131" s="3"/>
      <c r="FT131" s="3"/>
      <c r="FU131" s="3"/>
      <c r="FV131" s="3"/>
      <c r="FW131" s="3"/>
      <c r="FX131" s="3"/>
      <c r="FY131" s="3"/>
      <c r="FZ131" s="3"/>
      <c r="GA131" s="3"/>
      <c r="GB131" s="3"/>
      <c r="GC131" s="3"/>
      <c r="GD131" s="3"/>
      <c r="GE131" s="3"/>
      <c r="GF131" s="3"/>
      <c r="GG131" s="3"/>
      <c r="GH131" s="3"/>
      <c r="GI131" s="3"/>
      <c r="GJ131" s="3"/>
      <c r="GK131" s="3"/>
      <c r="GL131" s="3"/>
      <c r="GM131" s="3"/>
      <c r="GN131" s="3"/>
      <c r="GO131" s="3"/>
      <c r="GP131" s="3"/>
      <c r="GQ131" s="3"/>
      <c r="GR131" s="3"/>
      <c r="GS131" s="3"/>
      <c r="GT131" s="3"/>
      <c r="GU131" s="3"/>
      <c r="GV131" s="3"/>
      <c r="GW131" s="3"/>
      <c r="GX131" s="3"/>
      <c r="GY131" s="3"/>
      <c r="GZ131" s="3"/>
      <c r="HA131" s="3"/>
      <c r="HB131" s="3"/>
      <c r="HC131" s="3"/>
      <c r="HD131" s="3"/>
      <c r="HE131" s="3"/>
      <c r="HF131" s="3"/>
      <c r="HG131" s="3"/>
      <c r="HH131" s="3"/>
      <c r="HI131" s="3"/>
      <c r="HJ131" s="3"/>
      <c r="HK131" s="3"/>
      <c r="HL131" s="3"/>
      <c r="HM131" s="3"/>
      <c r="HN131" s="3"/>
      <c r="HO131" s="3"/>
      <c r="HP131" s="3"/>
      <c r="HQ131" s="3"/>
      <c r="HR131" s="3"/>
      <c r="HS131" s="3"/>
      <c r="HT131" s="3"/>
      <c r="HU131" s="3"/>
      <c r="HV131" s="3"/>
      <c r="HW131" s="3"/>
      <c r="HX131" s="3"/>
      <c r="HY131" s="3"/>
      <c r="HZ131" s="3"/>
      <c r="IA131" s="3"/>
      <c r="IB131" s="3"/>
      <c r="IC131" s="3"/>
      <c r="ID131" s="3"/>
      <c r="IE131" s="3"/>
      <c r="IF131" s="3"/>
      <c r="IG131" s="3"/>
      <c r="IH131" s="3"/>
      <c r="II131" s="3"/>
      <c r="IJ131" s="3"/>
      <c r="IK131" s="3"/>
      <c r="IL131" s="3"/>
    </row>
    <row r="132" spans="1:246" ht="13.9" customHeight="1" x14ac:dyDescent="0.35">
      <c r="A132" s="171"/>
      <c r="B132" s="21" t="s">
        <v>790</v>
      </c>
      <c r="C132" s="172"/>
      <c r="D132" s="172"/>
      <c r="E132" s="172"/>
      <c r="F132" s="173">
        <f>F130+F131</f>
        <v>0</v>
      </c>
      <c r="G132" s="173">
        <f t="shared" ref="G132:AL132" si="14">G130+G131</f>
        <v>0</v>
      </c>
      <c r="H132" s="173">
        <f t="shared" si="14"/>
        <v>0</v>
      </c>
      <c r="I132" s="173">
        <f>I130+I131</f>
        <v>67775490.877201602</v>
      </c>
      <c r="J132" s="173">
        <f t="shared" si="14"/>
        <v>77457703.859658971</v>
      </c>
      <c r="K132" s="173">
        <f t="shared" si="14"/>
        <v>77457703.859658971</v>
      </c>
      <c r="L132" s="173">
        <f t="shared" si="14"/>
        <v>77457703.859658971</v>
      </c>
      <c r="M132" s="173">
        <f t="shared" si="14"/>
        <v>77457703.859658971</v>
      </c>
      <c r="N132" s="173">
        <f t="shared" si="14"/>
        <v>77457703.859658971</v>
      </c>
      <c r="O132" s="173">
        <f t="shared" si="14"/>
        <v>77457703.859658971</v>
      </c>
      <c r="P132" s="173">
        <f t="shared" si="14"/>
        <v>77457703.859658971</v>
      </c>
      <c r="Q132" s="173">
        <f t="shared" si="14"/>
        <v>77457703.859658971</v>
      </c>
      <c r="R132" s="173">
        <f t="shared" si="14"/>
        <v>77457703.859658971</v>
      </c>
      <c r="S132" s="173">
        <f t="shared" si="14"/>
        <v>77457703.859658971</v>
      </c>
      <c r="T132" s="173">
        <f t="shared" si="14"/>
        <v>77457703.859658971</v>
      </c>
      <c r="U132" s="173">
        <f t="shared" si="14"/>
        <v>77457703.859658971</v>
      </c>
      <c r="V132" s="173">
        <f t="shared" si="14"/>
        <v>77457703.859658971</v>
      </c>
      <c r="W132" s="173">
        <f t="shared" si="14"/>
        <v>77457703.859658971</v>
      </c>
      <c r="X132" s="173">
        <f t="shared" si="14"/>
        <v>77457703.859658971</v>
      </c>
      <c r="Y132" s="173">
        <f t="shared" si="14"/>
        <v>77457703.859658971</v>
      </c>
      <c r="Z132" s="173">
        <f t="shared" si="14"/>
        <v>77457703.859658971</v>
      </c>
      <c r="AA132" s="173">
        <f t="shared" si="14"/>
        <v>77457703.859658971</v>
      </c>
      <c r="AB132" s="173">
        <f t="shared" si="14"/>
        <v>77457703.859658971</v>
      </c>
      <c r="AC132" s="173">
        <f t="shared" si="14"/>
        <v>77457703.859658971</v>
      </c>
      <c r="AD132" s="173">
        <f t="shared" si="14"/>
        <v>77457703.859658971</v>
      </c>
      <c r="AE132" s="173">
        <f t="shared" si="14"/>
        <v>77457703.859658971</v>
      </c>
      <c r="AF132" s="173">
        <f t="shared" si="14"/>
        <v>77457703.859658971</v>
      </c>
      <c r="AG132" s="173">
        <f t="shared" si="14"/>
        <v>77457703.859658971</v>
      </c>
      <c r="AH132" s="173">
        <f t="shared" si="14"/>
        <v>77457703.859658971</v>
      </c>
      <c r="AI132" s="173">
        <f t="shared" si="14"/>
        <v>77457703.859658971</v>
      </c>
      <c r="AJ132" s="173">
        <f t="shared" si="14"/>
        <v>77457703.859658971</v>
      </c>
      <c r="AK132" s="173">
        <f t="shared" si="14"/>
        <v>77457703.859658971</v>
      </c>
      <c r="AL132" s="173">
        <f t="shared" si="14"/>
        <v>77457703.859658971</v>
      </c>
      <c r="AM132" s="159"/>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c r="CI132" s="3"/>
      <c r="CJ132" s="3"/>
      <c r="CK132" s="3"/>
      <c r="CL132" s="3"/>
      <c r="CM132" s="3"/>
      <c r="CN132" s="3"/>
      <c r="CO132" s="3"/>
      <c r="CP132" s="3"/>
      <c r="CQ132" s="3"/>
      <c r="CR132" s="3"/>
      <c r="CS132" s="3"/>
      <c r="CT132" s="3"/>
      <c r="CU132" s="3"/>
      <c r="CV132" s="3"/>
      <c r="CW132" s="3"/>
      <c r="CX132" s="3"/>
      <c r="CY132" s="3"/>
      <c r="CZ132" s="3"/>
      <c r="DA132" s="3"/>
      <c r="DB132" s="3"/>
      <c r="DC132" s="3"/>
      <c r="DD132" s="3"/>
      <c r="DE132" s="3"/>
      <c r="DF132" s="3"/>
      <c r="DG132" s="3"/>
      <c r="DH132" s="3"/>
      <c r="DI132" s="3"/>
      <c r="DJ132" s="3"/>
      <c r="DK132" s="3"/>
      <c r="DL132" s="3"/>
      <c r="DM132" s="3"/>
      <c r="DN132" s="3"/>
      <c r="DO132" s="3"/>
      <c r="DP132" s="3"/>
      <c r="DQ132" s="3"/>
      <c r="DR132" s="3"/>
      <c r="DS132" s="3"/>
      <c r="DT132" s="3"/>
      <c r="DU132" s="3"/>
      <c r="DV132" s="3"/>
      <c r="DW132" s="3"/>
      <c r="DX132" s="3"/>
      <c r="DY132" s="3"/>
      <c r="DZ132" s="3"/>
      <c r="EA132" s="3"/>
      <c r="EB132" s="3"/>
      <c r="EC132" s="3"/>
      <c r="ED132" s="3"/>
      <c r="EE132" s="3"/>
      <c r="EF132" s="3"/>
      <c r="EG132" s="3"/>
      <c r="EH132" s="3"/>
      <c r="EI132" s="3"/>
      <c r="EJ132" s="3"/>
      <c r="EK132" s="3"/>
      <c r="EL132" s="3"/>
      <c r="EM132" s="3"/>
      <c r="EN132" s="3"/>
      <c r="EO132" s="3"/>
      <c r="EP132" s="3"/>
      <c r="EQ132" s="3"/>
      <c r="ER132" s="3"/>
      <c r="ES132" s="3"/>
      <c r="ET132" s="3"/>
      <c r="EU132" s="3"/>
      <c r="EV132" s="3"/>
      <c r="EW132" s="3"/>
      <c r="EX132" s="3"/>
      <c r="EY132" s="3"/>
      <c r="EZ132" s="3"/>
      <c r="FA132" s="3"/>
      <c r="FB132" s="3"/>
      <c r="FC132" s="3"/>
      <c r="FD132" s="3"/>
      <c r="FE132" s="3"/>
      <c r="FF132" s="3"/>
      <c r="FG132" s="3"/>
      <c r="FH132" s="3"/>
      <c r="FI132" s="3"/>
      <c r="FJ132" s="3"/>
      <c r="FK132" s="3"/>
      <c r="FL132" s="3"/>
      <c r="FM132" s="3"/>
      <c r="FN132" s="3"/>
      <c r="FO132" s="3"/>
      <c r="FP132" s="3"/>
      <c r="FQ132" s="3"/>
      <c r="FR132" s="3"/>
      <c r="FS132" s="3"/>
      <c r="FT132" s="3"/>
      <c r="FU132" s="3"/>
      <c r="FV132" s="3"/>
      <c r="FW132" s="3"/>
      <c r="FX132" s="3"/>
      <c r="FY132" s="3"/>
      <c r="FZ132" s="3"/>
      <c r="GA132" s="3"/>
      <c r="GB132" s="3"/>
      <c r="GC132" s="3"/>
      <c r="GD132" s="3"/>
      <c r="GE132" s="3"/>
      <c r="GF132" s="3"/>
      <c r="GG132" s="3"/>
      <c r="GH132" s="3"/>
      <c r="GI132" s="3"/>
      <c r="GJ132" s="3"/>
      <c r="GK132" s="3"/>
      <c r="GL132" s="3"/>
      <c r="GM132" s="3"/>
      <c r="GN132" s="3"/>
      <c r="GO132" s="3"/>
      <c r="GP132" s="3"/>
      <c r="GQ132" s="3"/>
      <c r="GR132" s="3"/>
      <c r="GS132" s="3"/>
      <c r="GT132" s="3"/>
      <c r="GU132" s="3"/>
      <c r="GV132" s="3"/>
      <c r="GW132" s="3"/>
      <c r="GX132" s="3"/>
      <c r="GY132" s="3"/>
      <c r="GZ132" s="3"/>
      <c r="HA132" s="3"/>
      <c r="HB132" s="3"/>
      <c r="HC132" s="3"/>
      <c r="HD132" s="3"/>
      <c r="HE132" s="3"/>
      <c r="HF132" s="3"/>
      <c r="HG132" s="3"/>
      <c r="HH132" s="3"/>
      <c r="HI132" s="3"/>
      <c r="HJ132" s="3"/>
      <c r="HK132" s="3"/>
      <c r="HL132" s="3"/>
      <c r="HM132" s="3"/>
      <c r="HN132" s="3"/>
      <c r="HO132" s="3"/>
      <c r="HP132" s="3"/>
      <c r="HQ132" s="3"/>
      <c r="HR132" s="3"/>
      <c r="HS132" s="3"/>
      <c r="HT132" s="3"/>
      <c r="HU132" s="3"/>
      <c r="HV132" s="3"/>
      <c r="HW132" s="3"/>
      <c r="HX132" s="3"/>
      <c r="HY132" s="3"/>
      <c r="HZ132" s="3"/>
      <c r="IA132" s="3"/>
      <c r="IB132" s="3"/>
      <c r="IC132" s="3"/>
      <c r="ID132" s="3"/>
      <c r="IE132" s="3"/>
      <c r="IF132" s="3"/>
      <c r="IG132" s="3"/>
      <c r="IH132" s="3"/>
      <c r="II132" s="3"/>
      <c r="IJ132" s="3"/>
      <c r="IK132" s="3"/>
      <c r="IL132" s="3"/>
    </row>
    <row r="133" spans="1:246" s="131" customFormat="1" ht="4.9000000000000004" customHeight="1" x14ac:dyDescent="0.35">
      <c r="A133" s="188"/>
      <c r="B133" s="189"/>
      <c r="C133" s="189"/>
      <c r="D133" s="189"/>
      <c r="E133" s="189"/>
      <c r="F133" s="190"/>
      <c r="G133" s="190"/>
      <c r="H133" s="190"/>
      <c r="I133" s="190"/>
      <c r="J133" s="190"/>
      <c r="K133" s="190"/>
      <c r="L133" s="190"/>
      <c r="M133" s="190"/>
      <c r="N133" s="190"/>
      <c r="O133" s="190"/>
      <c r="P133" s="190"/>
      <c r="Q133" s="190"/>
      <c r="R133" s="190"/>
      <c r="S133" s="190"/>
      <c r="T133" s="190"/>
      <c r="U133" s="190"/>
      <c r="V133" s="190"/>
      <c r="W133" s="190"/>
      <c r="X133" s="190"/>
      <c r="Y133" s="190"/>
      <c r="Z133" s="190"/>
      <c r="AA133" s="190"/>
      <c r="AB133" s="190"/>
      <c r="AC133" s="190"/>
      <c r="AD133" s="190"/>
      <c r="AE133" s="190"/>
      <c r="AF133" s="190"/>
      <c r="AG133" s="190"/>
      <c r="AH133" s="190"/>
      <c r="AI133" s="190"/>
      <c r="AJ133" s="190"/>
      <c r="AK133" s="190"/>
      <c r="AL133" s="191"/>
      <c r="AM133" s="192"/>
    </row>
    <row r="134" spans="1:246" x14ac:dyDescent="0.35">
      <c r="A134" s="171" t="s">
        <v>756</v>
      </c>
      <c r="B134" s="172"/>
      <c r="C134" s="172"/>
      <c r="D134" s="172"/>
      <c r="E134" s="172"/>
      <c r="F134" s="173"/>
      <c r="G134" s="173"/>
      <c r="H134" s="173"/>
      <c r="I134" s="173">
        <f>(OPEX*(1-Start_Up_Time))+(OPEX*Start_Up_Time*StartUp_Percentage)</f>
        <v>49621896.23336032</v>
      </c>
      <c r="J134" s="173">
        <f>OPEX</f>
        <v>56710738.552411795</v>
      </c>
      <c r="K134" s="173">
        <f t="shared" ref="K134:AL134" si="15">OPEX</f>
        <v>56710738.552411795</v>
      </c>
      <c r="L134" s="173">
        <f t="shared" si="15"/>
        <v>56710738.552411795</v>
      </c>
      <c r="M134" s="173">
        <f t="shared" si="15"/>
        <v>56710738.552411795</v>
      </c>
      <c r="N134" s="173">
        <f t="shared" si="15"/>
        <v>56710738.552411795</v>
      </c>
      <c r="O134" s="173">
        <f t="shared" si="15"/>
        <v>56710738.552411795</v>
      </c>
      <c r="P134" s="173">
        <f t="shared" si="15"/>
        <v>56710738.552411795</v>
      </c>
      <c r="Q134" s="173">
        <f t="shared" si="15"/>
        <v>56710738.552411795</v>
      </c>
      <c r="R134" s="173">
        <f t="shared" si="15"/>
        <v>56710738.552411795</v>
      </c>
      <c r="S134" s="173">
        <f t="shared" si="15"/>
        <v>56710738.552411795</v>
      </c>
      <c r="T134" s="173">
        <f t="shared" si="15"/>
        <v>56710738.552411795</v>
      </c>
      <c r="U134" s="173">
        <f t="shared" si="15"/>
        <v>56710738.552411795</v>
      </c>
      <c r="V134" s="173">
        <f t="shared" si="15"/>
        <v>56710738.552411795</v>
      </c>
      <c r="W134" s="173">
        <f t="shared" si="15"/>
        <v>56710738.552411795</v>
      </c>
      <c r="X134" s="173">
        <f t="shared" si="15"/>
        <v>56710738.552411795</v>
      </c>
      <c r="Y134" s="173">
        <f t="shared" si="15"/>
        <v>56710738.552411795</v>
      </c>
      <c r="Z134" s="173">
        <f t="shared" si="15"/>
        <v>56710738.552411795</v>
      </c>
      <c r="AA134" s="173">
        <f t="shared" si="15"/>
        <v>56710738.552411795</v>
      </c>
      <c r="AB134" s="173">
        <f t="shared" si="15"/>
        <v>56710738.552411795</v>
      </c>
      <c r="AC134" s="173">
        <f t="shared" si="15"/>
        <v>56710738.552411795</v>
      </c>
      <c r="AD134" s="173">
        <f t="shared" si="15"/>
        <v>56710738.552411795</v>
      </c>
      <c r="AE134" s="173">
        <f t="shared" si="15"/>
        <v>56710738.552411795</v>
      </c>
      <c r="AF134" s="173">
        <f t="shared" si="15"/>
        <v>56710738.552411795</v>
      </c>
      <c r="AG134" s="173">
        <f t="shared" si="15"/>
        <v>56710738.552411795</v>
      </c>
      <c r="AH134" s="173">
        <f t="shared" si="15"/>
        <v>56710738.552411795</v>
      </c>
      <c r="AI134" s="173">
        <f t="shared" si="15"/>
        <v>56710738.552411795</v>
      </c>
      <c r="AJ134" s="173">
        <f t="shared" si="15"/>
        <v>56710738.552411795</v>
      </c>
      <c r="AK134" s="173">
        <f t="shared" si="15"/>
        <v>56710738.552411795</v>
      </c>
      <c r="AL134" s="174">
        <f t="shared" si="15"/>
        <v>56710738.552411795</v>
      </c>
      <c r="AM134" s="159"/>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c r="CJ134" s="3"/>
      <c r="CK134" s="3"/>
      <c r="CL134" s="3"/>
      <c r="CM134" s="3"/>
      <c r="CN134" s="3"/>
      <c r="CO134" s="3"/>
      <c r="CP134" s="3"/>
      <c r="CQ134" s="3"/>
      <c r="CR134" s="3"/>
      <c r="CS134" s="3"/>
      <c r="CT134" s="3"/>
      <c r="CU134" s="3"/>
      <c r="CV134" s="3"/>
      <c r="CW134" s="3"/>
      <c r="CX134" s="3"/>
      <c r="CY134" s="3"/>
      <c r="CZ134" s="3"/>
      <c r="DA134" s="3"/>
      <c r="DB134" s="3"/>
      <c r="DC134" s="3"/>
      <c r="DD134" s="3"/>
      <c r="DE134" s="3"/>
      <c r="DF134" s="3"/>
      <c r="DG134" s="3"/>
      <c r="DH134" s="3"/>
      <c r="DI134" s="3"/>
      <c r="DJ134" s="3"/>
      <c r="DK134" s="3"/>
      <c r="DL134" s="3"/>
      <c r="DM134" s="3"/>
      <c r="DN134" s="3"/>
      <c r="DO134" s="3"/>
      <c r="DP134" s="3"/>
      <c r="DQ134" s="3"/>
      <c r="DR134" s="3"/>
      <c r="DS134" s="3"/>
      <c r="DT134" s="3"/>
      <c r="DU134" s="3"/>
      <c r="DV134" s="3"/>
      <c r="DW134" s="3"/>
      <c r="DX134" s="3"/>
      <c r="DY134" s="3"/>
      <c r="DZ134" s="3"/>
      <c r="EA134" s="3"/>
      <c r="EB134" s="3"/>
      <c r="EC134" s="3"/>
      <c r="ED134" s="3"/>
      <c r="EE134" s="3"/>
      <c r="EF134" s="3"/>
      <c r="EG134" s="3"/>
      <c r="EH134" s="3"/>
      <c r="EI134" s="3"/>
      <c r="EJ134" s="3"/>
      <c r="EK134" s="3"/>
      <c r="EL134" s="3"/>
      <c r="EM134" s="3"/>
      <c r="EN134" s="3"/>
      <c r="EO134" s="3"/>
      <c r="EP134" s="3"/>
      <c r="EQ134" s="3"/>
      <c r="ER134" s="3"/>
      <c r="ES134" s="3"/>
      <c r="ET134" s="3"/>
      <c r="EU134" s="3"/>
      <c r="EV134" s="3"/>
      <c r="EW134" s="3"/>
      <c r="EX134" s="3"/>
      <c r="EY134" s="3"/>
      <c r="EZ134" s="3"/>
      <c r="FA134" s="3"/>
      <c r="FB134" s="3"/>
      <c r="FC134" s="3"/>
      <c r="FD134" s="3"/>
      <c r="FE134" s="3"/>
      <c r="FF134" s="3"/>
      <c r="FG134" s="3"/>
      <c r="FH134" s="3"/>
      <c r="FI134" s="3"/>
      <c r="FJ134" s="3"/>
      <c r="FK134" s="3"/>
      <c r="FL134" s="3"/>
      <c r="FM134" s="3"/>
      <c r="FN134" s="3"/>
      <c r="FO134" s="3"/>
      <c r="FP134" s="3"/>
      <c r="FQ134" s="3"/>
      <c r="FR134" s="3"/>
      <c r="FS134" s="3"/>
      <c r="FT134" s="3"/>
      <c r="FU134" s="3"/>
      <c r="FV134" s="3"/>
      <c r="FW134" s="3"/>
      <c r="FX134" s="3"/>
      <c r="FY134" s="3"/>
      <c r="FZ134" s="3"/>
      <c r="GA134" s="3"/>
      <c r="GB134" s="3"/>
      <c r="GC134" s="3"/>
      <c r="GD134" s="3"/>
      <c r="GE134" s="3"/>
      <c r="GF134" s="3"/>
      <c r="GG134" s="3"/>
      <c r="GH134" s="3"/>
      <c r="GI134" s="3"/>
      <c r="GJ134" s="3"/>
      <c r="GK134" s="3"/>
      <c r="GL134" s="3"/>
      <c r="GM134" s="3"/>
      <c r="GN134" s="3"/>
      <c r="GO134" s="3"/>
      <c r="GP134" s="3"/>
      <c r="GQ134" s="3"/>
      <c r="GR134" s="3"/>
      <c r="GS134" s="3"/>
      <c r="GT134" s="3"/>
      <c r="GU134" s="3"/>
      <c r="GV134" s="3"/>
      <c r="GW134" s="3"/>
      <c r="GX134" s="3"/>
      <c r="GY134" s="3"/>
      <c r="GZ134" s="3"/>
      <c r="HA134" s="3"/>
      <c r="HB134" s="3"/>
      <c r="HC134" s="3"/>
      <c r="HD134" s="3"/>
      <c r="HE134" s="3"/>
      <c r="HF134" s="3"/>
      <c r="HG134" s="3"/>
      <c r="HH134" s="3"/>
      <c r="HI134" s="3"/>
      <c r="HJ134" s="3"/>
      <c r="HK134" s="3"/>
      <c r="HL134" s="3"/>
      <c r="HM134" s="3"/>
      <c r="HN134" s="3"/>
      <c r="HO134" s="3"/>
      <c r="HP134" s="3"/>
      <c r="HQ134" s="3"/>
      <c r="HR134" s="3"/>
      <c r="HS134" s="3"/>
      <c r="HT134" s="3"/>
      <c r="HU134" s="3"/>
      <c r="HV134" s="3"/>
      <c r="HW134" s="3"/>
      <c r="HX134" s="3"/>
      <c r="HY134" s="3"/>
      <c r="HZ134" s="3"/>
      <c r="IA134" s="3"/>
      <c r="IB134" s="3"/>
      <c r="IC134" s="3"/>
      <c r="ID134" s="3"/>
      <c r="IE134" s="3"/>
      <c r="IF134" s="3"/>
      <c r="IG134" s="3"/>
      <c r="IH134" s="3"/>
      <c r="II134" s="3"/>
      <c r="IJ134" s="3"/>
      <c r="IK134" s="3"/>
      <c r="IL134" s="3"/>
    </row>
    <row r="135" spans="1:246" s="131" customFormat="1" ht="4.9000000000000004" customHeight="1" x14ac:dyDescent="0.35">
      <c r="A135" s="188"/>
      <c r="B135" s="189"/>
      <c r="C135" s="189"/>
      <c r="D135" s="189"/>
      <c r="E135" s="189"/>
      <c r="F135" s="190"/>
      <c r="G135" s="190"/>
      <c r="H135" s="190"/>
      <c r="I135" s="190"/>
      <c r="J135" s="190"/>
      <c r="K135" s="190"/>
      <c r="L135" s="190"/>
      <c r="M135" s="190"/>
      <c r="N135" s="190"/>
      <c r="O135" s="190"/>
      <c r="P135" s="190"/>
      <c r="Q135" s="190"/>
      <c r="R135" s="190"/>
      <c r="S135" s="190"/>
      <c r="T135" s="190"/>
      <c r="U135" s="190"/>
      <c r="V135" s="190"/>
      <c r="W135" s="190"/>
      <c r="X135" s="190"/>
      <c r="Y135" s="190"/>
      <c r="Z135" s="190"/>
      <c r="AA135" s="190"/>
      <c r="AB135" s="190"/>
      <c r="AC135" s="190"/>
      <c r="AD135" s="190"/>
      <c r="AE135" s="190"/>
      <c r="AF135" s="190"/>
      <c r="AG135" s="190"/>
      <c r="AH135" s="190"/>
      <c r="AI135" s="190"/>
      <c r="AJ135" s="190"/>
      <c r="AK135" s="190"/>
      <c r="AL135" s="191"/>
      <c r="AM135" s="159"/>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c r="DA135" s="3"/>
      <c r="DB135" s="3"/>
      <c r="DC135" s="3"/>
      <c r="DD135" s="3"/>
      <c r="DE135" s="3"/>
      <c r="DF135" s="3"/>
      <c r="DG135" s="3"/>
      <c r="DH135" s="3"/>
      <c r="DI135" s="3"/>
      <c r="DJ135" s="3"/>
      <c r="DK135" s="3"/>
      <c r="DL135" s="3"/>
      <c r="DM135" s="3"/>
      <c r="DN135" s="3"/>
      <c r="DO135" s="3"/>
      <c r="DP135" s="3"/>
      <c r="DQ135" s="3"/>
      <c r="DR135" s="3"/>
      <c r="DS135" s="3"/>
      <c r="DT135" s="3"/>
      <c r="DU135" s="3"/>
      <c r="DV135" s="3"/>
      <c r="DW135" s="3"/>
      <c r="DX135" s="3"/>
      <c r="DY135" s="3"/>
      <c r="DZ135" s="3"/>
      <c r="EA135" s="3"/>
      <c r="EB135" s="3"/>
      <c r="EC135" s="3"/>
      <c r="ED135" s="3"/>
      <c r="EE135" s="3"/>
      <c r="EF135" s="3"/>
      <c r="EG135" s="3"/>
      <c r="EH135" s="3"/>
      <c r="EI135" s="3"/>
      <c r="EJ135" s="3"/>
      <c r="EK135" s="3"/>
      <c r="EL135" s="3"/>
      <c r="EM135" s="3"/>
      <c r="EN135" s="3"/>
      <c r="EO135" s="3"/>
      <c r="EP135" s="3"/>
      <c r="EQ135" s="3"/>
      <c r="ER135" s="3"/>
      <c r="ES135" s="3"/>
      <c r="ET135" s="3"/>
      <c r="EU135" s="3"/>
      <c r="EV135" s="3"/>
      <c r="EW135" s="3"/>
      <c r="EX135" s="3"/>
      <c r="EY135" s="3"/>
      <c r="EZ135" s="3"/>
      <c r="FA135" s="3"/>
      <c r="FB135" s="3"/>
      <c r="FC135" s="3"/>
      <c r="FD135" s="3"/>
      <c r="FE135" s="3"/>
      <c r="FF135" s="3"/>
      <c r="FG135" s="3"/>
      <c r="FH135" s="3"/>
      <c r="FI135" s="3"/>
      <c r="FJ135" s="3"/>
      <c r="FK135" s="3"/>
      <c r="FL135" s="3"/>
      <c r="FM135" s="3"/>
      <c r="FN135" s="3"/>
      <c r="FO135" s="3"/>
      <c r="FP135" s="3"/>
      <c r="FQ135" s="3"/>
      <c r="FR135" s="3"/>
      <c r="FS135" s="3"/>
      <c r="FT135" s="3"/>
      <c r="FU135" s="3"/>
      <c r="FV135" s="3"/>
      <c r="FW135" s="3"/>
      <c r="FX135" s="3"/>
      <c r="FY135" s="3"/>
      <c r="FZ135" s="3"/>
      <c r="GA135" s="3"/>
      <c r="GB135" s="3"/>
      <c r="GC135" s="3"/>
      <c r="GD135" s="3"/>
      <c r="GE135" s="3"/>
      <c r="GF135" s="3"/>
      <c r="GG135" s="3"/>
      <c r="GH135" s="3"/>
      <c r="GI135" s="3"/>
      <c r="GJ135" s="3"/>
      <c r="GK135" s="3"/>
      <c r="GL135" s="3"/>
      <c r="GM135" s="3"/>
      <c r="GN135" s="3"/>
      <c r="GO135" s="3"/>
      <c r="GP135" s="3"/>
      <c r="GQ135" s="3"/>
      <c r="GR135" s="3"/>
      <c r="GS135" s="3"/>
      <c r="GT135" s="3"/>
      <c r="GU135" s="3"/>
      <c r="GV135" s="3"/>
      <c r="GW135" s="3"/>
      <c r="GX135" s="3"/>
      <c r="GY135" s="3"/>
      <c r="GZ135" s="3"/>
      <c r="HA135" s="3"/>
      <c r="HB135" s="3"/>
      <c r="HC135" s="3"/>
      <c r="HD135" s="3"/>
      <c r="HE135" s="3"/>
      <c r="HF135" s="3"/>
      <c r="HG135" s="3"/>
      <c r="HH135" s="3"/>
      <c r="HI135" s="3"/>
      <c r="HJ135" s="3"/>
      <c r="HK135" s="3"/>
      <c r="HL135" s="3"/>
      <c r="HM135" s="3"/>
      <c r="HN135" s="3"/>
      <c r="HO135" s="3"/>
      <c r="HP135" s="3"/>
      <c r="HQ135" s="3"/>
      <c r="HR135" s="3"/>
      <c r="HS135" s="3"/>
      <c r="HT135" s="3"/>
      <c r="HU135" s="3"/>
      <c r="HV135" s="3"/>
      <c r="HW135" s="3"/>
      <c r="HX135" s="3"/>
      <c r="HY135" s="3"/>
      <c r="HZ135" s="3"/>
      <c r="IA135" s="3"/>
      <c r="IB135" s="3"/>
      <c r="IC135" s="3"/>
      <c r="ID135" s="3"/>
      <c r="IE135" s="3"/>
      <c r="IF135" s="3"/>
      <c r="IG135" s="3"/>
      <c r="IH135" s="3"/>
      <c r="II135" s="3"/>
      <c r="IJ135" s="3"/>
      <c r="IK135" s="3"/>
      <c r="IL135" s="3"/>
    </row>
    <row r="136" spans="1:246" x14ac:dyDescent="0.35">
      <c r="A136" s="171" t="s">
        <v>757</v>
      </c>
      <c r="B136" s="172"/>
      <c r="C136" s="172"/>
      <c r="D136" s="172"/>
      <c r="E136" s="172"/>
      <c r="F136" s="173"/>
      <c r="G136" s="173"/>
      <c r="H136" s="173"/>
      <c r="I136" s="173"/>
      <c r="J136" s="173"/>
      <c r="K136" s="173"/>
      <c r="L136" s="173"/>
      <c r="M136" s="173"/>
      <c r="N136" s="173"/>
      <c r="O136" s="173"/>
      <c r="P136" s="173"/>
      <c r="Q136" s="173"/>
      <c r="R136" s="173"/>
      <c r="S136" s="173"/>
      <c r="T136" s="173"/>
      <c r="U136" s="173"/>
      <c r="V136" s="173"/>
      <c r="W136" s="173"/>
      <c r="X136" s="173"/>
      <c r="Y136" s="173"/>
      <c r="Z136" s="173"/>
      <c r="AA136" s="173"/>
      <c r="AB136" s="173"/>
      <c r="AC136" s="173"/>
      <c r="AD136" s="173"/>
      <c r="AE136" s="173"/>
      <c r="AF136" s="173"/>
      <c r="AG136" s="173"/>
      <c r="AH136" s="173"/>
      <c r="AI136" s="173"/>
      <c r="AJ136" s="173"/>
      <c r="AK136" s="173"/>
      <c r="AL136" s="174"/>
      <c r="AM136" s="159"/>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c r="DA136" s="3"/>
      <c r="DB136" s="3"/>
      <c r="DC136" s="3"/>
      <c r="DD136" s="3"/>
      <c r="DE136" s="3"/>
      <c r="DF136" s="3"/>
      <c r="DG136" s="3"/>
      <c r="DH136" s="3"/>
      <c r="DI136" s="3"/>
      <c r="DJ136" s="3"/>
      <c r="DK136" s="3"/>
      <c r="DL136" s="3"/>
      <c r="DM136" s="3"/>
      <c r="DN136" s="3"/>
      <c r="DO136" s="3"/>
      <c r="DP136" s="3"/>
      <c r="DQ136" s="3"/>
      <c r="DR136" s="3"/>
      <c r="DS136" s="3"/>
      <c r="DT136" s="3"/>
      <c r="DU136" s="3"/>
      <c r="DV136" s="3"/>
      <c r="DW136" s="3"/>
      <c r="DX136" s="3"/>
      <c r="DY136" s="3"/>
      <c r="DZ136" s="3"/>
      <c r="EA136" s="3"/>
      <c r="EB136" s="3"/>
      <c r="EC136" s="3"/>
      <c r="ED136" s="3"/>
      <c r="EE136" s="3"/>
      <c r="EF136" s="3"/>
      <c r="EG136" s="3"/>
      <c r="EH136" s="3"/>
      <c r="EI136" s="3"/>
      <c r="EJ136" s="3"/>
      <c r="EK136" s="3"/>
      <c r="EL136" s="3"/>
      <c r="EM136" s="3"/>
      <c r="EN136" s="3"/>
      <c r="EO136" s="3"/>
      <c r="EP136" s="3"/>
      <c r="EQ136" s="3"/>
      <c r="ER136" s="3"/>
      <c r="ES136" s="3"/>
      <c r="ET136" s="3"/>
      <c r="EU136" s="3"/>
      <c r="EV136" s="3"/>
      <c r="EW136" s="3"/>
      <c r="EX136" s="3"/>
      <c r="EY136" s="3"/>
      <c r="EZ136" s="3"/>
      <c r="FA136" s="3"/>
      <c r="FB136" s="3"/>
      <c r="FC136" s="3"/>
      <c r="FD136" s="3"/>
      <c r="FE136" s="3"/>
      <c r="FF136" s="3"/>
      <c r="FG136" s="3"/>
      <c r="FH136" s="3"/>
      <c r="FI136" s="3"/>
      <c r="FJ136" s="3"/>
      <c r="FK136" s="3"/>
      <c r="FL136" s="3"/>
      <c r="FM136" s="3"/>
      <c r="FN136" s="3"/>
      <c r="FO136" s="3"/>
      <c r="FP136" s="3"/>
      <c r="FQ136" s="3"/>
      <c r="FR136" s="3"/>
      <c r="FS136" s="3"/>
      <c r="FT136" s="3"/>
      <c r="FU136" s="3"/>
      <c r="FV136" s="3"/>
      <c r="FW136" s="3"/>
      <c r="FX136" s="3"/>
      <c r="FY136" s="3"/>
      <c r="FZ136" s="3"/>
      <c r="GA136" s="3"/>
      <c r="GB136" s="3"/>
      <c r="GC136" s="3"/>
      <c r="GD136" s="3"/>
      <c r="GE136" s="3"/>
      <c r="GF136" s="3"/>
      <c r="GG136" s="3"/>
      <c r="GH136" s="3"/>
      <c r="GI136" s="3"/>
      <c r="GJ136" s="3"/>
      <c r="GK136" s="3"/>
      <c r="GL136" s="3"/>
      <c r="GM136" s="3"/>
      <c r="GN136" s="3"/>
      <c r="GO136" s="3"/>
      <c r="GP136" s="3"/>
      <c r="GQ136" s="3"/>
      <c r="GR136" s="3"/>
      <c r="GS136" s="3"/>
      <c r="GT136" s="3"/>
      <c r="GU136" s="3"/>
      <c r="GV136" s="3"/>
      <c r="GW136" s="3"/>
      <c r="GX136" s="3"/>
      <c r="GY136" s="3"/>
      <c r="GZ136" s="3"/>
      <c r="HA136" s="3"/>
      <c r="HB136" s="3"/>
      <c r="HC136" s="3"/>
      <c r="HD136" s="3"/>
      <c r="HE136" s="3"/>
      <c r="HF136" s="3"/>
      <c r="HG136" s="3"/>
      <c r="HH136" s="3"/>
      <c r="HI136" s="3"/>
      <c r="HJ136" s="3"/>
      <c r="HK136" s="3"/>
      <c r="HL136" s="3"/>
      <c r="HM136" s="3"/>
      <c r="HN136" s="3"/>
      <c r="HO136" s="3"/>
      <c r="HP136" s="3"/>
      <c r="HQ136" s="3"/>
      <c r="HR136" s="3"/>
      <c r="HS136" s="3"/>
      <c r="HT136" s="3"/>
      <c r="HU136" s="3"/>
      <c r="HV136" s="3"/>
      <c r="HW136" s="3"/>
      <c r="HX136" s="3"/>
      <c r="HY136" s="3"/>
      <c r="HZ136" s="3"/>
      <c r="IA136" s="3"/>
      <c r="IB136" s="3"/>
      <c r="IC136" s="3"/>
      <c r="ID136" s="3"/>
      <c r="IE136" s="3"/>
      <c r="IF136" s="3"/>
      <c r="IG136" s="3"/>
      <c r="IH136" s="3"/>
      <c r="II136" s="3"/>
      <c r="IJ136" s="3"/>
      <c r="IK136" s="3"/>
      <c r="IL136" s="3"/>
    </row>
    <row r="137" spans="1:246" x14ac:dyDescent="0.35">
      <c r="A137" s="171" t="s">
        <v>782</v>
      </c>
      <c r="B137" s="172"/>
      <c r="C137" s="172"/>
      <c r="D137" s="172"/>
      <c r="E137" s="172"/>
      <c r="F137" s="173"/>
      <c r="G137" s="175" t="s">
        <v>772</v>
      </c>
      <c r="H137" s="173"/>
      <c r="I137" s="176">
        <v>0.1429</v>
      </c>
      <c r="J137" s="176">
        <v>0.24490000000000001</v>
      </c>
      <c r="K137" s="176">
        <v>0.1749</v>
      </c>
      <c r="L137" s="176">
        <v>0.1249</v>
      </c>
      <c r="M137" s="176">
        <v>8.9300000000000004E-2</v>
      </c>
      <c r="N137" s="176">
        <v>8.9200000000000002E-2</v>
      </c>
      <c r="O137" s="176">
        <v>8.9300000000000004E-2</v>
      </c>
      <c r="P137" s="176">
        <v>4.4600000000000001E-2</v>
      </c>
      <c r="Q137" s="176">
        <v>0</v>
      </c>
      <c r="R137" s="176">
        <v>0</v>
      </c>
      <c r="S137" s="176">
        <v>0</v>
      </c>
      <c r="T137" s="176">
        <v>0</v>
      </c>
      <c r="U137" s="176">
        <v>0</v>
      </c>
      <c r="V137" s="176">
        <v>0</v>
      </c>
      <c r="W137" s="176">
        <v>0</v>
      </c>
      <c r="X137" s="176">
        <v>0</v>
      </c>
      <c r="Y137" s="176">
        <v>0</v>
      </c>
      <c r="Z137" s="176">
        <v>0</v>
      </c>
      <c r="AA137" s="176">
        <v>0</v>
      </c>
      <c r="AB137" s="176">
        <v>0</v>
      </c>
      <c r="AC137" s="176">
        <v>0</v>
      </c>
      <c r="AD137" s="176">
        <v>0</v>
      </c>
      <c r="AE137" s="176">
        <v>0</v>
      </c>
      <c r="AF137" s="176">
        <v>0</v>
      </c>
      <c r="AG137" s="176">
        <v>0</v>
      </c>
      <c r="AH137" s="176">
        <v>0</v>
      </c>
      <c r="AI137" s="176">
        <v>0</v>
      </c>
      <c r="AJ137" s="176">
        <v>0</v>
      </c>
      <c r="AK137" s="176">
        <v>0</v>
      </c>
      <c r="AL137" s="177">
        <v>0</v>
      </c>
      <c r="AM137" s="159"/>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c r="DA137" s="3"/>
      <c r="DB137" s="3"/>
      <c r="DC137" s="3"/>
      <c r="DD137" s="3"/>
      <c r="DE137" s="3"/>
      <c r="DF137" s="3"/>
      <c r="DG137" s="3"/>
      <c r="DH137" s="3"/>
      <c r="DI137" s="3"/>
      <c r="DJ137" s="3"/>
      <c r="DK137" s="3"/>
      <c r="DL137" s="3"/>
      <c r="DM137" s="3"/>
      <c r="DN137" s="3"/>
      <c r="DO137" s="3"/>
      <c r="DP137" s="3"/>
      <c r="DQ137" s="3"/>
      <c r="DR137" s="3"/>
      <c r="DS137" s="3"/>
      <c r="DT137" s="3"/>
      <c r="DU137" s="3"/>
      <c r="DV137" s="3"/>
      <c r="DW137" s="3"/>
      <c r="DX137" s="3"/>
      <c r="DY137" s="3"/>
      <c r="DZ137" s="3"/>
      <c r="EA137" s="3"/>
      <c r="EB137" s="3"/>
      <c r="EC137" s="3"/>
      <c r="ED137" s="3"/>
      <c r="EE137" s="3"/>
      <c r="EF137" s="3"/>
      <c r="EG137" s="3"/>
      <c r="EH137" s="3"/>
      <c r="EI137" s="3"/>
      <c r="EJ137" s="3"/>
      <c r="EK137" s="3"/>
      <c r="EL137" s="3"/>
      <c r="EM137" s="3"/>
      <c r="EN137" s="3"/>
      <c r="EO137" s="3"/>
      <c r="EP137" s="3"/>
      <c r="EQ137" s="3"/>
      <c r="ER137" s="3"/>
      <c r="ES137" s="3"/>
      <c r="ET137" s="3"/>
      <c r="EU137" s="3"/>
      <c r="EV137" s="3"/>
      <c r="EW137" s="3"/>
      <c r="EX137" s="3"/>
      <c r="EY137" s="3"/>
      <c r="EZ137" s="3"/>
      <c r="FA137" s="3"/>
      <c r="FB137" s="3"/>
      <c r="FC137" s="3"/>
      <c r="FD137" s="3"/>
      <c r="FE137" s="3"/>
      <c r="FF137" s="3"/>
      <c r="FG137" s="3"/>
      <c r="FH137" s="3"/>
      <c r="FI137" s="3"/>
      <c r="FJ137" s="3"/>
      <c r="FK137" s="3"/>
      <c r="FL137" s="3"/>
      <c r="FM137" s="3"/>
      <c r="FN137" s="3"/>
      <c r="FO137" s="3"/>
      <c r="FP137" s="3"/>
      <c r="FQ137" s="3"/>
      <c r="FR137" s="3"/>
      <c r="FS137" s="3"/>
      <c r="FT137" s="3"/>
      <c r="FU137" s="3"/>
      <c r="FV137" s="3"/>
      <c r="FW137" s="3"/>
      <c r="FX137" s="3"/>
      <c r="FY137" s="3"/>
      <c r="FZ137" s="3"/>
      <c r="GA137" s="3"/>
      <c r="GB137" s="3"/>
      <c r="GC137" s="3"/>
      <c r="GD137" s="3"/>
      <c r="GE137" s="3"/>
      <c r="GF137" s="3"/>
      <c r="GG137" s="3"/>
      <c r="GH137" s="3"/>
      <c r="GI137" s="3"/>
      <c r="GJ137" s="3"/>
      <c r="GK137" s="3"/>
      <c r="GL137" s="3"/>
      <c r="GM137" s="3"/>
      <c r="GN137" s="3"/>
      <c r="GO137" s="3"/>
      <c r="GP137" s="3"/>
      <c r="GQ137" s="3"/>
      <c r="GR137" s="3"/>
      <c r="GS137" s="3"/>
      <c r="GT137" s="3"/>
      <c r="GU137" s="3"/>
      <c r="GV137" s="3"/>
      <c r="GW137" s="3"/>
      <c r="GX137" s="3"/>
      <c r="GY137" s="3"/>
      <c r="GZ137" s="3"/>
      <c r="HA137" s="3"/>
      <c r="HB137" s="3"/>
      <c r="HC137" s="3"/>
      <c r="HD137" s="3"/>
      <c r="HE137" s="3"/>
      <c r="HF137" s="3"/>
      <c r="HG137" s="3"/>
      <c r="HH137" s="3"/>
      <c r="HI137" s="3"/>
      <c r="HJ137" s="3"/>
      <c r="HK137" s="3"/>
      <c r="HL137" s="3"/>
      <c r="HM137" s="3"/>
      <c r="HN137" s="3"/>
      <c r="HO137" s="3"/>
      <c r="HP137" s="3"/>
      <c r="HQ137" s="3"/>
      <c r="HR137" s="3"/>
      <c r="HS137" s="3"/>
      <c r="HT137" s="3"/>
      <c r="HU137" s="3"/>
      <c r="HV137" s="3"/>
      <c r="HW137" s="3"/>
      <c r="HX137" s="3"/>
      <c r="HY137" s="3"/>
      <c r="HZ137" s="3"/>
      <c r="IA137" s="3"/>
      <c r="IB137" s="3"/>
      <c r="IC137" s="3"/>
      <c r="ID137" s="3"/>
      <c r="IE137" s="3"/>
      <c r="IF137" s="3"/>
      <c r="IG137" s="3"/>
      <c r="IH137" s="3"/>
      <c r="II137" s="3"/>
      <c r="IJ137" s="3"/>
      <c r="IK137" s="3"/>
      <c r="IL137" s="3"/>
    </row>
    <row r="138" spans="1:246" x14ac:dyDescent="0.35">
      <c r="A138" s="171" t="s">
        <v>783</v>
      </c>
      <c r="B138" s="172"/>
      <c r="C138" s="172"/>
      <c r="D138" s="172"/>
      <c r="E138" s="172"/>
      <c r="F138" s="173"/>
      <c r="G138" s="175"/>
      <c r="H138" s="173"/>
      <c r="I138" s="173">
        <f>I137*(Scaled_General_Plant)</f>
        <v>31603990.050778091</v>
      </c>
      <c r="J138" s="173">
        <f t="shared" ref="J138:P138" si="16">J137*(Scaled_General_Plant)</f>
        <v>54162471.402628094</v>
      </c>
      <c r="K138" s="173">
        <f t="shared" si="16"/>
        <v>38681160.670966327</v>
      </c>
      <c r="L138" s="173">
        <f t="shared" si="16"/>
        <v>27623081.576922208</v>
      </c>
      <c r="M138" s="173">
        <f t="shared" si="16"/>
        <v>19749729.261962797</v>
      </c>
      <c r="N138" s="173">
        <f t="shared" si="16"/>
        <v>19727613.103774708</v>
      </c>
      <c r="O138" s="173">
        <f t="shared" si="16"/>
        <v>19749729.261962797</v>
      </c>
      <c r="P138" s="173">
        <f t="shared" si="16"/>
        <v>9863806.5518873539</v>
      </c>
      <c r="Q138" s="173">
        <f t="shared" ref="Q138:AL138" si="17">Q137*General_Plant_Cost</f>
        <v>0</v>
      </c>
      <c r="R138" s="173">
        <f t="shared" si="17"/>
        <v>0</v>
      </c>
      <c r="S138" s="173">
        <f t="shared" si="17"/>
        <v>0</v>
      </c>
      <c r="T138" s="173">
        <f t="shared" si="17"/>
        <v>0</v>
      </c>
      <c r="U138" s="173">
        <f t="shared" si="17"/>
        <v>0</v>
      </c>
      <c r="V138" s="173">
        <f t="shared" si="17"/>
        <v>0</v>
      </c>
      <c r="W138" s="173">
        <f t="shared" si="17"/>
        <v>0</v>
      </c>
      <c r="X138" s="173">
        <f t="shared" si="17"/>
        <v>0</v>
      </c>
      <c r="Y138" s="173">
        <f t="shared" si="17"/>
        <v>0</v>
      </c>
      <c r="Z138" s="173">
        <f t="shared" si="17"/>
        <v>0</v>
      </c>
      <c r="AA138" s="173">
        <f t="shared" si="17"/>
        <v>0</v>
      </c>
      <c r="AB138" s="173">
        <f t="shared" si="17"/>
        <v>0</v>
      </c>
      <c r="AC138" s="173">
        <f t="shared" si="17"/>
        <v>0</v>
      </c>
      <c r="AD138" s="173">
        <f t="shared" si="17"/>
        <v>0</v>
      </c>
      <c r="AE138" s="173">
        <f t="shared" si="17"/>
        <v>0</v>
      </c>
      <c r="AF138" s="173">
        <f t="shared" si="17"/>
        <v>0</v>
      </c>
      <c r="AG138" s="173">
        <f t="shared" si="17"/>
        <v>0</v>
      </c>
      <c r="AH138" s="173">
        <f t="shared" si="17"/>
        <v>0</v>
      </c>
      <c r="AI138" s="173">
        <f t="shared" si="17"/>
        <v>0</v>
      </c>
      <c r="AJ138" s="173">
        <f t="shared" si="17"/>
        <v>0</v>
      </c>
      <c r="AK138" s="173">
        <f t="shared" si="17"/>
        <v>0</v>
      </c>
      <c r="AL138" s="173">
        <f t="shared" si="17"/>
        <v>0</v>
      </c>
      <c r="AM138" s="159"/>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c r="DA138" s="3"/>
      <c r="DB138" s="3"/>
      <c r="DC138" s="3"/>
      <c r="DD138" s="3"/>
      <c r="DE138" s="3"/>
      <c r="DF138" s="3"/>
      <c r="DG138" s="3"/>
      <c r="DH138" s="3"/>
      <c r="DI138" s="3"/>
      <c r="DJ138" s="3"/>
      <c r="DK138" s="3"/>
      <c r="DL138" s="3"/>
      <c r="DM138" s="3"/>
      <c r="DN138" s="3"/>
      <c r="DO138" s="3"/>
      <c r="DP138" s="3"/>
      <c r="DQ138" s="3"/>
      <c r="DR138" s="3"/>
      <c r="DS138" s="3"/>
      <c r="DT138" s="3"/>
      <c r="DU138" s="3"/>
      <c r="DV138" s="3"/>
      <c r="DW138" s="3"/>
      <c r="DX138" s="3"/>
      <c r="DY138" s="3"/>
      <c r="DZ138" s="3"/>
      <c r="EA138" s="3"/>
      <c r="EB138" s="3"/>
      <c r="EC138" s="3"/>
      <c r="ED138" s="3"/>
      <c r="EE138" s="3"/>
      <c r="EF138" s="3"/>
      <c r="EG138" s="3"/>
      <c r="EH138" s="3"/>
      <c r="EI138" s="3"/>
      <c r="EJ138" s="3"/>
      <c r="EK138" s="3"/>
      <c r="EL138" s="3"/>
      <c r="EM138" s="3"/>
      <c r="EN138" s="3"/>
      <c r="EO138" s="3"/>
      <c r="EP138" s="3"/>
      <c r="EQ138" s="3"/>
      <c r="ER138" s="3"/>
      <c r="ES138" s="3"/>
      <c r="ET138" s="3"/>
      <c r="EU138" s="3"/>
      <c r="EV138" s="3"/>
      <c r="EW138" s="3"/>
      <c r="EX138" s="3"/>
      <c r="EY138" s="3"/>
      <c r="EZ138" s="3"/>
      <c r="FA138" s="3"/>
      <c r="FB138" s="3"/>
      <c r="FC138" s="3"/>
      <c r="FD138" s="3"/>
      <c r="FE138" s="3"/>
      <c r="FF138" s="3"/>
      <c r="FG138" s="3"/>
      <c r="FH138" s="3"/>
      <c r="FI138" s="3"/>
      <c r="FJ138" s="3"/>
      <c r="FK138" s="3"/>
      <c r="FL138" s="3"/>
      <c r="FM138" s="3"/>
      <c r="FN138" s="3"/>
      <c r="FO138" s="3"/>
      <c r="FP138" s="3"/>
      <c r="FQ138" s="3"/>
      <c r="FR138" s="3"/>
      <c r="FS138" s="3"/>
      <c r="FT138" s="3"/>
      <c r="FU138" s="3"/>
      <c r="FV138" s="3"/>
      <c r="FW138" s="3"/>
      <c r="FX138" s="3"/>
      <c r="FY138" s="3"/>
      <c r="FZ138" s="3"/>
      <c r="GA138" s="3"/>
      <c r="GB138" s="3"/>
      <c r="GC138" s="3"/>
      <c r="GD138" s="3"/>
      <c r="GE138" s="3"/>
      <c r="GF138" s="3"/>
      <c r="GG138" s="3"/>
      <c r="GH138" s="3"/>
      <c r="GI138" s="3"/>
      <c r="GJ138" s="3"/>
      <c r="GK138" s="3"/>
      <c r="GL138" s="3"/>
      <c r="GM138" s="3"/>
      <c r="GN138" s="3"/>
      <c r="GO138" s="3"/>
      <c r="GP138" s="3"/>
      <c r="GQ138" s="3"/>
      <c r="GR138" s="3"/>
      <c r="GS138" s="3"/>
      <c r="GT138" s="3"/>
      <c r="GU138" s="3"/>
      <c r="GV138" s="3"/>
      <c r="GW138" s="3"/>
      <c r="GX138" s="3"/>
      <c r="GY138" s="3"/>
      <c r="GZ138" s="3"/>
      <c r="HA138" s="3"/>
      <c r="HB138" s="3"/>
      <c r="HC138" s="3"/>
      <c r="HD138" s="3"/>
      <c r="HE138" s="3"/>
      <c r="HF138" s="3"/>
      <c r="HG138" s="3"/>
      <c r="HH138" s="3"/>
      <c r="HI138" s="3"/>
      <c r="HJ138" s="3"/>
      <c r="HK138" s="3"/>
      <c r="HL138" s="3"/>
      <c r="HM138" s="3"/>
      <c r="HN138" s="3"/>
      <c r="HO138" s="3"/>
      <c r="HP138" s="3"/>
      <c r="HQ138" s="3"/>
      <c r="HR138" s="3"/>
      <c r="HS138" s="3"/>
      <c r="HT138" s="3"/>
      <c r="HU138" s="3"/>
      <c r="HV138" s="3"/>
      <c r="HW138" s="3"/>
      <c r="HX138" s="3"/>
      <c r="HY138" s="3"/>
      <c r="HZ138" s="3"/>
      <c r="IA138" s="3"/>
      <c r="IB138" s="3"/>
      <c r="IC138" s="3"/>
      <c r="ID138" s="3"/>
      <c r="IE138" s="3"/>
      <c r="IF138" s="3"/>
      <c r="IG138" s="3"/>
      <c r="IH138" s="3"/>
      <c r="II138" s="3"/>
      <c r="IJ138" s="3"/>
      <c r="IK138" s="3"/>
      <c r="IL138" s="3"/>
    </row>
    <row r="139" spans="1:246" x14ac:dyDescent="0.35">
      <c r="A139" s="171" t="s">
        <v>784</v>
      </c>
      <c r="B139" s="172"/>
      <c r="C139" s="172"/>
      <c r="D139" s="172"/>
      <c r="E139" s="172"/>
      <c r="F139" s="173"/>
      <c r="G139" s="175"/>
      <c r="H139" s="173"/>
      <c r="I139" s="195">
        <f>Scaled_General_Plant-I138</f>
        <v>189557591.83010429</v>
      </c>
      <c r="J139" s="195">
        <f>I139-J138</f>
        <v>135395120.4274762</v>
      </c>
      <c r="K139" s="195">
        <f t="shared" ref="K139:AL139" si="18">J139-K138</f>
        <v>96713959.75650987</v>
      </c>
      <c r="L139" s="195">
        <f>K139-L138</f>
        <v>69090878.179587662</v>
      </c>
      <c r="M139" s="195">
        <f t="shared" si="18"/>
        <v>49341148.917624861</v>
      </c>
      <c r="N139" s="195">
        <f t="shared" si="18"/>
        <v>29613535.813850153</v>
      </c>
      <c r="O139" s="195">
        <f t="shared" si="18"/>
        <v>9863806.5518873557</v>
      </c>
      <c r="P139" s="195">
        <f t="shared" si="18"/>
        <v>0</v>
      </c>
      <c r="Q139" s="195">
        <f t="shared" si="18"/>
        <v>0</v>
      </c>
      <c r="R139" s="195">
        <f t="shared" si="18"/>
        <v>0</v>
      </c>
      <c r="S139" s="195">
        <f t="shared" si="18"/>
        <v>0</v>
      </c>
      <c r="T139" s="195">
        <f t="shared" si="18"/>
        <v>0</v>
      </c>
      <c r="U139" s="195">
        <f t="shared" si="18"/>
        <v>0</v>
      </c>
      <c r="V139" s="195">
        <f t="shared" si="18"/>
        <v>0</v>
      </c>
      <c r="W139" s="195">
        <f t="shared" si="18"/>
        <v>0</v>
      </c>
      <c r="X139" s="195">
        <f t="shared" si="18"/>
        <v>0</v>
      </c>
      <c r="Y139" s="195">
        <f t="shared" si="18"/>
        <v>0</v>
      </c>
      <c r="Z139" s="195">
        <f t="shared" si="18"/>
        <v>0</v>
      </c>
      <c r="AA139" s="195">
        <f t="shared" si="18"/>
        <v>0</v>
      </c>
      <c r="AB139" s="195">
        <f t="shared" si="18"/>
        <v>0</v>
      </c>
      <c r="AC139" s="195">
        <f t="shared" si="18"/>
        <v>0</v>
      </c>
      <c r="AD139" s="195">
        <f t="shared" si="18"/>
        <v>0</v>
      </c>
      <c r="AE139" s="195">
        <f t="shared" si="18"/>
        <v>0</v>
      </c>
      <c r="AF139" s="195">
        <f t="shared" si="18"/>
        <v>0</v>
      </c>
      <c r="AG139" s="195">
        <f t="shared" si="18"/>
        <v>0</v>
      </c>
      <c r="AH139" s="195">
        <f t="shared" si="18"/>
        <v>0</v>
      </c>
      <c r="AI139" s="195">
        <f t="shared" si="18"/>
        <v>0</v>
      </c>
      <c r="AJ139" s="195">
        <f t="shared" si="18"/>
        <v>0</v>
      </c>
      <c r="AK139" s="195">
        <f t="shared" si="18"/>
        <v>0</v>
      </c>
      <c r="AL139" s="195">
        <f t="shared" si="18"/>
        <v>0</v>
      </c>
      <c r="AM139" s="159"/>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c r="DA139" s="3"/>
      <c r="DB139" s="3"/>
      <c r="DC139" s="3"/>
      <c r="DD139" s="3"/>
      <c r="DE139" s="3"/>
      <c r="DF139" s="3"/>
      <c r="DG139" s="3"/>
      <c r="DH139" s="3"/>
      <c r="DI139" s="3"/>
      <c r="DJ139" s="3"/>
      <c r="DK139" s="3"/>
      <c r="DL139" s="3"/>
      <c r="DM139" s="3"/>
      <c r="DN139" s="3"/>
      <c r="DO139" s="3"/>
      <c r="DP139" s="3"/>
      <c r="DQ139" s="3"/>
      <c r="DR139" s="3"/>
      <c r="DS139" s="3"/>
      <c r="DT139" s="3"/>
      <c r="DU139" s="3"/>
      <c r="DV139" s="3"/>
      <c r="DW139" s="3"/>
      <c r="DX139" s="3"/>
      <c r="DY139" s="3"/>
      <c r="DZ139" s="3"/>
      <c r="EA139" s="3"/>
      <c r="EB139" s="3"/>
      <c r="EC139" s="3"/>
      <c r="ED139" s="3"/>
      <c r="EE139" s="3"/>
      <c r="EF139" s="3"/>
      <c r="EG139" s="3"/>
      <c r="EH139" s="3"/>
      <c r="EI139" s="3"/>
      <c r="EJ139" s="3"/>
      <c r="EK139" s="3"/>
      <c r="EL139" s="3"/>
      <c r="EM139" s="3"/>
      <c r="EN139" s="3"/>
      <c r="EO139" s="3"/>
      <c r="EP139" s="3"/>
      <c r="EQ139" s="3"/>
      <c r="ER139" s="3"/>
      <c r="ES139" s="3"/>
      <c r="ET139" s="3"/>
      <c r="EU139" s="3"/>
      <c r="EV139" s="3"/>
      <c r="EW139" s="3"/>
      <c r="EX139" s="3"/>
      <c r="EY139" s="3"/>
      <c r="EZ139" s="3"/>
      <c r="FA139" s="3"/>
      <c r="FB139" s="3"/>
      <c r="FC139" s="3"/>
      <c r="FD139" s="3"/>
      <c r="FE139" s="3"/>
      <c r="FF139" s="3"/>
      <c r="FG139" s="3"/>
      <c r="FH139" s="3"/>
      <c r="FI139" s="3"/>
      <c r="FJ139" s="3"/>
      <c r="FK139" s="3"/>
      <c r="FL139" s="3"/>
      <c r="FM139" s="3"/>
      <c r="FN139" s="3"/>
      <c r="FO139" s="3"/>
      <c r="FP139" s="3"/>
      <c r="FQ139" s="3"/>
      <c r="FR139" s="3"/>
      <c r="FS139" s="3"/>
      <c r="FT139" s="3"/>
      <c r="FU139" s="3"/>
      <c r="FV139" s="3"/>
      <c r="FW139" s="3"/>
      <c r="FX139" s="3"/>
      <c r="FY139" s="3"/>
      <c r="FZ139" s="3"/>
      <c r="GA139" s="3"/>
      <c r="GB139" s="3"/>
      <c r="GC139" s="3"/>
      <c r="GD139" s="3"/>
      <c r="GE139" s="3"/>
      <c r="GF139" s="3"/>
      <c r="GG139" s="3"/>
      <c r="GH139" s="3"/>
      <c r="GI139" s="3"/>
      <c r="GJ139" s="3"/>
      <c r="GK139" s="3"/>
      <c r="GL139" s="3"/>
      <c r="GM139" s="3"/>
      <c r="GN139" s="3"/>
      <c r="GO139" s="3"/>
      <c r="GP139" s="3"/>
      <c r="GQ139" s="3"/>
      <c r="GR139" s="3"/>
      <c r="GS139" s="3"/>
      <c r="GT139" s="3"/>
      <c r="GU139" s="3"/>
      <c r="GV139" s="3"/>
      <c r="GW139" s="3"/>
      <c r="GX139" s="3"/>
      <c r="GY139" s="3"/>
      <c r="GZ139" s="3"/>
      <c r="HA139" s="3"/>
      <c r="HB139" s="3"/>
      <c r="HC139" s="3"/>
      <c r="HD139" s="3"/>
      <c r="HE139" s="3"/>
      <c r="HF139" s="3"/>
      <c r="HG139" s="3"/>
      <c r="HH139" s="3"/>
      <c r="HI139" s="3"/>
      <c r="HJ139" s="3"/>
      <c r="HK139" s="3"/>
      <c r="HL139" s="3"/>
      <c r="HM139" s="3"/>
      <c r="HN139" s="3"/>
      <c r="HO139" s="3"/>
      <c r="HP139" s="3"/>
      <c r="HQ139" s="3"/>
      <c r="HR139" s="3"/>
      <c r="HS139" s="3"/>
      <c r="HT139" s="3"/>
      <c r="HU139" s="3"/>
      <c r="HV139" s="3"/>
      <c r="HW139" s="3"/>
      <c r="HX139" s="3"/>
      <c r="HY139" s="3"/>
      <c r="HZ139" s="3"/>
      <c r="IA139" s="3"/>
      <c r="IB139" s="3"/>
      <c r="IC139" s="3"/>
      <c r="ID139" s="3"/>
      <c r="IE139" s="3"/>
      <c r="IF139" s="3"/>
      <c r="IG139" s="3"/>
      <c r="IH139" s="3"/>
      <c r="II139" s="3"/>
      <c r="IJ139" s="3"/>
      <c r="IK139" s="3"/>
      <c r="IL139" s="3"/>
    </row>
    <row r="140" spans="1:246" x14ac:dyDescent="0.35">
      <c r="A140" s="171" t="s">
        <v>785</v>
      </c>
      <c r="B140" s="172"/>
      <c r="C140" s="172"/>
      <c r="D140" s="172"/>
      <c r="E140" s="172"/>
      <c r="F140" s="173"/>
      <c r="G140" s="175"/>
      <c r="H140" s="173"/>
      <c r="I140" s="96">
        <v>3.7499999999999999E-2</v>
      </c>
      <c r="J140" s="96">
        <v>7.2190000000000004E-2</v>
      </c>
      <c r="K140" s="96">
        <v>6.6769999999999996E-2</v>
      </c>
      <c r="L140" s="96">
        <v>6.1769999999999999E-2</v>
      </c>
      <c r="M140" s="96">
        <v>5.713E-2</v>
      </c>
      <c r="N140" s="96">
        <v>5.2850000000000001E-2</v>
      </c>
      <c r="O140" s="96">
        <v>4.888E-2</v>
      </c>
      <c r="P140" s="96">
        <v>4.5220000000000003E-2</v>
      </c>
      <c r="Q140" s="96">
        <v>4.462E-2</v>
      </c>
      <c r="R140" s="96">
        <v>4.4609999999999997E-2</v>
      </c>
      <c r="S140" s="96">
        <v>4.462E-2</v>
      </c>
      <c r="T140" s="96">
        <v>4.4609999999999997E-2</v>
      </c>
      <c r="U140" s="96">
        <v>4.462E-2</v>
      </c>
      <c r="V140" s="96">
        <v>4.4609999999999997E-2</v>
      </c>
      <c r="W140" s="96">
        <v>4.462E-2</v>
      </c>
      <c r="X140" s="96">
        <v>4.4609999999999997E-2</v>
      </c>
      <c r="Y140" s="96">
        <v>4.462E-2</v>
      </c>
      <c r="Z140" s="96">
        <v>4.4609999999999997E-2</v>
      </c>
      <c r="AA140" s="96">
        <v>4.462E-2</v>
      </c>
      <c r="AB140" s="96">
        <v>4.4609999999999997E-2</v>
      </c>
      <c r="AC140" s="96">
        <v>2.231E-2</v>
      </c>
      <c r="AM140" s="159"/>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c r="DA140" s="3"/>
      <c r="DB140" s="3"/>
      <c r="DC140" s="3"/>
      <c r="DD140" s="3"/>
      <c r="DE140" s="3"/>
      <c r="DF140" s="3"/>
      <c r="DG140" s="3"/>
      <c r="DH140" s="3"/>
      <c r="DI140" s="3"/>
      <c r="DJ140" s="3"/>
      <c r="DK140" s="3"/>
      <c r="DL140" s="3"/>
      <c r="DM140" s="3"/>
      <c r="DN140" s="3"/>
      <c r="DO140" s="3"/>
      <c r="DP140" s="3"/>
      <c r="DQ140" s="3"/>
      <c r="DR140" s="3"/>
      <c r="DS140" s="3"/>
      <c r="DT140" s="3"/>
      <c r="DU140" s="3"/>
      <c r="DV140" s="3"/>
      <c r="DW140" s="3"/>
      <c r="DX140" s="3"/>
      <c r="DY140" s="3"/>
      <c r="DZ140" s="3"/>
      <c r="EA140" s="3"/>
      <c r="EB140" s="3"/>
      <c r="EC140" s="3"/>
      <c r="ED140" s="3"/>
      <c r="EE140" s="3"/>
      <c r="EF140" s="3"/>
      <c r="EG140" s="3"/>
      <c r="EH140" s="3"/>
      <c r="EI140" s="3"/>
      <c r="EJ140" s="3"/>
      <c r="EK140" s="3"/>
      <c r="EL140" s="3"/>
      <c r="EM140" s="3"/>
      <c r="EN140" s="3"/>
      <c r="EO140" s="3"/>
      <c r="EP140" s="3"/>
      <c r="EQ140" s="3"/>
      <c r="ER140" s="3"/>
      <c r="ES140" s="3"/>
      <c r="ET140" s="3"/>
      <c r="EU140" s="3"/>
      <c r="EV140" s="3"/>
      <c r="EW140" s="3"/>
      <c r="EX140" s="3"/>
      <c r="EY140" s="3"/>
      <c r="EZ140" s="3"/>
      <c r="FA140" s="3"/>
      <c r="FB140" s="3"/>
      <c r="FC140" s="3"/>
      <c r="FD140" s="3"/>
      <c r="FE140" s="3"/>
      <c r="FF140" s="3"/>
      <c r="FG140" s="3"/>
      <c r="FH140" s="3"/>
      <c r="FI140" s="3"/>
      <c r="FJ140" s="3"/>
      <c r="FK140" s="3"/>
      <c r="FL140" s="3"/>
      <c r="FM140" s="3"/>
      <c r="FN140" s="3"/>
      <c r="FO140" s="3"/>
      <c r="FP140" s="3"/>
      <c r="FQ140" s="3"/>
      <c r="FR140" s="3"/>
      <c r="FS140" s="3"/>
      <c r="FT140" s="3"/>
      <c r="FU140" s="3"/>
      <c r="FV140" s="3"/>
      <c r="FW140" s="3"/>
      <c r="FX140" s="3"/>
      <c r="FY140" s="3"/>
      <c r="FZ140" s="3"/>
      <c r="GA140" s="3"/>
      <c r="GB140" s="3"/>
      <c r="GC140" s="3"/>
      <c r="GD140" s="3"/>
      <c r="GE140" s="3"/>
      <c r="GF140" s="3"/>
      <c r="GG140" s="3"/>
      <c r="GH140" s="3"/>
      <c r="GI140" s="3"/>
      <c r="GJ140" s="3"/>
      <c r="GK140" s="3"/>
      <c r="GL140" s="3"/>
      <c r="GM140" s="3"/>
      <c r="GN140" s="3"/>
      <c r="GO140" s="3"/>
      <c r="GP140" s="3"/>
      <c r="GQ140" s="3"/>
      <c r="GR140" s="3"/>
      <c r="GS140" s="3"/>
      <c r="GT140" s="3"/>
      <c r="GU140" s="3"/>
      <c r="GV140" s="3"/>
      <c r="GW140" s="3"/>
      <c r="GX140" s="3"/>
      <c r="GY140" s="3"/>
      <c r="GZ140" s="3"/>
      <c r="HA140" s="3"/>
      <c r="HB140" s="3"/>
      <c r="HC140" s="3"/>
      <c r="HD140" s="3"/>
      <c r="HE140" s="3"/>
      <c r="HF140" s="3"/>
      <c r="HG140" s="3"/>
      <c r="HH140" s="3"/>
      <c r="HI140" s="3"/>
      <c r="HJ140" s="3"/>
      <c r="HK140" s="3"/>
      <c r="HL140" s="3"/>
      <c r="HM140" s="3"/>
      <c r="HN140" s="3"/>
      <c r="HO140" s="3"/>
      <c r="HP140" s="3"/>
      <c r="HQ140" s="3"/>
      <c r="HR140" s="3"/>
      <c r="HS140" s="3"/>
      <c r="HT140" s="3"/>
      <c r="HU140" s="3"/>
      <c r="HV140" s="3"/>
      <c r="HW140" s="3"/>
      <c r="HX140" s="3"/>
      <c r="HY140" s="3"/>
      <c r="HZ140" s="3"/>
      <c r="IA140" s="3"/>
      <c r="IB140" s="3"/>
      <c r="IC140" s="3"/>
      <c r="ID140" s="3"/>
      <c r="IE140" s="3"/>
      <c r="IF140" s="3"/>
      <c r="IG140" s="3"/>
      <c r="IH140" s="3"/>
      <c r="II140" s="3"/>
      <c r="IJ140" s="3"/>
      <c r="IK140" s="3"/>
      <c r="IL140" s="3"/>
    </row>
    <row r="141" spans="1:246" x14ac:dyDescent="0.35">
      <c r="A141" s="171" t="s">
        <v>783</v>
      </c>
      <c r="B141" s="172"/>
      <c r="C141" s="172"/>
      <c r="D141" s="172"/>
      <c r="E141" s="172"/>
      <c r="F141" s="173"/>
      <c r="G141" s="175"/>
      <c r="H141" s="173"/>
      <c r="I141" s="173">
        <f t="shared" ref="I141:AD141" si="19">I140*Scaled_Steam_Plant</f>
        <v>1628218.1736146023</v>
      </c>
      <c r="J141" s="173">
        <f t="shared" si="19"/>
        <v>3134428.5320863505</v>
      </c>
      <c r="K141" s="173">
        <f t="shared" si="19"/>
        <v>2899096.7320599197</v>
      </c>
      <c r="L141" s="173">
        <f t="shared" si="19"/>
        <v>2682000.9755779728</v>
      </c>
      <c r="M141" s="173">
        <f t="shared" si="19"/>
        <v>2480536.113562726</v>
      </c>
      <c r="N141" s="173">
        <f t="shared" si="19"/>
        <v>2294702.1460141796</v>
      </c>
      <c r="O141" s="173">
        <f t="shared" si="19"/>
        <v>2122328.1153675136</v>
      </c>
      <c r="P141" s="173">
        <f t="shared" si="19"/>
        <v>1963414.0216227286</v>
      </c>
      <c r="Q141" s="173">
        <f t="shared" si="19"/>
        <v>1937362.5308448947</v>
      </c>
      <c r="R141" s="173">
        <f t="shared" si="19"/>
        <v>1936928.3393319307</v>
      </c>
      <c r="S141" s="173">
        <f t="shared" si="19"/>
        <v>1937362.5308448947</v>
      </c>
      <c r="T141" s="173">
        <f t="shared" si="19"/>
        <v>1936928.3393319307</v>
      </c>
      <c r="U141" s="173">
        <f t="shared" si="19"/>
        <v>1937362.5308448947</v>
      </c>
      <c r="V141" s="173">
        <f t="shared" si="19"/>
        <v>1936928.3393319307</v>
      </c>
      <c r="W141" s="173">
        <f t="shared" si="19"/>
        <v>1937362.5308448947</v>
      </c>
      <c r="X141" s="173">
        <f t="shared" si="19"/>
        <v>1936928.3393319307</v>
      </c>
      <c r="Y141" s="173">
        <f t="shared" si="19"/>
        <v>1937362.5308448947</v>
      </c>
      <c r="Z141" s="173">
        <f t="shared" si="19"/>
        <v>1936928.3393319307</v>
      </c>
      <c r="AA141" s="173">
        <f t="shared" si="19"/>
        <v>1937362.5308448947</v>
      </c>
      <c r="AB141" s="173">
        <f t="shared" si="19"/>
        <v>1936928.3393319307</v>
      </c>
      <c r="AC141" s="173">
        <f t="shared" si="19"/>
        <v>968681.26542244735</v>
      </c>
      <c r="AD141" s="173">
        <f t="shared" si="19"/>
        <v>0</v>
      </c>
      <c r="AE141" s="173">
        <f t="shared" ref="AE141:AL141" si="20">AE140*Steam_Plant_Cost</f>
        <v>0</v>
      </c>
      <c r="AF141" s="173">
        <f t="shared" si="20"/>
        <v>0</v>
      </c>
      <c r="AG141" s="173">
        <f t="shared" si="20"/>
        <v>0</v>
      </c>
      <c r="AH141" s="173">
        <f t="shared" si="20"/>
        <v>0</v>
      </c>
      <c r="AI141" s="173">
        <f t="shared" si="20"/>
        <v>0</v>
      </c>
      <c r="AJ141" s="173">
        <f t="shared" si="20"/>
        <v>0</v>
      </c>
      <c r="AK141" s="173">
        <f t="shared" si="20"/>
        <v>0</v>
      </c>
      <c r="AL141" s="173">
        <f t="shared" si="20"/>
        <v>0</v>
      </c>
      <c r="AM141" s="159"/>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c r="DA141" s="3"/>
      <c r="DB141" s="3"/>
      <c r="DC141" s="3"/>
      <c r="DD141" s="3"/>
      <c r="DE141" s="3"/>
      <c r="DF141" s="3"/>
      <c r="DG141" s="3"/>
      <c r="DH141" s="3"/>
      <c r="DI141" s="3"/>
      <c r="DJ141" s="3"/>
      <c r="DK141" s="3"/>
      <c r="DL141" s="3"/>
      <c r="DM141" s="3"/>
      <c r="DN141" s="3"/>
      <c r="DO141" s="3"/>
      <c r="DP141" s="3"/>
      <c r="DQ141" s="3"/>
      <c r="DR141" s="3"/>
      <c r="DS141" s="3"/>
      <c r="DT141" s="3"/>
      <c r="DU141" s="3"/>
      <c r="DV141" s="3"/>
      <c r="DW141" s="3"/>
      <c r="DX141" s="3"/>
      <c r="DY141" s="3"/>
      <c r="DZ141" s="3"/>
      <c r="EA141" s="3"/>
      <c r="EB141" s="3"/>
      <c r="EC141" s="3"/>
      <c r="ED141" s="3"/>
      <c r="EE141" s="3"/>
      <c r="EF141" s="3"/>
      <c r="EG141" s="3"/>
      <c r="EH141" s="3"/>
      <c r="EI141" s="3"/>
      <c r="EJ141" s="3"/>
      <c r="EK141" s="3"/>
      <c r="EL141" s="3"/>
      <c r="EM141" s="3"/>
      <c r="EN141" s="3"/>
      <c r="EO141" s="3"/>
      <c r="EP141" s="3"/>
      <c r="EQ141" s="3"/>
      <c r="ER141" s="3"/>
      <c r="ES141" s="3"/>
      <c r="ET141" s="3"/>
      <c r="EU141" s="3"/>
      <c r="EV141" s="3"/>
      <c r="EW141" s="3"/>
      <c r="EX141" s="3"/>
      <c r="EY141" s="3"/>
      <c r="EZ141" s="3"/>
      <c r="FA141" s="3"/>
      <c r="FB141" s="3"/>
      <c r="FC141" s="3"/>
      <c r="FD141" s="3"/>
      <c r="FE141" s="3"/>
      <c r="FF141" s="3"/>
      <c r="FG141" s="3"/>
      <c r="FH141" s="3"/>
      <c r="FI141" s="3"/>
      <c r="FJ141" s="3"/>
      <c r="FK141" s="3"/>
      <c r="FL141" s="3"/>
      <c r="FM141" s="3"/>
      <c r="FN141" s="3"/>
      <c r="FO141" s="3"/>
      <c r="FP141" s="3"/>
      <c r="FQ141" s="3"/>
      <c r="FR141" s="3"/>
      <c r="FS141" s="3"/>
      <c r="FT141" s="3"/>
      <c r="FU141" s="3"/>
      <c r="FV141" s="3"/>
      <c r="FW141" s="3"/>
      <c r="FX141" s="3"/>
      <c r="FY141" s="3"/>
      <c r="FZ141" s="3"/>
      <c r="GA141" s="3"/>
      <c r="GB141" s="3"/>
      <c r="GC141" s="3"/>
      <c r="GD141" s="3"/>
      <c r="GE141" s="3"/>
      <c r="GF141" s="3"/>
      <c r="GG141" s="3"/>
      <c r="GH141" s="3"/>
      <c r="GI141" s="3"/>
      <c r="GJ141" s="3"/>
      <c r="GK141" s="3"/>
      <c r="GL141" s="3"/>
      <c r="GM141" s="3"/>
      <c r="GN141" s="3"/>
      <c r="GO141" s="3"/>
      <c r="GP141" s="3"/>
      <c r="GQ141" s="3"/>
      <c r="GR141" s="3"/>
      <c r="GS141" s="3"/>
      <c r="GT141" s="3"/>
      <c r="GU141" s="3"/>
      <c r="GV141" s="3"/>
      <c r="GW141" s="3"/>
      <c r="GX141" s="3"/>
      <c r="GY141" s="3"/>
      <c r="GZ141" s="3"/>
      <c r="HA141" s="3"/>
      <c r="HB141" s="3"/>
      <c r="HC141" s="3"/>
      <c r="HD141" s="3"/>
      <c r="HE141" s="3"/>
      <c r="HF141" s="3"/>
      <c r="HG141" s="3"/>
      <c r="HH141" s="3"/>
      <c r="HI141" s="3"/>
      <c r="HJ141" s="3"/>
      <c r="HK141" s="3"/>
      <c r="HL141" s="3"/>
      <c r="HM141" s="3"/>
      <c r="HN141" s="3"/>
      <c r="HO141" s="3"/>
      <c r="HP141" s="3"/>
      <c r="HQ141" s="3"/>
      <c r="HR141" s="3"/>
      <c r="HS141" s="3"/>
      <c r="HT141" s="3"/>
      <c r="HU141" s="3"/>
      <c r="HV141" s="3"/>
      <c r="HW141" s="3"/>
      <c r="HX141" s="3"/>
      <c r="HY141" s="3"/>
      <c r="HZ141" s="3"/>
      <c r="IA141" s="3"/>
      <c r="IB141" s="3"/>
      <c r="IC141" s="3"/>
      <c r="ID141" s="3"/>
      <c r="IE141" s="3"/>
      <c r="IF141" s="3"/>
      <c r="IG141" s="3"/>
      <c r="IH141" s="3"/>
      <c r="II141" s="3"/>
      <c r="IJ141" s="3"/>
      <c r="IK141" s="3"/>
      <c r="IL141" s="3"/>
    </row>
    <row r="142" spans="1:246" x14ac:dyDescent="0.35">
      <c r="A142" s="171" t="s">
        <v>784</v>
      </c>
      <c r="B142" s="172"/>
      <c r="C142" s="172"/>
      <c r="D142" s="172"/>
      <c r="E142" s="172"/>
      <c r="F142" s="173"/>
      <c r="G142" s="173"/>
      <c r="H142" s="173"/>
      <c r="I142" s="123">
        <f>Steam_Plant_Cost-I141</f>
        <v>64182908.750144236</v>
      </c>
      <c r="J142" s="123">
        <f>I142-J141</f>
        <v>61048480.218057886</v>
      </c>
      <c r="K142" s="123">
        <f t="shared" ref="K142:AL142" si="21">J142-K141</f>
        <v>58149383.485997967</v>
      </c>
      <c r="L142" s="123">
        <f t="shared" si="21"/>
        <v>55467382.510419995</v>
      </c>
      <c r="M142" s="123">
        <f t="shared" si="21"/>
        <v>52986846.396857269</v>
      </c>
      <c r="N142" s="123">
        <f t="shared" si="21"/>
        <v>50692144.250843093</v>
      </c>
      <c r="O142" s="123">
        <f t="shared" si="21"/>
        <v>48569816.135475576</v>
      </c>
      <c r="P142" s="123">
        <f t="shared" si="21"/>
        <v>46606402.113852844</v>
      </c>
      <c r="Q142" s="123">
        <f t="shared" si="21"/>
        <v>44669039.583007947</v>
      </c>
      <c r="R142" s="123">
        <f t="shared" si="21"/>
        <v>42732111.243676014</v>
      </c>
      <c r="S142" s="123">
        <f t="shared" si="21"/>
        <v>40794748.712831117</v>
      </c>
      <c r="T142" s="123">
        <f t="shared" si="21"/>
        <v>38857820.373499185</v>
      </c>
      <c r="U142" s="123">
        <f t="shared" si="21"/>
        <v>36920457.842654288</v>
      </c>
      <c r="V142" s="123">
        <f t="shared" si="21"/>
        <v>34983529.503322355</v>
      </c>
      <c r="W142" s="123">
        <f t="shared" si="21"/>
        <v>33046166.972477462</v>
      </c>
      <c r="X142" s="123">
        <f t="shared" si="21"/>
        <v>31109238.63314553</v>
      </c>
      <c r="Y142" s="123">
        <f t="shared" si="21"/>
        <v>29171876.102300636</v>
      </c>
      <c r="Z142" s="123">
        <f t="shared" si="21"/>
        <v>27234947.762968704</v>
      </c>
      <c r="AA142" s="123">
        <f t="shared" si="21"/>
        <v>25297585.232123811</v>
      </c>
      <c r="AB142" s="123">
        <f t="shared" si="21"/>
        <v>23360656.892791878</v>
      </c>
      <c r="AC142" s="123">
        <f t="shared" si="21"/>
        <v>22391975.62736943</v>
      </c>
      <c r="AD142" s="123">
        <f t="shared" si="21"/>
        <v>22391975.62736943</v>
      </c>
      <c r="AE142" s="123">
        <f t="shared" si="21"/>
        <v>22391975.62736943</v>
      </c>
      <c r="AF142" s="123">
        <f t="shared" si="21"/>
        <v>22391975.62736943</v>
      </c>
      <c r="AG142" s="123">
        <f t="shared" si="21"/>
        <v>22391975.62736943</v>
      </c>
      <c r="AH142" s="123">
        <f t="shared" si="21"/>
        <v>22391975.62736943</v>
      </c>
      <c r="AI142" s="123">
        <f t="shared" si="21"/>
        <v>22391975.62736943</v>
      </c>
      <c r="AJ142" s="123">
        <f t="shared" si="21"/>
        <v>22391975.62736943</v>
      </c>
      <c r="AK142" s="123">
        <f t="shared" si="21"/>
        <v>22391975.62736943</v>
      </c>
      <c r="AL142" s="123">
        <f t="shared" si="21"/>
        <v>22391975.62736943</v>
      </c>
      <c r="AM142" s="159"/>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c r="DA142" s="3"/>
      <c r="DB142" s="3"/>
      <c r="DC142" s="3"/>
      <c r="DD142" s="3"/>
      <c r="DE142" s="3"/>
      <c r="DF142" s="3"/>
      <c r="DG142" s="3"/>
      <c r="DH142" s="3"/>
      <c r="DI142" s="3"/>
      <c r="DJ142" s="3"/>
      <c r="DK142" s="3"/>
      <c r="DL142" s="3"/>
      <c r="DM142" s="3"/>
      <c r="DN142" s="3"/>
      <c r="DO142" s="3"/>
      <c r="DP142" s="3"/>
      <c r="DQ142" s="3"/>
      <c r="DR142" s="3"/>
      <c r="DS142" s="3"/>
      <c r="DT142" s="3"/>
      <c r="DU142" s="3"/>
      <c r="DV142" s="3"/>
      <c r="DW142" s="3"/>
      <c r="DX142" s="3"/>
      <c r="DY142" s="3"/>
      <c r="DZ142" s="3"/>
      <c r="EA142" s="3"/>
      <c r="EB142" s="3"/>
      <c r="EC142" s="3"/>
      <c r="ED142" s="3"/>
      <c r="EE142" s="3"/>
      <c r="EF142" s="3"/>
      <c r="EG142" s="3"/>
      <c r="EH142" s="3"/>
      <c r="EI142" s="3"/>
      <c r="EJ142" s="3"/>
      <c r="EK142" s="3"/>
      <c r="EL142" s="3"/>
      <c r="EM142" s="3"/>
      <c r="EN142" s="3"/>
      <c r="EO142" s="3"/>
      <c r="EP142" s="3"/>
      <c r="EQ142" s="3"/>
      <c r="ER142" s="3"/>
      <c r="ES142" s="3"/>
      <c r="ET142" s="3"/>
      <c r="EU142" s="3"/>
      <c r="EV142" s="3"/>
      <c r="EW142" s="3"/>
      <c r="EX142" s="3"/>
      <c r="EY142" s="3"/>
      <c r="EZ142" s="3"/>
      <c r="FA142" s="3"/>
      <c r="FB142" s="3"/>
      <c r="FC142" s="3"/>
      <c r="FD142" s="3"/>
      <c r="FE142" s="3"/>
      <c r="FF142" s="3"/>
      <c r="FG142" s="3"/>
      <c r="FH142" s="3"/>
      <c r="FI142" s="3"/>
      <c r="FJ142" s="3"/>
      <c r="FK142" s="3"/>
      <c r="FL142" s="3"/>
      <c r="FM142" s="3"/>
      <c r="FN142" s="3"/>
      <c r="FO142" s="3"/>
      <c r="FP142" s="3"/>
      <c r="FQ142" s="3"/>
      <c r="FR142" s="3"/>
      <c r="FS142" s="3"/>
      <c r="FT142" s="3"/>
      <c r="FU142" s="3"/>
      <c r="FV142" s="3"/>
      <c r="FW142" s="3"/>
      <c r="FX142" s="3"/>
      <c r="FY142" s="3"/>
      <c r="FZ142" s="3"/>
      <c r="GA142" s="3"/>
      <c r="GB142" s="3"/>
      <c r="GC142" s="3"/>
      <c r="GD142" s="3"/>
      <c r="GE142" s="3"/>
      <c r="GF142" s="3"/>
      <c r="GG142" s="3"/>
      <c r="GH142" s="3"/>
      <c r="GI142" s="3"/>
      <c r="GJ142" s="3"/>
      <c r="GK142" s="3"/>
      <c r="GL142" s="3"/>
      <c r="GM142" s="3"/>
      <c r="GN142" s="3"/>
      <c r="GO142" s="3"/>
      <c r="GP142" s="3"/>
      <c r="GQ142" s="3"/>
      <c r="GR142" s="3"/>
      <c r="GS142" s="3"/>
      <c r="GT142" s="3"/>
      <c r="GU142" s="3"/>
      <c r="GV142" s="3"/>
      <c r="GW142" s="3"/>
      <c r="GX142" s="3"/>
      <c r="GY142" s="3"/>
      <c r="GZ142" s="3"/>
      <c r="HA142" s="3"/>
      <c r="HB142" s="3"/>
      <c r="HC142" s="3"/>
      <c r="HD142" s="3"/>
      <c r="HE142" s="3"/>
      <c r="HF142" s="3"/>
      <c r="HG142" s="3"/>
      <c r="HH142" s="3"/>
      <c r="HI142" s="3"/>
      <c r="HJ142" s="3"/>
      <c r="HK142" s="3"/>
      <c r="HL142" s="3"/>
      <c r="HM142" s="3"/>
      <c r="HN142" s="3"/>
      <c r="HO142" s="3"/>
      <c r="HP142" s="3"/>
      <c r="HQ142" s="3"/>
      <c r="HR142" s="3"/>
      <c r="HS142" s="3"/>
      <c r="HT142" s="3"/>
      <c r="HU142" s="3"/>
      <c r="HV142" s="3"/>
      <c r="HW142" s="3"/>
      <c r="HX142" s="3"/>
      <c r="HY142" s="3"/>
      <c r="HZ142" s="3"/>
      <c r="IA142" s="3"/>
      <c r="IB142" s="3"/>
      <c r="IC142" s="3"/>
      <c r="ID142" s="3"/>
      <c r="IE142" s="3"/>
      <c r="IF142" s="3"/>
      <c r="IG142" s="3"/>
      <c r="IH142" s="3"/>
      <c r="II142" s="3"/>
      <c r="IJ142" s="3"/>
      <c r="IK142" s="3"/>
      <c r="IL142" s="3"/>
    </row>
    <row r="143" spans="1:246" s="131" customFormat="1" ht="4.9000000000000004" customHeight="1" x14ac:dyDescent="0.35">
      <c r="A143" s="188"/>
      <c r="B143" s="189"/>
      <c r="C143" s="189"/>
      <c r="D143" s="189"/>
      <c r="E143" s="189"/>
      <c r="F143" s="190"/>
      <c r="G143" s="190"/>
      <c r="H143" s="190"/>
      <c r="I143" s="190"/>
      <c r="J143" s="190"/>
      <c r="K143" s="190"/>
      <c r="L143" s="190"/>
      <c r="M143" s="190"/>
      <c r="N143" s="190"/>
      <c r="O143" s="190"/>
      <c r="P143" s="190"/>
      <c r="Q143" s="190"/>
      <c r="R143" s="190"/>
      <c r="S143" s="190"/>
      <c r="T143" s="190"/>
      <c r="U143" s="190"/>
      <c r="V143" s="190"/>
      <c r="W143" s="190"/>
      <c r="X143" s="190"/>
      <c r="Y143" s="190"/>
      <c r="Z143" s="190"/>
      <c r="AA143" s="190"/>
      <c r="AB143" s="190"/>
      <c r="AC143" s="190"/>
      <c r="AD143" s="190"/>
      <c r="AE143" s="190"/>
      <c r="AF143" s="190"/>
      <c r="AG143" s="190"/>
      <c r="AH143" s="190"/>
      <c r="AI143" s="190"/>
      <c r="AJ143" s="190"/>
      <c r="AK143" s="190"/>
      <c r="AL143" s="191"/>
      <c r="AM143" s="159"/>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c r="DA143" s="3"/>
      <c r="DB143" s="3"/>
      <c r="DC143" s="3"/>
      <c r="DD143" s="3"/>
      <c r="DE143" s="3"/>
      <c r="DF143" s="3"/>
      <c r="DG143" s="3"/>
      <c r="DH143" s="3"/>
      <c r="DI143" s="3"/>
      <c r="DJ143" s="3"/>
      <c r="DK143" s="3"/>
      <c r="DL143" s="3"/>
      <c r="DM143" s="3"/>
      <c r="DN143" s="3"/>
      <c r="DO143" s="3"/>
      <c r="DP143" s="3"/>
      <c r="DQ143" s="3"/>
      <c r="DR143" s="3"/>
      <c r="DS143" s="3"/>
      <c r="DT143" s="3"/>
      <c r="DU143" s="3"/>
      <c r="DV143" s="3"/>
      <c r="DW143" s="3"/>
      <c r="DX143" s="3"/>
      <c r="DY143" s="3"/>
      <c r="DZ143" s="3"/>
      <c r="EA143" s="3"/>
      <c r="EB143" s="3"/>
      <c r="EC143" s="3"/>
      <c r="ED143" s="3"/>
      <c r="EE143" s="3"/>
      <c r="EF143" s="3"/>
      <c r="EG143" s="3"/>
      <c r="EH143" s="3"/>
      <c r="EI143" s="3"/>
      <c r="EJ143" s="3"/>
      <c r="EK143" s="3"/>
      <c r="EL143" s="3"/>
      <c r="EM143" s="3"/>
      <c r="EN143" s="3"/>
      <c r="EO143" s="3"/>
      <c r="EP143" s="3"/>
      <c r="EQ143" s="3"/>
      <c r="ER143" s="3"/>
      <c r="ES143" s="3"/>
      <c r="ET143" s="3"/>
      <c r="EU143" s="3"/>
      <c r="EV143" s="3"/>
      <c r="EW143" s="3"/>
      <c r="EX143" s="3"/>
      <c r="EY143" s="3"/>
      <c r="EZ143" s="3"/>
      <c r="FA143" s="3"/>
      <c r="FB143" s="3"/>
      <c r="FC143" s="3"/>
      <c r="FD143" s="3"/>
      <c r="FE143" s="3"/>
      <c r="FF143" s="3"/>
      <c r="FG143" s="3"/>
      <c r="FH143" s="3"/>
      <c r="FI143" s="3"/>
      <c r="FJ143" s="3"/>
      <c r="FK143" s="3"/>
      <c r="FL143" s="3"/>
      <c r="FM143" s="3"/>
      <c r="FN143" s="3"/>
      <c r="FO143" s="3"/>
      <c r="FP143" s="3"/>
      <c r="FQ143" s="3"/>
      <c r="FR143" s="3"/>
      <c r="FS143" s="3"/>
      <c r="FT143" s="3"/>
      <c r="FU143" s="3"/>
      <c r="FV143" s="3"/>
      <c r="FW143" s="3"/>
      <c r="FX143" s="3"/>
      <c r="FY143" s="3"/>
      <c r="FZ143" s="3"/>
      <c r="GA143" s="3"/>
      <c r="GB143" s="3"/>
      <c r="GC143" s="3"/>
      <c r="GD143" s="3"/>
      <c r="GE143" s="3"/>
      <c r="GF143" s="3"/>
      <c r="GG143" s="3"/>
      <c r="GH143" s="3"/>
      <c r="GI143" s="3"/>
      <c r="GJ143" s="3"/>
      <c r="GK143" s="3"/>
      <c r="GL143" s="3"/>
      <c r="GM143" s="3"/>
      <c r="GN143" s="3"/>
      <c r="GO143" s="3"/>
      <c r="GP143" s="3"/>
      <c r="GQ143" s="3"/>
      <c r="GR143" s="3"/>
      <c r="GS143" s="3"/>
      <c r="GT143" s="3"/>
      <c r="GU143" s="3"/>
      <c r="GV143" s="3"/>
      <c r="GW143" s="3"/>
      <c r="GX143" s="3"/>
      <c r="GY143" s="3"/>
      <c r="GZ143" s="3"/>
      <c r="HA143" s="3"/>
      <c r="HB143" s="3"/>
      <c r="HC143" s="3"/>
      <c r="HD143" s="3"/>
      <c r="HE143" s="3"/>
      <c r="HF143" s="3"/>
      <c r="HG143" s="3"/>
      <c r="HH143" s="3"/>
      <c r="HI143" s="3"/>
      <c r="HJ143" s="3"/>
      <c r="HK143" s="3"/>
      <c r="HL143" s="3"/>
      <c r="HM143" s="3"/>
      <c r="HN143" s="3"/>
      <c r="HO143" s="3"/>
      <c r="HP143" s="3"/>
      <c r="HQ143" s="3"/>
      <c r="HR143" s="3"/>
      <c r="HS143" s="3"/>
      <c r="HT143" s="3"/>
      <c r="HU143" s="3"/>
      <c r="HV143" s="3"/>
      <c r="HW143" s="3"/>
      <c r="HX143" s="3"/>
      <c r="HY143" s="3"/>
      <c r="HZ143" s="3"/>
      <c r="IA143" s="3"/>
      <c r="IB143" s="3"/>
      <c r="IC143" s="3"/>
      <c r="ID143" s="3"/>
      <c r="IE143" s="3"/>
      <c r="IF143" s="3"/>
      <c r="IG143" s="3"/>
      <c r="IH143" s="3"/>
      <c r="II143" s="3"/>
      <c r="IJ143" s="3"/>
      <c r="IK143" s="3"/>
      <c r="IL143" s="3"/>
    </row>
    <row r="144" spans="1:246" x14ac:dyDescent="0.35">
      <c r="A144" s="171" t="s">
        <v>758</v>
      </c>
      <c r="B144" s="172"/>
      <c r="C144" s="172"/>
      <c r="D144" s="172"/>
      <c r="E144" s="172"/>
      <c r="F144" s="173"/>
      <c r="G144" s="173"/>
      <c r="H144" s="173"/>
      <c r="I144" s="173">
        <f>I132-I126-I134-I138-I141</f>
        <v>-38736812.411255099</v>
      </c>
      <c r="J144" s="173">
        <f t="shared" ref="J144:AL144" si="22">J132-J126-J134-J138-J141</f>
        <v>-60208133.458170958</v>
      </c>
      <c r="K144" s="173">
        <f t="shared" si="22"/>
        <v>-44491490.926482759</v>
      </c>
      <c r="L144" s="173">
        <f t="shared" si="22"/>
        <v>-33216316.075956695</v>
      </c>
      <c r="M144" s="173">
        <f t="shared" si="22"/>
        <v>-25141498.898982037</v>
      </c>
      <c r="N144" s="173">
        <f t="shared" si="22"/>
        <v>-24933548.773245402</v>
      </c>
      <c r="O144" s="173">
        <f t="shared" si="22"/>
        <v>-24783290.900786825</v>
      </c>
      <c r="P144" s="173">
        <f t="shared" si="22"/>
        <v>-14738454.096966596</v>
      </c>
      <c r="Q144" s="173">
        <f t="shared" si="22"/>
        <v>-4848596.0543014091</v>
      </c>
      <c r="R144" s="173">
        <f t="shared" si="22"/>
        <v>-4848161.8627884444</v>
      </c>
      <c r="S144" s="173">
        <f t="shared" si="22"/>
        <v>18809602.776402283</v>
      </c>
      <c r="T144" s="173">
        <f t="shared" si="22"/>
        <v>18810036.967915244</v>
      </c>
      <c r="U144" s="173">
        <f t="shared" si="22"/>
        <v>18809602.776402283</v>
      </c>
      <c r="V144" s="173">
        <f t="shared" si="22"/>
        <v>18810036.967915244</v>
      </c>
      <c r="W144" s="173">
        <f t="shared" si="22"/>
        <v>18809602.776402283</v>
      </c>
      <c r="X144" s="173">
        <f t="shared" si="22"/>
        <v>18810036.967915244</v>
      </c>
      <c r="Y144" s="173">
        <f t="shared" si="22"/>
        <v>18809602.776402283</v>
      </c>
      <c r="Z144" s="173">
        <f t="shared" si="22"/>
        <v>18810036.967915244</v>
      </c>
      <c r="AA144" s="173">
        <f t="shared" si="22"/>
        <v>18809602.776402283</v>
      </c>
      <c r="AB144" s="173">
        <f t="shared" si="22"/>
        <v>18810036.967915244</v>
      </c>
      <c r="AC144" s="173">
        <f t="shared" si="22"/>
        <v>19778284.041824728</v>
      </c>
      <c r="AD144" s="173">
        <f t="shared" si="22"/>
        <v>20746965.307247177</v>
      </c>
      <c r="AE144" s="173">
        <f t="shared" si="22"/>
        <v>20746965.307247177</v>
      </c>
      <c r="AF144" s="173">
        <f t="shared" si="22"/>
        <v>20746965.307247177</v>
      </c>
      <c r="AG144" s="173">
        <f t="shared" si="22"/>
        <v>20746965.307247177</v>
      </c>
      <c r="AH144" s="173">
        <f t="shared" si="22"/>
        <v>20746965.307247177</v>
      </c>
      <c r="AI144" s="173">
        <f t="shared" si="22"/>
        <v>20746965.307247177</v>
      </c>
      <c r="AJ144" s="173">
        <f t="shared" si="22"/>
        <v>20746965.307247177</v>
      </c>
      <c r="AK144" s="173">
        <f t="shared" si="22"/>
        <v>20746965.307247177</v>
      </c>
      <c r="AL144" s="173">
        <f t="shared" si="22"/>
        <v>20746965.307247177</v>
      </c>
      <c r="AM144" s="159"/>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c r="DA144" s="3"/>
      <c r="DB144" s="3"/>
      <c r="DC144" s="3"/>
      <c r="DD144" s="3"/>
      <c r="DE144" s="3"/>
      <c r="DF144" s="3"/>
      <c r="DG144" s="3"/>
      <c r="DH144" s="3"/>
      <c r="DI144" s="3"/>
      <c r="DJ144" s="3"/>
      <c r="DK144" s="3"/>
      <c r="DL144" s="3"/>
      <c r="DM144" s="3"/>
      <c r="DN144" s="3"/>
      <c r="DO144" s="3"/>
      <c r="DP144" s="3"/>
      <c r="DQ144" s="3"/>
      <c r="DR144" s="3"/>
      <c r="DS144" s="3"/>
      <c r="DT144" s="3"/>
      <c r="DU144" s="3"/>
      <c r="DV144" s="3"/>
      <c r="DW144" s="3"/>
      <c r="DX144" s="3"/>
      <c r="DY144" s="3"/>
      <c r="DZ144" s="3"/>
      <c r="EA144" s="3"/>
      <c r="EB144" s="3"/>
      <c r="EC144" s="3"/>
      <c r="ED144" s="3"/>
      <c r="EE144" s="3"/>
      <c r="EF144" s="3"/>
      <c r="EG144" s="3"/>
      <c r="EH144" s="3"/>
      <c r="EI144" s="3"/>
      <c r="EJ144" s="3"/>
      <c r="EK144" s="3"/>
      <c r="EL144" s="3"/>
      <c r="EM144" s="3"/>
      <c r="EN144" s="3"/>
      <c r="EO144" s="3"/>
      <c r="EP144" s="3"/>
      <c r="EQ144" s="3"/>
      <c r="ER144" s="3"/>
      <c r="ES144" s="3"/>
      <c r="ET144" s="3"/>
      <c r="EU144" s="3"/>
      <c r="EV144" s="3"/>
      <c r="EW144" s="3"/>
      <c r="EX144" s="3"/>
      <c r="EY144" s="3"/>
      <c r="EZ144" s="3"/>
      <c r="FA144" s="3"/>
      <c r="FB144" s="3"/>
      <c r="FC144" s="3"/>
      <c r="FD144" s="3"/>
      <c r="FE144" s="3"/>
      <c r="FF144" s="3"/>
      <c r="FG144" s="3"/>
      <c r="FH144" s="3"/>
      <c r="FI144" s="3"/>
      <c r="FJ144" s="3"/>
      <c r="FK144" s="3"/>
      <c r="FL144" s="3"/>
      <c r="FM144" s="3"/>
      <c r="FN144" s="3"/>
      <c r="FO144" s="3"/>
      <c r="FP144" s="3"/>
      <c r="FQ144" s="3"/>
      <c r="FR144" s="3"/>
      <c r="FS144" s="3"/>
      <c r="FT144" s="3"/>
      <c r="FU144" s="3"/>
      <c r="FV144" s="3"/>
      <c r="FW144" s="3"/>
      <c r="FX144" s="3"/>
      <c r="FY144" s="3"/>
      <c r="FZ144" s="3"/>
      <c r="GA144" s="3"/>
      <c r="GB144" s="3"/>
      <c r="GC144" s="3"/>
      <c r="GD144" s="3"/>
      <c r="GE144" s="3"/>
      <c r="GF144" s="3"/>
      <c r="GG144" s="3"/>
      <c r="GH144" s="3"/>
      <c r="GI144" s="3"/>
      <c r="GJ144" s="3"/>
      <c r="GK144" s="3"/>
      <c r="GL144" s="3"/>
      <c r="GM144" s="3"/>
      <c r="GN144" s="3"/>
      <c r="GO144" s="3"/>
      <c r="GP144" s="3"/>
      <c r="GQ144" s="3"/>
      <c r="GR144" s="3"/>
      <c r="GS144" s="3"/>
      <c r="GT144" s="3"/>
      <c r="GU144" s="3"/>
      <c r="GV144" s="3"/>
      <c r="GW144" s="3"/>
      <c r="GX144" s="3"/>
      <c r="GY144" s="3"/>
      <c r="GZ144" s="3"/>
      <c r="HA144" s="3"/>
      <c r="HB144" s="3"/>
      <c r="HC144" s="3"/>
      <c r="HD144" s="3"/>
      <c r="HE144" s="3"/>
      <c r="HF144" s="3"/>
      <c r="HG144" s="3"/>
      <c r="HH144" s="3"/>
      <c r="HI144" s="3"/>
      <c r="HJ144" s="3"/>
      <c r="HK144" s="3"/>
      <c r="HL144" s="3"/>
      <c r="HM144" s="3"/>
      <c r="HN144" s="3"/>
      <c r="HO144" s="3"/>
      <c r="HP144" s="3"/>
      <c r="HQ144" s="3"/>
      <c r="HR144" s="3"/>
      <c r="HS144" s="3"/>
      <c r="HT144" s="3"/>
      <c r="HU144" s="3"/>
      <c r="HV144" s="3"/>
      <c r="HW144" s="3"/>
      <c r="HX144" s="3"/>
      <c r="HY144" s="3"/>
      <c r="HZ144" s="3"/>
      <c r="IA144" s="3"/>
      <c r="IB144" s="3"/>
      <c r="IC144" s="3"/>
      <c r="ID144" s="3"/>
      <c r="IE144" s="3"/>
      <c r="IF144" s="3"/>
      <c r="IG144" s="3"/>
      <c r="IH144" s="3"/>
      <c r="II144" s="3"/>
      <c r="IJ144" s="3"/>
      <c r="IK144" s="3"/>
      <c r="IL144" s="3"/>
    </row>
    <row r="145" spans="1:246" x14ac:dyDescent="0.35">
      <c r="A145" s="171" t="s">
        <v>759</v>
      </c>
      <c r="B145" s="172"/>
      <c r="C145" s="172"/>
      <c r="D145" s="172"/>
      <c r="E145" s="172"/>
      <c r="F145" s="173"/>
      <c r="G145" s="173"/>
      <c r="H145" s="173"/>
      <c r="I145" s="173">
        <v>0</v>
      </c>
      <c r="J145" s="173">
        <f>IF(I146&lt;0,I146,0)</f>
        <v>-38736812.411255099</v>
      </c>
      <c r="K145" s="173">
        <f>IF(J146&lt;0,J146,0)</f>
        <v>-98944945.869426057</v>
      </c>
      <c r="L145" s="173">
        <f t="shared" ref="L145:AL145" si="23">IF(K146&lt;0,K146,0)</f>
        <v>-143436436.79590881</v>
      </c>
      <c r="M145" s="173">
        <f t="shared" si="23"/>
        <v>-176652752.87186551</v>
      </c>
      <c r="N145" s="173">
        <f t="shared" si="23"/>
        <v>-201794251.77084756</v>
      </c>
      <c r="O145" s="173">
        <f t="shared" si="23"/>
        <v>-226727800.54409295</v>
      </c>
      <c r="P145" s="173">
        <f t="shared" si="23"/>
        <v>-251511091.44487977</v>
      </c>
      <c r="Q145" s="173">
        <f t="shared" si="23"/>
        <v>-266249545.54184636</v>
      </c>
      <c r="R145" s="173">
        <f t="shared" si="23"/>
        <v>-271098141.59614778</v>
      </c>
      <c r="S145" s="173">
        <f t="shared" si="23"/>
        <v>-275946303.45893621</v>
      </c>
      <c r="T145" s="173">
        <f t="shared" si="23"/>
        <v>-257136700.68253392</v>
      </c>
      <c r="U145" s="173">
        <f t="shared" si="23"/>
        <v>-238326663.71461868</v>
      </c>
      <c r="V145" s="173">
        <f t="shared" si="23"/>
        <v>-219517060.93821639</v>
      </c>
      <c r="W145" s="173">
        <f t="shared" si="23"/>
        <v>-200707023.97030115</v>
      </c>
      <c r="X145" s="173">
        <f t="shared" si="23"/>
        <v>-181897421.19389886</v>
      </c>
      <c r="Y145" s="173">
        <f t="shared" si="23"/>
        <v>-163087384.22598362</v>
      </c>
      <c r="Z145" s="173">
        <f t="shared" si="23"/>
        <v>-144277781.44958133</v>
      </c>
      <c r="AA145" s="173">
        <f t="shared" si="23"/>
        <v>-125467744.48166609</v>
      </c>
      <c r="AB145" s="173">
        <f t="shared" si="23"/>
        <v>-106658141.70526381</v>
      </c>
      <c r="AC145" s="173">
        <f t="shared" si="23"/>
        <v>-87848104.737348557</v>
      </c>
      <c r="AD145" s="173">
        <f t="shared" si="23"/>
        <v>-68069820.695523828</v>
      </c>
      <c r="AE145" s="173">
        <f t="shared" si="23"/>
        <v>-47322855.388276652</v>
      </c>
      <c r="AF145" s="173">
        <f t="shared" si="23"/>
        <v>-26575890.081029475</v>
      </c>
      <c r="AG145" s="173">
        <f t="shared" si="23"/>
        <v>-5828924.773782298</v>
      </c>
      <c r="AH145" s="173">
        <f t="shared" si="23"/>
        <v>0</v>
      </c>
      <c r="AI145" s="173">
        <f t="shared" si="23"/>
        <v>0</v>
      </c>
      <c r="AJ145" s="173">
        <f t="shared" si="23"/>
        <v>0</v>
      </c>
      <c r="AK145" s="173">
        <f t="shared" si="23"/>
        <v>0</v>
      </c>
      <c r="AL145" s="174">
        <f t="shared" si="23"/>
        <v>0</v>
      </c>
      <c r="AM145" s="159"/>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c r="DA145" s="3"/>
      <c r="DB145" s="3"/>
      <c r="DC145" s="3"/>
      <c r="DD145" s="3"/>
      <c r="DE145" s="3"/>
      <c r="DF145" s="3"/>
      <c r="DG145" s="3"/>
      <c r="DH145" s="3"/>
      <c r="DI145" s="3"/>
      <c r="DJ145" s="3"/>
      <c r="DK145" s="3"/>
      <c r="DL145" s="3"/>
      <c r="DM145" s="3"/>
      <c r="DN145" s="3"/>
      <c r="DO145" s="3"/>
      <c r="DP145" s="3"/>
      <c r="DQ145" s="3"/>
      <c r="DR145" s="3"/>
      <c r="DS145" s="3"/>
      <c r="DT145" s="3"/>
      <c r="DU145" s="3"/>
      <c r="DV145" s="3"/>
      <c r="DW145" s="3"/>
      <c r="DX145" s="3"/>
      <c r="DY145" s="3"/>
      <c r="DZ145" s="3"/>
      <c r="EA145" s="3"/>
      <c r="EB145" s="3"/>
      <c r="EC145" s="3"/>
      <c r="ED145" s="3"/>
      <c r="EE145" s="3"/>
      <c r="EF145" s="3"/>
      <c r="EG145" s="3"/>
      <c r="EH145" s="3"/>
      <c r="EI145" s="3"/>
      <c r="EJ145" s="3"/>
      <c r="EK145" s="3"/>
      <c r="EL145" s="3"/>
      <c r="EM145" s="3"/>
      <c r="EN145" s="3"/>
      <c r="EO145" s="3"/>
      <c r="EP145" s="3"/>
      <c r="EQ145" s="3"/>
      <c r="ER145" s="3"/>
      <c r="ES145" s="3"/>
      <c r="ET145" s="3"/>
      <c r="EU145" s="3"/>
      <c r="EV145" s="3"/>
      <c r="EW145" s="3"/>
      <c r="EX145" s="3"/>
      <c r="EY145" s="3"/>
      <c r="EZ145" s="3"/>
      <c r="FA145" s="3"/>
      <c r="FB145" s="3"/>
      <c r="FC145" s="3"/>
      <c r="FD145" s="3"/>
      <c r="FE145" s="3"/>
      <c r="FF145" s="3"/>
      <c r="FG145" s="3"/>
      <c r="FH145" s="3"/>
      <c r="FI145" s="3"/>
      <c r="FJ145" s="3"/>
      <c r="FK145" s="3"/>
      <c r="FL145" s="3"/>
      <c r="FM145" s="3"/>
      <c r="FN145" s="3"/>
      <c r="FO145" s="3"/>
      <c r="FP145" s="3"/>
      <c r="FQ145" s="3"/>
      <c r="FR145" s="3"/>
      <c r="FS145" s="3"/>
      <c r="FT145" s="3"/>
      <c r="FU145" s="3"/>
      <c r="FV145" s="3"/>
      <c r="FW145" s="3"/>
      <c r="FX145" s="3"/>
      <c r="FY145" s="3"/>
      <c r="FZ145" s="3"/>
      <c r="GA145" s="3"/>
      <c r="GB145" s="3"/>
      <c r="GC145" s="3"/>
      <c r="GD145" s="3"/>
      <c r="GE145" s="3"/>
      <c r="GF145" s="3"/>
      <c r="GG145" s="3"/>
      <c r="GH145" s="3"/>
      <c r="GI145" s="3"/>
      <c r="GJ145" s="3"/>
      <c r="GK145" s="3"/>
      <c r="GL145" s="3"/>
      <c r="GM145" s="3"/>
      <c r="GN145" s="3"/>
      <c r="GO145" s="3"/>
      <c r="GP145" s="3"/>
      <c r="GQ145" s="3"/>
      <c r="GR145" s="3"/>
      <c r="GS145" s="3"/>
      <c r="GT145" s="3"/>
      <c r="GU145" s="3"/>
      <c r="GV145" s="3"/>
      <c r="GW145" s="3"/>
      <c r="GX145" s="3"/>
      <c r="GY145" s="3"/>
      <c r="GZ145" s="3"/>
      <c r="HA145" s="3"/>
      <c r="HB145" s="3"/>
      <c r="HC145" s="3"/>
      <c r="HD145" s="3"/>
      <c r="HE145" s="3"/>
      <c r="HF145" s="3"/>
      <c r="HG145" s="3"/>
      <c r="HH145" s="3"/>
      <c r="HI145" s="3"/>
      <c r="HJ145" s="3"/>
      <c r="HK145" s="3"/>
      <c r="HL145" s="3"/>
      <c r="HM145" s="3"/>
      <c r="HN145" s="3"/>
      <c r="HO145" s="3"/>
      <c r="HP145" s="3"/>
      <c r="HQ145" s="3"/>
      <c r="HR145" s="3"/>
      <c r="HS145" s="3"/>
      <c r="HT145" s="3"/>
      <c r="HU145" s="3"/>
      <c r="HV145" s="3"/>
      <c r="HW145" s="3"/>
      <c r="HX145" s="3"/>
      <c r="HY145" s="3"/>
      <c r="HZ145" s="3"/>
      <c r="IA145" s="3"/>
      <c r="IB145" s="3"/>
      <c r="IC145" s="3"/>
      <c r="ID145" s="3"/>
      <c r="IE145" s="3"/>
      <c r="IF145" s="3"/>
      <c r="IG145" s="3"/>
      <c r="IH145" s="3"/>
      <c r="II145" s="3"/>
      <c r="IJ145" s="3"/>
      <c r="IK145" s="3"/>
      <c r="IL145" s="3"/>
    </row>
    <row r="146" spans="1:246" x14ac:dyDescent="0.35">
      <c r="A146" s="171" t="s">
        <v>760</v>
      </c>
      <c r="B146" s="172"/>
      <c r="C146" s="172"/>
      <c r="D146" s="172"/>
      <c r="E146" s="172"/>
      <c r="F146" s="173"/>
      <c r="G146" s="173"/>
      <c r="H146" s="173"/>
      <c r="I146" s="173">
        <f>I144+I145</f>
        <v>-38736812.411255099</v>
      </c>
      <c r="J146" s="173">
        <f>J144+J145</f>
        <v>-98944945.869426057</v>
      </c>
      <c r="K146" s="173">
        <f>K144+K145</f>
        <v>-143436436.79590881</v>
      </c>
      <c r="L146" s="173">
        <f t="shared" ref="L146:AL146" si="24">L144+L145</f>
        <v>-176652752.87186551</v>
      </c>
      <c r="M146" s="173">
        <f t="shared" si="24"/>
        <v>-201794251.77084756</v>
      </c>
      <c r="N146" s="173">
        <f t="shared" si="24"/>
        <v>-226727800.54409295</v>
      </c>
      <c r="O146" s="173">
        <f t="shared" si="24"/>
        <v>-251511091.44487977</v>
      </c>
      <c r="P146" s="173">
        <f t="shared" si="24"/>
        <v>-266249545.54184636</v>
      </c>
      <c r="Q146" s="173">
        <f t="shared" si="24"/>
        <v>-271098141.59614778</v>
      </c>
      <c r="R146" s="173">
        <f t="shared" si="24"/>
        <v>-275946303.45893621</v>
      </c>
      <c r="S146" s="173">
        <f t="shared" si="24"/>
        <v>-257136700.68253392</v>
      </c>
      <c r="T146" s="173">
        <f t="shared" si="24"/>
        <v>-238326663.71461868</v>
      </c>
      <c r="U146" s="173">
        <f t="shared" si="24"/>
        <v>-219517060.93821639</v>
      </c>
      <c r="V146" s="173">
        <f t="shared" si="24"/>
        <v>-200707023.97030115</v>
      </c>
      <c r="W146" s="173">
        <f t="shared" si="24"/>
        <v>-181897421.19389886</v>
      </c>
      <c r="X146" s="173">
        <f t="shared" si="24"/>
        <v>-163087384.22598362</v>
      </c>
      <c r="Y146" s="173">
        <f t="shared" si="24"/>
        <v>-144277781.44958133</v>
      </c>
      <c r="Z146" s="173">
        <f t="shared" si="24"/>
        <v>-125467744.48166609</v>
      </c>
      <c r="AA146" s="173">
        <f t="shared" si="24"/>
        <v>-106658141.70526381</v>
      </c>
      <c r="AB146" s="173">
        <f t="shared" si="24"/>
        <v>-87848104.737348557</v>
      </c>
      <c r="AC146" s="173">
        <f t="shared" si="24"/>
        <v>-68069820.695523828</v>
      </c>
      <c r="AD146" s="173">
        <f t="shared" si="24"/>
        <v>-47322855.388276652</v>
      </c>
      <c r="AE146" s="173">
        <f t="shared" si="24"/>
        <v>-26575890.081029475</v>
      </c>
      <c r="AF146" s="173">
        <f t="shared" si="24"/>
        <v>-5828924.773782298</v>
      </c>
      <c r="AG146" s="173">
        <f t="shared" si="24"/>
        <v>14918040.533464879</v>
      </c>
      <c r="AH146" s="173">
        <f t="shared" si="24"/>
        <v>20746965.307247177</v>
      </c>
      <c r="AI146" s="173">
        <f t="shared" si="24"/>
        <v>20746965.307247177</v>
      </c>
      <c r="AJ146" s="173">
        <f t="shared" si="24"/>
        <v>20746965.307247177</v>
      </c>
      <c r="AK146" s="173">
        <f t="shared" si="24"/>
        <v>20746965.307247177</v>
      </c>
      <c r="AL146" s="174">
        <f t="shared" si="24"/>
        <v>20746965.307247177</v>
      </c>
      <c r="AM146" s="159"/>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c r="DA146" s="3"/>
      <c r="DB146" s="3"/>
      <c r="DC146" s="3"/>
      <c r="DD146" s="3"/>
      <c r="DE146" s="3"/>
      <c r="DF146" s="3"/>
      <c r="DG146" s="3"/>
      <c r="DH146" s="3"/>
      <c r="DI146" s="3"/>
      <c r="DJ146" s="3"/>
      <c r="DK146" s="3"/>
      <c r="DL146" s="3"/>
      <c r="DM146" s="3"/>
      <c r="DN146" s="3"/>
      <c r="DO146" s="3"/>
      <c r="DP146" s="3"/>
      <c r="DQ146" s="3"/>
      <c r="DR146" s="3"/>
      <c r="DS146" s="3"/>
      <c r="DT146" s="3"/>
      <c r="DU146" s="3"/>
      <c r="DV146" s="3"/>
      <c r="DW146" s="3"/>
      <c r="DX146" s="3"/>
      <c r="DY146" s="3"/>
      <c r="DZ146" s="3"/>
      <c r="EA146" s="3"/>
      <c r="EB146" s="3"/>
      <c r="EC146" s="3"/>
      <c r="ED146" s="3"/>
      <c r="EE146" s="3"/>
      <c r="EF146" s="3"/>
      <c r="EG146" s="3"/>
      <c r="EH146" s="3"/>
      <c r="EI146" s="3"/>
      <c r="EJ146" s="3"/>
      <c r="EK146" s="3"/>
      <c r="EL146" s="3"/>
      <c r="EM146" s="3"/>
      <c r="EN146" s="3"/>
      <c r="EO146" s="3"/>
      <c r="EP146" s="3"/>
      <c r="EQ146" s="3"/>
      <c r="ER146" s="3"/>
      <c r="ES146" s="3"/>
      <c r="ET146" s="3"/>
      <c r="EU146" s="3"/>
      <c r="EV146" s="3"/>
      <c r="EW146" s="3"/>
      <c r="EX146" s="3"/>
      <c r="EY146" s="3"/>
      <c r="EZ146" s="3"/>
      <c r="FA146" s="3"/>
      <c r="FB146" s="3"/>
      <c r="FC146" s="3"/>
      <c r="FD146" s="3"/>
      <c r="FE146" s="3"/>
      <c r="FF146" s="3"/>
      <c r="FG146" s="3"/>
      <c r="FH146" s="3"/>
      <c r="FI146" s="3"/>
      <c r="FJ146" s="3"/>
      <c r="FK146" s="3"/>
      <c r="FL146" s="3"/>
      <c r="FM146" s="3"/>
      <c r="FN146" s="3"/>
      <c r="FO146" s="3"/>
      <c r="FP146" s="3"/>
      <c r="FQ146" s="3"/>
      <c r="FR146" s="3"/>
      <c r="FS146" s="3"/>
      <c r="FT146" s="3"/>
      <c r="FU146" s="3"/>
      <c r="FV146" s="3"/>
      <c r="FW146" s="3"/>
      <c r="FX146" s="3"/>
      <c r="FY146" s="3"/>
      <c r="FZ146" s="3"/>
      <c r="GA146" s="3"/>
      <c r="GB146" s="3"/>
      <c r="GC146" s="3"/>
      <c r="GD146" s="3"/>
      <c r="GE146" s="3"/>
      <c r="GF146" s="3"/>
      <c r="GG146" s="3"/>
      <c r="GH146" s="3"/>
      <c r="GI146" s="3"/>
      <c r="GJ146" s="3"/>
      <c r="GK146" s="3"/>
      <c r="GL146" s="3"/>
      <c r="GM146" s="3"/>
      <c r="GN146" s="3"/>
      <c r="GO146" s="3"/>
      <c r="GP146" s="3"/>
      <c r="GQ146" s="3"/>
      <c r="GR146" s="3"/>
      <c r="GS146" s="3"/>
      <c r="GT146" s="3"/>
      <c r="GU146" s="3"/>
      <c r="GV146" s="3"/>
      <c r="GW146" s="3"/>
      <c r="GX146" s="3"/>
      <c r="GY146" s="3"/>
      <c r="GZ146" s="3"/>
      <c r="HA146" s="3"/>
      <c r="HB146" s="3"/>
      <c r="HC146" s="3"/>
      <c r="HD146" s="3"/>
      <c r="HE146" s="3"/>
      <c r="HF146" s="3"/>
      <c r="HG146" s="3"/>
      <c r="HH146" s="3"/>
      <c r="HI146" s="3"/>
      <c r="HJ146" s="3"/>
      <c r="HK146" s="3"/>
      <c r="HL146" s="3"/>
      <c r="HM146" s="3"/>
      <c r="HN146" s="3"/>
      <c r="HO146" s="3"/>
      <c r="HP146" s="3"/>
      <c r="HQ146" s="3"/>
      <c r="HR146" s="3"/>
      <c r="HS146" s="3"/>
      <c r="HT146" s="3"/>
      <c r="HU146" s="3"/>
      <c r="HV146" s="3"/>
      <c r="HW146" s="3"/>
      <c r="HX146" s="3"/>
      <c r="HY146" s="3"/>
      <c r="HZ146" s="3"/>
      <c r="IA146" s="3"/>
      <c r="IB146" s="3"/>
      <c r="IC146" s="3"/>
      <c r="ID146" s="3"/>
      <c r="IE146" s="3"/>
      <c r="IF146" s="3"/>
      <c r="IG146" s="3"/>
      <c r="IH146" s="3"/>
      <c r="II146" s="3"/>
      <c r="IJ146" s="3"/>
      <c r="IK146" s="3"/>
      <c r="IL146" s="3"/>
    </row>
    <row r="147" spans="1:246" x14ac:dyDescent="0.35">
      <c r="A147" s="171" t="s">
        <v>761</v>
      </c>
      <c r="B147" s="172"/>
      <c r="C147" s="172"/>
      <c r="D147" s="172"/>
      <c r="E147" s="172"/>
      <c r="F147" s="173"/>
      <c r="G147" s="173"/>
      <c r="H147" s="173"/>
      <c r="I147" s="173">
        <f>IF(I146&lt;0,0,I146*Tax_Rate)</f>
        <v>0</v>
      </c>
      <c r="J147" s="173">
        <f t="shared" ref="J147:AL147" si="25">IF(J146&lt;0,0,J146*Tax_Rate)</f>
        <v>0</v>
      </c>
      <c r="K147" s="173">
        <f t="shared" si="25"/>
        <v>0</v>
      </c>
      <c r="L147" s="173">
        <f t="shared" si="25"/>
        <v>0</v>
      </c>
      <c r="M147" s="173">
        <f t="shared" si="25"/>
        <v>0</v>
      </c>
      <c r="N147" s="173">
        <f t="shared" si="25"/>
        <v>0</v>
      </c>
      <c r="O147" s="173">
        <f t="shared" si="25"/>
        <v>0</v>
      </c>
      <c r="P147" s="173">
        <f t="shared" si="25"/>
        <v>0</v>
      </c>
      <c r="Q147" s="173">
        <f t="shared" si="25"/>
        <v>0</v>
      </c>
      <c r="R147" s="173">
        <f t="shared" si="25"/>
        <v>0</v>
      </c>
      <c r="S147" s="173">
        <f t="shared" si="25"/>
        <v>0</v>
      </c>
      <c r="T147" s="173">
        <f t="shared" si="25"/>
        <v>0</v>
      </c>
      <c r="U147" s="173">
        <f t="shared" si="25"/>
        <v>0</v>
      </c>
      <c r="V147" s="173">
        <f t="shared" si="25"/>
        <v>0</v>
      </c>
      <c r="W147" s="173">
        <f t="shared" si="25"/>
        <v>0</v>
      </c>
      <c r="X147" s="173">
        <f t="shared" si="25"/>
        <v>0</v>
      </c>
      <c r="Y147" s="173">
        <f t="shared" si="25"/>
        <v>0</v>
      </c>
      <c r="Z147" s="173">
        <f t="shared" si="25"/>
        <v>0</v>
      </c>
      <c r="AA147" s="173">
        <f t="shared" si="25"/>
        <v>0</v>
      </c>
      <c r="AB147" s="173">
        <f t="shared" si="25"/>
        <v>0</v>
      </c>
      <c r="AC147" s="173">
        <f t="shared" si="25"/>
        <v>0</v>
      </c>
      <c r="AD147" s="173">
        <f t="shared" si="25"/>
        <v>0</v>
      </c>
      <c r="AE147" s="173">
        <f t="shared" si="25"/>
        <v>0</v>
      </c>
      <c r="AF147" s="173">
        <f t="shared" si="25"/>
        <v>0</v>
      </c>
      <c r="AG147" s="173">
        <f t="shared" si="25"/>
        <v>5221314.1867127074</v>
      </c>
      <c r="AH147" s="173">
        <f t="shared" si="25"/>
        <v>7261437.8575365115</v>
      </c>
      <c r="AI147" s="173">
        <f t="shared" si="25"/>
        <v>7261437.8575365115</v>
      </c>
      <c r="AJ147" s="173">
        <f t="shared" si="25"/>
        <v>7261437.8575365115</v>
      </c>
      <c r="AK147" s="173">
        <f t="shared" si="25"/>
        <v>7261437.8575365115</v>
      </c>
      <c r="AL147" s="174">
        <f t="shared" si="25"/>
        <v>7261437.8575365115</v>
      </c>
      <c r="AM147" s="159"/>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c r="DA147" s="3"/>
      <c r="DB147" s="3"/>
      <c r="DC147" s="3"/>
      <c r="DD147" s="3"/>
      <c r="DE147" s="3"/>
      <c r="DF147" s="3"/>
      <c r="DG147" s="3"/>
      <c r="DH147" s="3"/>
      <c r="DI147" s="3"/>
      <c r="DJ147" s="3"/>
      <c r="DK147" s="3"/>
      <c r="DL147" s="3"/>
      <c r="DM147" s="3"/>
      <c r="DN147" s="3"/>
      <c r="DO147" s="3"/>
      <c r="DP147" s="3"/>
      <c r="DQ147" s="3"/>
      <c r="DR147" s="3"/>
      <c r="DS147" s="3"/>
      <c r="DT147" s="3"/>
      <c r="DU147" s="3"/>
      <c r="DV147" s="3"/>
      <c r="DW147" s="3"/>
      <c r="DX147" s="3"/>
      <c r="DY147" s="3"/>
      <c r="DZ147" s="3"/>
      <c r="EA147" s="3"/>
      <c r="EB147" s="3"/>
      <c r="EC147" s="3"/>
      <c r="ED147" s="3"/>
      <c r="EE147" s="3"/>
      <c r="EF147" s="3"/>
      <c r="EG147" s="3"/>
      <c r="EH147" s="3"/>
      <c r="EI147" s="3"/>
      <c r="EJ147" s="3"/>
      <c r="EK147" s="3"/>
      <c r="EL147" s="3"/>
      <c r="EM147" s="3"/>
      <c r="EN147" s="3"/>
      <c r="EO147" s="3"/>
      <c r="EP147" s="3"/>
      <c r="EQ147" s="3"/>
      <c r="ER147" s="3"/>
      <c r="ES147" s="3"/>
      <c r="ET147" s="3"/>
      <c r="EU147" s="3"/>
      <c r="EV147" s="3"/>
      <c r="EW147" s="3"/>
      <c r="EX147" s="3"/>
      <c r="EY147" s="3"/>
      <c r="EZ147" s="3"/>
      <c r="FA147" s="3"/>
      <c r="FB147" s="3"/>
      <c r="FC147" s="3"/>
      <c r="FD147" s="3"/>
      <c r="FE147" s="3"/>
      <c r="FF147" s="3"/>
      <c r="FG147" s="3"/>
      <c r="FH147" s="3"/>
      <c r="FI147" s="3"/>
      <c r="FJ147" s="3"/>
      <c r="FK147" s="3"/>
      <c r="FL147" s="3"/>
      <c r="FM147" s="3"/>
      <c r="FN147" s="3"/>
      <c r="FO147" s="3"/>
      <c r="FP147" s="3"/>
      <c r="FQ147" s="3"/>
      <c r="FR147" s="3"/>
      <c r="FS147" s="3"/>
      <c r="FT147" s="3"/>
      <c r="FU147" s="3"/>
      <c r="FV147" s="3"/>
      <c r="FW147" s="3"/>
      <c r="FX147" s="3"/>
      <c r="FY147" s="3"/>
      <c r="FZ147" s="3"/>
      <c r="GA147" s="3"/>
      <c r="GB147" s="3"/>
      <c r="GC147" s="3"/>
      <c r="GD147" s="3"/>
      <c r="GE147" s="3"/>
      <c r="GF147" s="3"/>
      <c r="GG147" s="3"/>
      <c r="GH147" s="3"/>
      <c r="GI147" s="3"/>
      <c r="GJ147" s="3"/>
      <c r="GK147" s="3"/>
      <c r="GL147" s="3"/>
      <c r="GM147" s="3"/>
      <c r="GN147" s="3"/>
      <c r="GO147" s="3"/>
      <c r="GP147" s="3"/>
      <c r="GQ147" s="3"/>
      <c r="GR147" s="3"/>
      <c r="GS147" s="3"/>
      <c r="GT147" s="3"/>
      <c r="GU147" s="3"/>
      <c r="GV147" s="3"/>
      <c r="GW147" s="3"/>
      <c r="GX147" s="3"/>
      <c r="GY147" s="3"/>
      <c r="GZ147" s="3"/>
      <c r="HA147" s="3"/>
      <c r="HB147" s="3"/>
      <c r="HC147" s="3"/>
      <c r="HD147" s="3"/>
      <c r="HE147" s="3"/>
      <c r="HF147" s="3"/>
      <c r="HG147" s="3"/>
      <c r="HH147" s="3"/>
      <c r="HI147" s="3"/>
      <c r="HJ147" s="3"/>
      <c r="HK147" s="3"/>
      <c r="HL147" s="3"/>
      <c r="HM147" s="3"/>
      <c r="HN147" s="3"/>
      <c r="HO147" s="3"/>
      <c r="HP147" s="3"/>
      <c r="HQ147" s="3"/>
      <c r="HR147" s="3"/>
      <c r="HS147" s="3"/>
      <c r="HT147" s="3"/>
      <c r="HU147" s="3"/>
      <c r="HV147" s="3"/>
      <c r="HW147" s="3"/>
      <c r="HX147" s="3"/>
      <c r="HY147" s="3"/>
      <c r="HZ147" s="3"/>
      <c r="IA147" s="3"/>
      <c r="IB147" s="3"/>
      <c r="IC147" s="3"/>
      <c r="ID147" s="3"/>
      <c r="IE147" s="3"/>
      <c r="IF147" s="3"/>
      <c r="IG147" s="3"/>
      <c r="IH147" s="3"/>
      <c r="II147" s="3"/>
      <c r="IJ147" s="3"/>
      <c r="IK147" s="3"/>
      <c r="IL147" s="3"/>
    </row>
    <row r="148" spans="1:246" s="131" customFormat="1" ht="4.9000000000000004" customHeight="1" x14ac:dyDescent="0.35">
      <c r="A148" s="188"/>
      <c r="B148" s="189"/>
      <c r="C148" s="189"/>
      <c r="D148" s="189"/>
      <c r="E148" s="189"/>
      <c r="F148" s="190"/>
      <c r="G148" s="190"/>
      <c r="H148" s="190"/>
      <c r="I148" s="190"/>
      <c r="J148" s="190"/>
      <c r="K148" s="190"/>
      <c r="L148" s="190"/>
      <c r="M148" s="190"/>
      <c r="N148" s="190"/>
      <c r="O148" s="190"/>
      <c r="P148" s="190"/>
      <c r="Q148" s="190"/>
      <c r="R148" s="190"/>
      <c r="S148" s="190"/>
      <c r="T148" s="190"/>
      <c r="U148" s="190"/>
      <c r="V148" s="190"/>
      <c r="W148" s="190"/>
      <c r="X148" s="190"/>
      <c r="Y148" s="190"/>
      <c r="Z148" s="190"/>
      <c r="AA148" s="190"/>
      <c r="AB148" s="190"/>
      <c r="AC148" s="190"/>
      <c r="AD148" s="190"/>
      <c r="AE148" s="190"/>
      <c r="AF148" s="190"/>
      <c r="AG148" s="190"/>
      <c r="AH148" s="190"/>
      <c r="AI148" s="190"/>
      <c r="AJ148" s="190"/>
      <c r="AK148" s="190"/>
      <c r="AL148" s="191"/>
      <c r="AM148" s="159"/>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c r="DA148" s="3"/>
      <c r="DB148" s="3"/>
      <c r="DC148" s="3"/>
      <c r="DD148" s="3"/>
      <c r="DE148" s="3"/>
      <c r="DF148" s="3"/>
      <c r="DG148" s="3"/>
      <c r="DH148" s="3"/>
      <c r="DI148" s="3"/>
      <c r="DJ148" s="3"/>
      <c r="DK148" s="3"/>
      <c r="DL148" s="3"/>
      <c r="DM148" s="3"/>
      <c r="DN148" s="3"/>
      <c r="DO148" s="3"/>
      <c r="DP148" s="3"/>
      <c r="DQ148" s="3"/>
      <c r="DR148" s="3"/>
      <c r="DS148" s="3"/>
      <c r="DT148" s="3"/>
      <c r="DU148" s="3"/>
      <c r="DV148" s="3"/>
      <c r="DW148" s="3"/>
      <c r="DX148" s="3"/>
      <c r="DY148" s="3"/>
      <c r="DZ148" s="3"/>
      <c r="EA148" s="3"/>
      <c r="EB148" s="3"/>
      <c r="EC148" s="3"/>
      <c r="ED148" s="3"/>
      <c r="EE148" s="3"/>
      <c r="EF148" s="3"/>
      <c r="EG148" s="3"/>
      <c r="EH148" s="3"/>
      <c r="EI148" s="3"/>
      <c r="EJ148" s="3"/>
      <c r="EK148" s="3"/>
      <c r="EL148" s="3"/>
      <c r="EM148" s="3"/>
      <c r="EN148" s="3"/>
      <c r="EO148" s="3"/>
      <c r="EP148" s="3"/>
      <c r="EQ148" s="3"/>
      <c r="ER148" s="3"/>
      <c r="ES148" s="3"/>
      <c r="ET148" s="3"/>
      <c r="EU148" s="3"/>
      <c r="EV148" s="3"/>
      <c r="EW148" s="3"/>
      <c r="EX148" s="3"/>
      <c r="EY148" s="3"/>
      <c r="EZ148" s="3"/>
      <c r="FA148" s="3"/>
      <c r="FB148" s="3"/>
      <c r="FC148" s="3"/>
      <c r="FD148" s="3"/>
      <c r="FE148" s="3"/>
      <c r="FF148" s="3"/>
      <c r="FG148" s="3"/>
      <c r="FH148" s="3"/>
      <c r="FI148" s="3"/>
      <c r="FJ148" s="3"/>
      <c r="FK148" s="3"/>
      <c r="FL148" s="3"/>
      <c r="FM148" s="3"/>
      <c r="FN148" s="3"/>
      <c r="FO148" s="3"/>
      <c r="FP148" s="3"/>
      <c r="FQ148" s="3"/>
      <c r="FR148" s="3"/>
      <c r="FS148" s="3"/>
      <c r="FT148" s="3"/>
      <c r="FU148" s="3"/>
      <c r="FV148" s="3"/>
      <c r="FW148" s="3"/>
      <c r="FX148" s="3"/>
      <c r="FY148" s="3"/>
      <c r="FZ148" s="3"/>
      <c r="GA148" s="3"/>
      <c r="GB148" s="3"/>
      <c r="GC148" s="3"/>
      <c r="GD148" s="3"/>
      <c r="GE148" s="3"/>
      <c r="GF148" s="3"/>
      <c r="GG148" s="3"/>
      <c r="GH148" s="3"/>
      <c r="GI148" s="3"/>
      <c r="GJ148" s="3"/>
      <c r="GK148" s="3"/>
      <c r="GL148" s="3"/>
      <c r="GM148" s="3"/>
      <c r="GN148" s="3"/>
      <c r="GO148" s="3"/>
      <c r="GP148" s="3"/>
      <c r="GQ148" s="3"/>
      <c r="GR148" s="3"/>
      <c r="GS148" s="3"/>
      <c r="GT148" s="3"/>
      <c r="GU148" s="3"/>
      <c r="GV148" s="3"/>
      <c r="GW148" s="3"/>
      <c r="GX148" s="3"/>
      <c r="GY148" s="3"/>
      <c r="GZ148" s="3"/>
      <c r="HA148" s="3"/>
      <c r="HB148" s="3"/>
      <c r="HC148" s="3"/>
      <c r="HD148" s="3"/>
      <c r="HE148" s="3"/>
      <c r="HF148" s="3"/>
      <c r="HG148" s="3"/>
      <c r="HH148" s="3"/>
      <c r="HI148" s="3"/>
      <c r="HJ148" s="3"/>
      <c r="HK148" s="3"/>
      <c r="HL148" s="3"/>
      <c r="HM148" s="3"/>
      <c r="HN148" s="3"/>
      <c r="HO148" s="3"/>
      <c r="HP148" s="3"/>
      <c r="HQ148" s="3"/>
      <c r="HR148" s="3"/>
      <c r="HS148" s="3"/>
      <c r="HT148" s="3"/>
      <c r="HU148" s="3"/>
      <c r="HV148" s="3"/>
      <c r="HW148" s="3"/>
      <c r="HX148" s="3"/>
      <c r="HY148" s="3"/>
      <c r="HZ148" s="3"/>
      <c r="IA148" s="3"/>
      <c r="IB148" s="3"/>
      <c r="IC148" s="3"/>
      <c r="ID148" s="3"/>
      <c r="IE148" s="3"/>
      <c r="IF148" s="3"/>
      <c r="IG148" s="3"/>
      <c r="IH148" s="3"/>
      <c r="II148" s="3"/>
      <c r="IJ148" s="3"/>
      <c r="IK148" s="3"/>
      <c r="IL148" s="3"/>
    </row>
    <row r="149" spans="1:246" x14ac:dyDescent="0.35">
      <c r="A149" s="171" t="s">
        <v>762</v>
      </c>
      <c r="B149" s="172"/>
      <c r="C149" s="172"/>
      <c r="D149" s="172"/>
      <c r="E149" s="172"/>
      <c r="F149" s="173"/>
      <c r="G149" s="173"/>
      <c r="H149" s="173"/>
      <c r="I149" s="173">
        <f>I132-I126-I134-I147</f>
        <v>-5504604.1868624091</v>
      </c>
      <c r="J149" s="173">
        <f t="shared" ref="J149:AL149" si="26">J132-J126-J134-J147</f>
        <v>-2911233.5234565139</v>
      </c>
      <c r="K149" s="173">
        <f>K132-K126-K134-K147</f>
        <v>-2911233.5234565139</v>
      </c>
      <c r="L149" s="173">
        <f t="shared" si="26"/>
        <v>-2911233.5234565139</v>
      </c>
      <c r="M149" s="173">
        <f t="shared" si="26"/>
        <v>-2911233.5234565139</v>
      </c>
      <c r="N149" s="173">
        <f t="shared" si="26"/>
        <v>-2911233.5234565139</v>
      </c>
      <c r="O149" s="173">
        <f t="shared" si="26"/>
        <v>-2911233.5234565139</v>
      </c>
      <c r="P149" s="173">
        <f t="shared" si="26"/>
        <v>-2911233.5234565139</v>
      </c>
      <c r="Q149" s="173">
        <f t="shared" si="26"/>
        <v>-2911233.5234565139</v>
      </c>
      <c r="R149" s="173">
        <f t="shared" si="26"/>
        <v>-2911233.5234565139</v>
      </c>
      <c r="S149" s="173">
        <f t="shared" si="26"/>
        <v>20746965.307247177</v>
      </c>
      <c r="T149" s="173">
        <f t="shared" si="26"/>
        <v>20746965.307247177</v>
      </c>
      <c r="U149" s="173">
        <f t="shared" si="26"/>
        <v>20746965.307247177</v>
      </c>
      <c r="V149" s="173">
        <f t="shared" si="26"/>
        <v>20746965.307247177</v>
      </c>
      <c r="W149" s="173">
        <f t="shared" si="26"/>
        <v>20746965.307247177</v>
      </c>
      <c r="X149" s="173">
        <f t="shared" si="26"/>
        <v>20746965.307247177</v>
      </c>
      <c r="Y149" s="173">
        <f>Y132-Y126-Y134-Y147</f>
        <v>20746965.307247177</v>
      </c>
      <c r="Z149" s="173">
        <f t="shared" si="26"/>
        <v>20746965.307247177</v>
      </c>
      <c r="AA149" s="173">
        <f t="shared" si="26"/>
        <v>20746965.307247177</v>
      </c>
      <c r="AB149" s="173">
        <f t="shared" si="26"/>
        <v>20746965.307247177</v>
      </c>
      <c r="AC149" s="173">
        <f t="shared" si="26"/>
        <v>20746965.307247177</v>
      </c>
      <c r="AD149" s="173">
        <f t="shared" si="26"/>
        <v>20746965.307247177</v>
      </c>
      <c r="AE149" s="173">
        <f t="shared" si="26"/>
        <v>20746965.307247177</v>
      </c>
      <c r="AF149" s="173">
        <f t="shared" si="26"/>
        <v>20746965.307247177</v>
      </c>
      <c r="AG149" s="173">
        <f t="shared" si="26"/>
        <v>15525651.120534468</v>
      </c>
      <c r="AH149" s="173">
        <f t="shared" si="26"/>
        <v>13485527.449710665</v>
      </c>
      <c r="AI149" s="173">
        <f t="shared" si="26"/>
        <v>13485527.449710665</v>
      </c>
      <c r="AJ149" s="173">
        <f t="shared" si="26"/>
        <v>13485527.449710665</v>
      </c>
      <c r="AK149" s="173">
        <f t="shared" si="26"/>
        <v>13485527.449710665</v>
      </c>
      <c r="AL149" s="173">
        <f t="shared" si="26"/>
        <v>13485527.449710665</v>
      </c>
      <c r="AM149" s="159"/>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c r="DA149" s="3"/>
      <c r="DB149" s="3"/>
      <c r="DC149" s="3"/>
      <c r="DD149" s="3"/>
      <c r="DE149" s="3"/>
      <c r="DF149" s="3"/>
      <c r="DG149" s="3"/>
      <c r="DH149" s="3"/>
      <c r="DI149" s="3"/>
      <c r="DJ149" s="3"/>
      <c r="DK149" s="3"/>
      <c r="DL149" s="3"/>
      <c r="DM149" s="3"/>
      <c r="DN149" s="3"/>
      <c r="DO149" s="3"/>
      <c r="DP149" s="3"/>
      <c r="DQ149" s="3"/>
      <c r="DR149" s="3"/>
      <c r="DS149" s="3"/>
      <c r="DT149" s="3"/>
      <c r="DU149" s="3"/>
      <c r="DV149" s="3"/>
      <c r="DW149" s="3"/>
      <c r="DX149" s="3"/>
      <c r="DY149" s="3"/>
      <c r="DZ149" s="3"/>
      <c r="EA149" s="3"/>
      <c r="EB149" s="3"/>
      <c r="EC149" s="3"/>
      <c r="ED149" s="3"/>
      <c r="EE149" s="3"/>
      <c r="EF149" s="3"/>
      <c r="EG149" s="3"/>
      <c r="EH149" s="3"/>
      <c r="EI149" s="3"/>
      <c r="EJ149" s="3"/>
      <c r="EK149" s="3"/>
      <c r="EL149" s="3"/>
      <c r="EM149" s="3"/>
      <c r="EN149" s="3"/>
      <c r="EO149" s="3"/>
      <c r="EP149" s="3"/>
      <c r="EQ149" s="3"/>
      <c r="ER149" s="3"/>
      <c r="ES149" s="3"/>
      <c r="ET149" s="3"/>
      <c r="EU149" s="3"/>
      <c r="EV149" s="3"/>
      <c r="EW149" s="3"/>
      <c r="EX149" s="3"/>
      <c r="EY149" s="3"/>
      <c r="EZ149" s="3"/>
      <c r="FA149" s="3"/>
      <c r="FB149" s="3"/>
      <c r="FC149" s="3"/>
      <c r="FD149" s="3"/>
      <c r="FE149" s="3"/>
      <c r="FF149" s="3"/>
      <c r="FG149" s="3"/>
      <c r="FH149" s="3"/>
      <c r="FI149" s="3"/>
      <c r="FJ149" s="3"/>
      <c r="FK149" s="3"/>
      <c r="FL149" s="3"/>
      <c r="FM149" s="3"/>
      <c r="FN149" s="3"/>
      <c r="FO149" s="3"/>
      <c r="FP149" s="3"/>
      <c r="FQ149" s="3"/>
      <c r="FR149" s="3"/>
      <c r="FS149" s="3"/>
      <c r="FT149" s="3"/>
      <c r="FU149" s="3"/>
      <c r="FV149" s="3"/>
      <c r="FW149" s="3"/>
      <c r="FX149" s="3"/>
      <c r="FY149" s="3"/>
      <c r="FZ149" s="3"/>
      <c r="GA149" s="3"/>
      <c r="GB149" s="3"/>
      <c r="GC149" s="3"/>
      <c r="GD149" s="3"/>
      <c r="GE149" s="3"/>
      <c r="GF149" s="3"/>
      <c r="GG149" s="3"/>
      <c r="GH149" s="3"/>
      <c r="GI149" s="3"/>
      <c r="GJ149" s="3"/>
      <c r="GK149" s="3"/>
      <c r="GL149" s="3"/>
      <c r="GM149" s="3"/>
      <c r="GN149" s="3"/>
      <c r="GO149" s="3"/>
      <c r="GP149" s="3"/>
      <c r="GQ149" s="3"/>
      <c r="GR149" s="3"/>
      <c r="GS149" s="3"/>
      <c r="GT149" s="3"/>
      <c r="GU149" s="3"/>
      <c r="GV149" s="3"/>
      <c r="GW149" s="3"/>
      <c r="GX149" s="3"/>
      <c r="GY149" s="3"/>
      <c r="GZ149" s="3"/>
      <c r="HA149" s="3"/>
      <c r="HB149" s="3"/>
      <c r="HC149" s="3"/>
      <c r="HD149" s="3"/>
      <c r="HE149" s="3"/>
      <c r="HF149" s="3"/>
      <c r="HG149" s="3"/>
      <c r="HH149" s="3"/>
      <c r="HI149" s="3"/>
      <c r="HJ149" s="3"/>
      <c r="HK149" s="3"/>
      <c r="HL149" s="3"/>
      <c r="HM149" s="3"/>
      <c r="HN149" s="3"/>
      <c r="HO149" s="3"/>
      <c r="HP149" s="3"/>
      <c r="HQ149" s="3"/>
      <c r="HR149" s="3"/>
      <c r="HS149" s="3"/>
      <c r="HT149" s="3"/>
      <c r="HU149" s="3"/>
      <c r="HV149" s="3"/>
      <c r="HW149" s="3"/>
      <c r="HX149" s="3"/>
      <c r="HY149" s="3"/>
      <c r="HZ149" s="3"/>
      <c r="IA149" s="3"/>
      <c r="IB149" s="3"/>
      <c r="IC149" s="3"/>
      <c r="ID149" s="3"/>
      <c r="IE149" s="3"/>
      <c r="IF149" s="3"/>
      <c r="IG149" s="3"/>
      <c r="IH149" s="3"/>
      <c r="II149" s="3"/>
      <c r="IJ149" s="3"/>
      <c r="IK149" s="3"/>
      <c r="IL149" s="3"/>
    </row>
    <row r="150" spans="1:246" s="74" customFormat="1" x14ac:dyDescent="0.35">
      <c r="A150" s="178" t="s">
        <v>763</v>
      </c>
      <c r="B150" s="179"/>
      <c r="C150" s="179"/>
      <c r="D150" s="179"/>
      <c r="E150" s="179"/>
      <c r="F150" s="180">
        <f t="shared" ref="F150:AL150" si="27">(1/(1+IRR)^F121)</f>
        <v>1.2100000000000002</v>
      </c>
      <c r="G150" s="180">
        <f t="shared" si="27"/>
        <v>1.1000000000000001</v>
      </c>
      <c r="H150" s="180">
        <f t="shared" si="27"/>
        <v>1</v>
      </c>
      <c r="I150" s="180">
        <f t="shared" si="27"/>
        <v>0.90909090909090906</v>
      </c>
      <c r="J150" s="180">
        <f t="shared" si="27"/>
        <v>0.82644628099173545</v>
      </c>
      <c r="K150" s="180">
        <f t="shared" si="27"/>
        <v>0.75131480090157754</v>
      </c>
      <c r="L150" s="180">
        <f t="shared" si="27"/>
        <v>0.68301345536507052</v>
      </c>
      <c r="M150" s="180">
        <f t="shared" si="27"/>
        <v>0.62092132305915493</v>
      </c>
      <c r="N150" s="180">
        <f t="shared" si="27"/>
        <v>0.56447393005377722</v>
      </c>
      <c r="O150" s="180">
        <f t="shared" si="27"/>
        <v>0.51315811823070645</v>
      </c>
      <c r="P150" s="180">
        <f t="shared" si="27"/>
        <v>0.46650738020973315</v>
      </c>
      <c r="Q150" s="180">
        <f t="shared" si="27"/>
        <v>0.42409761837248466</v>
      </c>
      <c r="R150" s="180">
        <f t="shared" si="27"/>
        <v>0.38554328942953148</v>
      </c>
      <c r="S150" s="180">
        <f t="shared" si="27"/>
        <v>0.3504938994813922</v>
      </c>
      <c r="T150" s="180">
        <f t="shared" si="27"/>
        <v>0.31863081771035656</v>
      </c>
      <c r="U150" s="180">
        <f t="shared" si="27"/>
        <v>0.28966437973668779</v>
      </c>
      <c r="V150" s="180">
        <f t="shared" si="27"/>
        <v>0.26333125430607973</v>
      </c>
      <c r="W150" s="180">
        <f t="shared" si="27"/>
        <v>0.23939204936916339</v>
      </c>
      <c r="X150" s="180">
        <f t="shared" si="27"/>
        <v>0.21762913579014853</v>
      </c>
      <c r="Y150" s="180">
        <f t="shared" si="27"/>
        <v>0.19784466890013502</v>
      </c>
      <c r="Z150" s="180">
        <f t="shared" si="27"/>
        <v>0.17985878990921364</v>
      </c>
      <c r="AA150" s="180">
        <f t="shared" si="27"/>
        <v>0.16350799082655781</v>
      </c>
      <c r="AB150" s="180">
        <f t="shared" si="27"/>
        <v>0.14864362802414349</v>
      </c>
      <c r="AC150" s="180">
        <f t="shared" si="27"/>
        <v>0.13513057093103953</v>
      </c>
      <c r="AD150" s="180">
        <f t="shared" si="27"/>
        <v>0.12284597357367227</v>
      </c>
      <c r="AE150" s="180">
        <f t="shared" si="27"/>
        <v>0.11167815779424752</v>
      </c>
      <c r="AF150" s="180">
        <f t="shared" si="27"/>
        <v>0.10152559799477048</v>
      </c>
      <c r="AG150" s="180">
        <f t="shared" si="27"/>
        <v>9.2295998177064048E-2</v>
      </c>
      <c r="AH150" s="180">
        <f t="shared" si="27"/>
        <v>8.3905452888240042E-2</v>
      </c>
      <c r="AI150" s="180">
        <f t="shared" si="27"/>
        <v>7.6277684443854576E-2</v>
      </c>
      <c r="AJ150" s="180">
        <f t="shared" si="27"/>
        <v>6.9343349494413245E-2</v>
      </c>
      <c r="AK150" s="180">
        <f t="shared" si="27"/>
        <v>6.3039408631284766E-2</v>
      </c>
      <c r="AL150" s="181">
        <f t="shared" si="27"/>
        <v>5.7308553301167964E-2</v>
      </c>
      <c r="AM150" s="166"/>
      <c r="AN150" s="90"/>
      <c r="AO150" s="90"/>
      <c r="AP150" s="90"/>
      <c r="AQ150" s="90"/>
      <c r="AR150" s="90"/>
      <c r="AS150" s="90"/>
      <c r="AT150" s="90"/>
      <c r="AU150" s="90"/>
      <c r="AV150" s="90"/>
      <c r="AW150" s="90"/>
      <c r="AX150" s="90"/>
      <c r="AY150" s="90"/>
      <c r="AZ150" s="90"/>
      <c r="BA150" s="90"/>
      <c r="BB150" s="90"/>
      <c r="BC150" s="90"/>
      <c r="BD150" s="90"/>
      <c r="BE150" s="90"/>
      <c r="BF150" s="90"/>
      <c r="BG150" s="90"/>
      <c r="BH150" s="90"/>
      <c r="BI150" s="90"/>
      <c r="BJ150" s="90"/>
      <c r="BK150" s="90"/>
      <c r="BL150" s="90"/>
      <c r="BM150" s="90"/>
      <c r="BN150" s="90"/>
      <c r="BO150" s="90"/>
      <c r="BP150" s="90"/>
      <c r="BQ150" s="90"/>
      <c r="BR150" s="90"/>
      <c r="BS150" s="90"/>
      <c r="BT150" s="90"/>
      <c r="BU150" s="90"/>
      <c r="BV150" s="90"/>
      <c r="BW150" s="90"/>
      <c r="BX150" s="90"/>
      <c r="BY150" s="90"/>
      <c r="BZ150" s="90"/>
      <c r="CA150" s="90"/>
      <c r="CB150" s="90"/>
      <c r="CC150" s="90"/>
      <c r="CD150" s="90"/>
      <c r="CE150" s="90"/>
      <c r="CF150" s="90"/>
      <c r="CG150" s="90"/>
      <c r="CH150" s="90"/>
      <c r="CI150" s="90"/>
      <c r="CJ150" s="90"/>
      <c r="CK150" s="90"/>
      <c r="CL150" s="90"/>
      <c r="CM150" s="90"/>
      <c r="CN150" s="90"/>
      <c r="CO150" s="90"/>
      <c r="CP150" s="90"/>
      <c r="CQ150" s="90"/>
      <c r="CR150" s="90"/>
      <c r="CS150" s="90"/>
      <c r="CT150" s="90"/>
      <c r="CU150" s="90"/>
      <c r="CV150" s="90"/>
      <c r="CW150" s="90"/>
      <c r="CX150" s="90"/>
      <c r="CY150" s="90"/>
      <c r="CZ150" s="90"/>
      <c r="DA150" s="90"/>
      <c r="DB150" s="90"/>
      <c r="DC150" s="90"/>
      <c r="DD150" s="90"/>
      <c r="DE150" s="90"/>
      <c r="DF150" s="90"/>
      <c r="DG150" s="90"/>
      <c r="DH150" s="90"/>
      <c r="DI150" s="90"/>
      <c r="DJ150" s="90"/>
      <c r="DK150" s="90"/>
      <c r="DL150" s="90"/>
      <c r="DM150" s="90"/>
      <c r="DN150" s="90"/>
      <c r="DO150" s="90"/>
      <c r="DP150" s="90"/>
      <c r="DQ150" s="90"/>
      <c r="DR150" s="90"/>
      <c r="DS150" s="90"/>
      <c r="DT150" s="90"/>
      <c r="DU150" s="90"/>
      <c r="DV150" s="90"/>
      <c r="DW150" s="90"/>
      <c r="DX150" s="90"/>
      <c r="DY150" s="90"/>
      <c r="DZ150" s="90"/>
      <c r="EA150" s="90"/>
      <c r="EB150" s="90"/>
      <c r="EC150" s="90"/>
      <c r="ED150" s="90"/>
      <c r="EE150" s="90"/>
      <c r="EF150" s="90"/>
      <c r="EG150" s="90"/>
      <c r="EH150" s="90"/>
      <c r="EI150" s="90"/>
      <c r="EJ150" s="90"/>
      <c r="EK150" s="90"/>
      <c r="EL150" s="90"/>
      <c r="EM150" s="90"/>
      <c r="EN150" s="90"/>
      <c r="EO150" s="90"/>
      <c r="EP150" s="90"/>
      <c r="EQ150" s="90"/>
      <c r="ER150" s="90"/>
      <c r="ES150" s="90"/>
      <c r="ET150" s="90"/>
      <c r="EU150" s="90"/>
      <c r="EV150" s="90"/>
      <c r="EW150" s="90"/>
      <c r="EX150" s="90"/>
      <c r="EY150" s="90"/>
      <c r="EZ150" s="90"/>
      <c r="FA150" s="90"/>
      <c r="FB150" s="90"/>
      <c r="FC150" s="90"/>
      <c r="FD150" s="90"/>
      <c r="FE150" s="90"/>
      <c r="FF150" s="90"/>
      <c r="FG150" s="90"/>
      <c r="FH150" s="90"/>
      <c r="FI150" s="90"/>
      <c r="FJ150" s="90"/>
      <c r="FK150" s="90"/>
      <c r="FL150" s="90"/>
      <c r="FM150" s="90"/>
      <c r="FN150" s="90"/>
      <c r="FO150" s="90"/>
      <c r="FP150" s="90"/>
      <c r="FQ150" s="90"/>
      <c r="FR150" s="90"/>
      <c r="FS150" s="90"/>
      <c r="FT150" s="90"/>
      <c r="FU150" s="90"/>
      <c r="FV150" s="90"/>
      <c r="FW150" s="90"/>
      <c r="FX150" s="90"/>
      <c r="FY150" s="90"/>
      <c r="FZ150" s="90"/>
      <c r="GA150" s="90"/>
      <c r="GB150" s="90"/>
      <c r="GC150" s="90"/>
      <c r="GD150" s="90"/>
      <c r="GE150" s="90"/>
      <c r="GF150" s="90"/>
      <c r="GG150" s="90"/>
      <c r="GH150" s="90"/>
      <c r="GI150" s="90"/>
      <c r="GJ150" s="90"/>
      <c r="GK150" s="90"/>
      <c r="GL150" s="90"/>
      <c r="GM150" s="90"/>
      <c r="GN150" s="90"/>
      <c r="GO150" s="90"/>
      <c r="GP150" s="90"/>
      <c r="GQ150" s="90"/>
      <c r="GR150" s="90"/>
      <c r="GS150" s="90"/>
      <c r="GT150" s="90"/>
      <c r="GU150" s="90"/>
      <c r="GV150" s="90"/>
      <c r="GW150" s="90"/>
      <c r="GX150" s="90"/>
      <c r="GY150" s="90"/>
      <c r="GZ150" s="90"/>
      <c r="HA150" s="90"/>
      <c r="HB150" s="90"/>
      <c r="HC150" s="90"/>
      <c r="HD150" s="90"/>
      <c r="HE150" s="90"/>
      <c r="HF150" s="90"/>
      <c r="HG150" s="90"/>
      <c r="HH150" s="90"/>
      <c r="HI150" s="90"/>
      <c r="HJ150" s="90"/>
      <c r="HK150" s="90"/>
      <c r="HL150" s="90"/>
      <c r="HM150" s="90"/>
      <c r="HN150" s="90"/>
      <c r="HO150" s="90"/>
      <c r="HP150" s="90"/>
      <c r="HQ150" s="90"/>
      <c r="HR150" s="90"/>
      <c r="HS150" s="90"/>
      <c r="HT150" s="90"/>
      <c r="HU150" s="90"/>
      <c r="HV150" s="90"/>
      <c r="HW150" s="90"/>
      <c r="HX150" s="90"/>
      <c r="HY150" s="90"/>
      <c r="HZ150" s="90"/>
      <c r="IA150" s="90"/>
      <c r="IB150" s="90"/>
      <c r="IC150" s="90"/>
      <c r="ID150" s="90"/>
      <c r="IE150" s="90"/>
      <c r="IF150" s="90"/>
      <c r="IG150" s="90"/>
      <c r="IH150" s="90"/>
      <c r="II150" s="90"/>
      <c r="IJ150" s="90"/>
      <c r="IK150" s="90"/>
      <c r="IL150" s="90"/>
    </row>
    <row r="151" spans="1:246" x14ac:dyDescent="0.35">
      <c r="A151" s="171" t="s">
        <v>788</v>
      </c>
      <c r="B151" s="172"/>
      <c r="C151" s="172"/>
      <c r="D151" s="172"/>
      <c r="E151" s="254">
        <f>SUM(I151:AL151)</f>
        <v>44830369.419363096</v>
      </c>
      <c r="F151" s="173"/>
      <c r="G151" s="173"/>
      <c r="H151" s="173"/>
      <c r="I151" s="173">
        <f>I149*I150</f>
        <v>-5004185.6244203718</v>
      </c>
      <c r="J151" s="173">
        <f t="shared" ref="J151:AL151" si="28">J149*J150</f>
        <v>-2405978.1185591021</v>
      </c>
      <c r="K151" s="173">
        <f t="shared" si="28"/>
        <v>-2187252.8350537289</v>
      </c>
      <c r="L151" s="173">
        <f t="shared" si="28"/>
        <v>-1988411.6682306626</v>
      </c>
      <c r="M151" s="173">
        <f t="shared" si="28"/>
        <v>-1807646.971118784</v>
      </c>
      <c r="N151" s="173">
        <f t="shared" si="28"/>
        <v>-1643315.4282898037</v>
      </c>
      <c r="O151" s="173">
        <f t="shared" si="28"/>
        <v>-1493923.1166270939</v>
      </c>
      <c r="P151" s="173">
        <f t="shared" si="28"/>
        <v>-1358111.924206449</v>
      </c>
      <c r="Q151" s="173">
        <f t="shared" si="28"/>
        <v>-1234647.2038240444</v>
      </c>
      <c r="R151" s="173">
        <f t="shared" si="28"/>
        <v>-1122406.5489309495</v>
      </c>
      <c r="S151" s="173">
        <f t="shared" si="28"/>
        <v>7271684.7729422236</v>
      </c>
      <c r="T151" s="173">
        <f t="shared" si="28"/>
        <v>6610622.5208565667</v>
      </c>
      <c r="U151" s="173">
        <f t="shared" si="28"/>
        <v>6009656.8371423334</v>
      </c>
      <c r="V151" s="173">
        <f t="shared" si="28"/>
        <v>5463324.3974021198</v>
      </c>
      <c r="W151" s="173">
        <f t="shared" si="28"/>
        <v>4966658.5430928366</v>
      </c>
      <c r="X151" s="173">
        <f t="shared" si="28"/>
        <v>4515144.1300843963</v>
      </c>
      <c r="Y151" s="173">
        <f t="shared" si="28"/>
        <v>4104676.4818949057</v>
      </c>
      <c r="Z151" s="173">
        <f t="shared" si="28"/>
        <v>3731524.074449914</v>
      </c>
      <c r="AA151" s="173">
        <f t="shared" si="28"/>
        <v>3392294.6131362845</v>
      </c>
      <c r="AB151" s="173">
        <f t="shared" si="28"/>
        <v>3083904.1937602591</v>
      </c>
      <c r="AC151" s="173">
        <f t="shared" si="28"/>
        <v>2803549.2670547809</v>
      </c>
      <c r="AD151" s="173">
        <f t="shared" si="28"/>
        <v>2548681.151867982</v>
      </c>
      <c r="AE151" s="173">
        <f t="shared" si="28"/>
        <v>2316982.865334529</v>
      </c>
      <c r="AF151" s="173">
        <f t="shared" si="28"/>
        <v>2106348.0593950269</v>
      </c>
      <c r="AG151" s="173">
        <f t="shared" si="28"/>
        <v>1432955.4675185818</v>
      </c>
      <c r="AH151" s="173">
        <f t="shared" si="28"/>
        <v>1131509.288104766</v>
      </c>
      <c r="AI151" s="173">
        <f t="shared" si="28"/>
        <v>1028644.8073679691</v>
      </c>
      <c r="AJ151" s="173">
        <f t="shared" si="28"/>
        <v>935131.64306179003</v>
      </c>
      <c r="AK151" s="173">
        <f t="shared" si="28"/>
        <v>850119.67551071814</v>
      </c>
      <c r="AL151" s="174">
        <f t="shared" si="28"/>
        <v>772836.06864610733</v>
      </c>
      <c r="AM151" s="159"/>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c r="DA151" s="3"/>
      <c r="DB151" s="3"/>
      <c r="DC151" s="3"/>
      <c r="DD151" s="3"/>
      <c r="DE151" s="3"/>
      <c r="DF151" s="3"/>
      <c r="DG151" s="3"/>
      <c r="DH151" s="3"/>
      <c r="DI151" s="3"/>
      <c r="DJ151" s="3"/>
      <c r="DK151" s="3"/>
      <c r="DL151" s="3"/>
      <c r="DM151" s="3"/>
      <c r="DN151" s="3"/>
      <c r="DO151" s="3"/>
      <c r="DP151" s="3"/>
      <c r="DQ151" s="3"/>
      <c r="DR151" s="3"/>
      <c r="DS151" s="3"/>
      <c r="DT151" s="3"/>
      <c r="DU151" s="3"/>
      <c r="DV151" s="3"/>
      <c r="DW151" s="3"/>
      <c r="DX151" s="3"/>
      <c r="DY151" s="3"/>
      <c r="DZ151" s="3"/>
      <c r="EA151" s="3"/>
      <c r="EB151" s="3"/>
      <c r="EC151" s="3"/>
      <c r="ED151" s="3"/>
      <c r="EE151" s="3"/>
      <c r="EF151" s="3"/>
      <c r="EG151" s="3"/>
      <c r="EH151" s="3"/>
      <c r="EI151" s="3"/>
      <c r="EJ151" s="3"/>
      <c r="EK151" s="3"/>
      <c r="EL151" s="3"/>
      <c r="EM151" s="3"/>
      <c r="EN151" s="3"/>
      <c r="EO151" s="3"/>
      <c r="EP151" s="3"/>
      <c r="EQ151" s="3"/>
      <c r="ER151" s="3"/>
      <c r="ES151" s="3"/>
      <c r="ET151" s="3"/>
      <c r="EU151" s="3"/>
      <c r="EV151" s="3"/>
      <c r="EW151" s="3"/>
      <c r="EX151" s="3"/>
      <c r="EY151" s="3"/>
      <c r="EZ151" s="3"/>
      <c r="FA151" s="3"/>
      <c r="FB151" s="3"/>
      <c r="FC151" s="3"/>
      <c r="FD151" s="3"/>
      <c r="FE151" s="3"/>
      <c r="FF151" s="3"/>
      <c r="FG151" s="3"/>
      <c r="FH151" s="3"/>
      <c r="FI151" s="3"/>
      <c r="FJ151" s="3"/>
      <c r="FK151" s="3"/>
      <c r="FL151" s="3"/>
      <c r="FM151" s="3"/>
      <c r="FN151" s="3"/>
      <c r="FO151" s="3"/>
      <c r="FP151" s="3"/>
      <c r="FQ151" s="3"/>
      <c r="FR151" s="3"/>
      <c r="FS151" s="3"/>
      <c r="FT151" s="3"/>
      <c r="FU151" s="3"/>
      <c r="FV151" s="3"/>
      <c r="FW151" s="3"/>
      <c r="FX151" s="3"/>
      <c r="FY151" s="3"/>
      <c r="FZ151" s="3"/>
      <c r="GA151" s="3"/>
      <c r="GB151" s="3"/>
      <c r="GC151" s="3"/>
      <c r="GD151" s="3"/>
      <c r="GE151" s="3"/>
      <c r="GF151" s="3"/>
      <c r="GG151" s="3"/>
      <c r="GH151" s="3"/>
      <c r="GI151" s="3"/>
      <c r="GJ151" s="3"/>
      <c r="GK151" s="3"/>
      <c r="GL151" s="3"/>
      <c r="GM151" s="3"/>
      <c r="GN151" s="3"/>
      <c r="GO151" s="3"/>
      <c r="GP151" s="3"/>
      <c r="GQ151" s="3"/>
      <c r="GR151" s="3"/>
      <c r="GS151" s="3"/>
      <c r="GT151" s="3"/>
      <c r="GU151" s="3"/>
      <c r="GV151" s="3"/>
      <c r="GW151" s="3"/>
      <c r="GX151" s="3"/>
      <c r="GY151" s="3"/>
      <c r="GZ151" s="3"/>
      <c r="HA151" s="3"/>
      <c r="HB151" s="3"/>
      <c r="HC151" s="3"/>
      <c r="HD151" s="3"/>
      <c r="HE151" s="3"/>
      <c r="HF151" s="3"/>
      <c r="HG151" s="3"/>
      <c r="HH151" s="3"/>
      <c r="HI151" s="3"/>
      <c r="HJ151" s="3"/>
      <c r="HK151" s="3"/>
      <c r="HL151" s="3"/>
      <c r="HM151" s="3"/>
      <c r="HN151" s="3"/>
      <c r="HO151" s="3"/>
      <c r="HP151" s="3"/>
      <c r="HQ151" s="3"/>
      <c r="HR151" s="3"/>
      <c r="HS151" s="3"/>
      <c r="HT151" s="3"/>
      <c r="HU151" s="3"/>
      <c r="HV151" s="3"/>
      <c r="HW151" s="3"/>
      <c r="HX151" s="3"/>
      <c r="HY151" s="3"/>
      <c r="HZ151" s="3"/>
      <c r="IA151" s="3"/>
      <c r="IB151" s="3"/>
      <c r="IC151" s="3"/>
      <c r="ID151" s="3"/>
      <c r="IE151" s="3"/>
      <c r="IF151" s="3"/>
      <c r="IG151" s="3"/>
      <c r="IH151" s="3"/>
      <c r="II151" s="3"/>
      <c r="IJ151" s="3"/>
      <c r="IK151" s="3"/>
      <c r="IL151" s="3"/>
    </row>
    <row r="152" spans="1:246" ht="13.9" customHeight="1" x14ac:dyDescent="0.35">
      <c r="A152" s="171" t="s">
        <v>764</v>
      </c>
      <c r="B152" s="172"/>
      <c r="C152" s="172"/>
      <c r="D152" s="172"/>
      <c r="E152" s="172"/>
      <c r="F152" s="255">
        <f>SUM(F123,F122,F127)*F150</f>
        <v>13709993.907258844</v>
      </c>
      <c r="G152" s="255">
        <f>(G127+G122)*G150</f>
        <v>79348820.202796519</v>
      </c>
      <c r="H152" s="255">
        <f>(H122+H127+H124)*H150</f>
        <v>59795245.698063433</v>
      </c>
      <c r="I152" s="173"/>
      <c r="J152" s="173"/>
      <c r="K152" s="173"/>
      <c r="L152" s="173"/>
      <c r="M152" s="173"/>
      <c r="N152" s="173"/>
      <c r="O152" s="173"/>
      <c r="P152" s="173"/>
      <c r="Q152" s="173"/>
      <c r="R152" s="173"/>
      <c r="S152" s="173"/>
      <c r="T152" s="173"/>
      <c r="U152" s="173"/>
      <c r="V152" s="173"/>
      <c r="W152" s="173"/>
      <c r="X152" s="173"/>
      <c r="Y152" s="173"/>
      <c r="Z152" s="173"/>
      <c r="AA152" s="173"/>
      <c r="AB152" s="173"/>
      <c r="AC152" s="173"/>
      <c r="AD152" s="173"/>
      <c r="AE152" s="173"/>
      <c r="AF152" s="173"/>
      <c r="AG152" s="173"/>
      <c r="AH152" s="173"/>
      <c r="AI152" s="173"/>
      <c r="AJ152" s="173"/>
      <c r="AK152" s="173"/>
      <c r="AL152" s="174"/>
      <c r="AM152" s="159"/>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c r="DA152" s="3"/>
      <c r="DB152" s="3"/>
      <c r="DC152" s="3"/>
      <c r="DD152" s="3"/>
      <c r="DE152" s="3"/>
      <c r="DF152" s="3"/>
      <c r="DG152" s="3"/>
      <c r="DH152" s="3"/>
      <c r="DI152" s="3"/>
      <c r="DJ152" s="3"/>
      <c r="DK152" s="3"/>
      <c r="DL152" s="3"/>
      <c r="DM152" s="3"/>
      <c r="DN152" s="3"/>
      <c r="DO152" s="3"/>
      <c r="DP152" s="3"/>
      <c r="DQ152" s="3"/>
      <c r="DR152" s="3"/>
      <c r="DS152" s="3"/>
      <c r="DT152" s="3"/>
      <c r="DU152" s="3"/>
      <c r="DV152" s="3"/>
      <c r="DW152" s="3"/>
      <c r="DX152" s="3"/>
      <c r="DY152" s="3"/>
      <c r="DZ152" s="3"/>
      <c r="EA152" s="3"/>
      <c r="EB152" s="3"/>
      <c r="EC152" s="3"/>
      <c r="ED152" s="3"/>
      <c r="EE152" s="3"/>
      <c r="EF152" s="3"/>
      <c r="EG152" s="3"/>
      <c r="EH152" s="3"/>
      <c r="EI152" s="3"/>
      <c r="EJ152" s="3"/>
      <c r="EK152" s="3"/>
      <c r="EL152" s="3"/>
      <c r="EM152" s="3"/>
      <c r="EN152" s="3"/>
      <c r="EO152" s="3"/>
      <c r="EP152" s="3"/>
      <c r="EQ152" s="3"/>
      <c r="ER152" s="3"/>
      <c r="ES152" s="3"/>
      <c r="ET152" s="3"/>
      <c r="EU152" s="3"/>
      <c r="EV152" s="3"/>
      <c r="EW152" s="3"/>
      <c r="EX152" s="3"/>
      <c r="EY152" s="3"/>
      <c r="EZ152" s="3"/>
      <c r="FA152" s="3"/>
      <c r="FB152" s="3"/>
      <c r="FC152" s="3"/>
      <c r="FD152" s="3"/>
      <c r="FE152" s="3"/>
      <c r="FF152" s="3"/>
      <c r="FG152" s="3"/>
      <c r="FH152" s="3"/>
      <c r="FI152" s="3"/>
      <c r="FJ152" s="3"/>
      <c r="FK152" s="3"/>
      <c r="FL152" s="3"/>
      <c r="FM152" s="3"/>
      <c r="FN152" s="3"/>
      <c r="FO152" s="3"/>
      <c r="FP152" s="3"/>
      <c r="FQ152" s="3"/>
      <c r="FR152" s="3"/>
      <c r="FS152" s="3"/>
      <c r="FT152" s="3"/>
      <c r="FU152" s="3"/>
      <c r="FV152" s="3"/>
      <c r="FW152" s="3"/>
      <c r="FX152" s="3"/>
      <c r="FY152" s="3"/>
      <c r="FZ152" s="3"/>
      <c r="GA152" s="3"/>
      <c r="GB152" s="3"/>
      <c r="GC152" s="3"/>
      <c r="GD152" s="3"/>
      <c r="GE152" s="3"/>
      <c r="GF152" s="3"/>
      <c r="GG152" s="3"/>
      <c r="GH152" s="3"/>
      <c r="GI152" s="3"/>
      <c r="GJ152" s="3"/>
      <c r="GK152" s="3"/>
      <c r="GL152" s="3"/>
      <c r="GM152" s="3"/>
      <c r="GN152" s="3"/>
      <c r="GO152" s="3"/>
      <c r="GP152" s="3"/>
      <c r="GQ152" s="3"/>
      <c r="GR152" s="3"/>
      <c r="GS152" s="3"/>
      <c r="GT152" s="3"/>
      <c r="GU152" s="3"/>
      <c r="GV152" s="3"/>
      <c r="GW152" s="3"/>
      <c r="GX152" s="3"/>
      <c r="GY152" s="3"/>
      <c r="GZ152" s="3"/>
      <c r="HA152" s="3"/>
      <c r="HB152" s="3"/>
      <c r="HC152" s="3"/>
      <c r="HD152" s="3"/>
      <c r="HE152" s="3"/>
      <c r="HF152" s="3"/>
      <c r="HG152" s="3"/>
      <c r="HH152" s="3"/>
      <c r="HI152" s="3"/>
      <c r="HJ152" s="3"/>
      <c r="HK152" s="3"/>
      <c r="HL152" s="3"/>
      <c r="HM152" s="3"/>
      <c r="HN152" s="3"/>
      <c r="HO152" s="3"/>
      <c r="HP152" s="3"/>
      <c r="HQ152" s="3"/>
      <c r="HR152" s="3"/>
      <c r="HS152" s="3"/>
      <c r="HT152" s="3"/>
      <c r="HU152" s="3"/>
      <c r="HV152" s="3"/>
      <c r="HW152" s="3"/>
      <c r="HX152" s="3"/>
      <c r="HY152" s="3"/>
      <c r="HZ152" s="3"/>
      <c r="IA152" s="3"/>
      <c r="IB152" s="3"/>
      <c r="IC152" s="3"/>
      <c r="ID152" s="3"/>
      <c r="IE152" s="3"/>
      <c r="IF152" s="3"/>
      <c r="IG152" s="3"/>
      <c r="IH152" s="3"/>
      <c r="II152" s="3"/>
      <c r="IJ152" s="3"/>
      <c r="IK152" s="3"/>
      <c r="IL152" s="3"/>
    </row>
    <row r="153" spans="1:246" s="131" customFormat="1" ht="4.9000000000000004" customHeight="1" x14ac:dyDescent="0.35">
      <c r="A153" s="188"/>
      <c r="B153" s="189"/>
      <c r="C153" s="189"/>
      <c r="D153" s="189"/>
      <c r="E153" s="189"/>
      <c r="F153" s="190"/>
      <c r="G153" s="190"/>
      <c r="H153" s="190"/>
      <c r="I153" s="190"/>
      <c r="J153" s="190"/>
      <c r="K153" s="190"/>
      <c r="L153" s="190"/>
      <c r="M153" s="190"/>
      <c r="N153" s="190"/>
      <c r="O153" s="190"/>
      <c r="P153" s="190"/>
      <c r="Q153" s="190"/>
      <c r="R153" s="190"/>
      <c r="S153" s="190"/>
      <c r="T153" s="190"/>
      <c r="U153" s="190"/>
      <c r="V153" s="190"/>
      <c r="W153" s="190"/>
      <c r="X153" s="190"/>
      <c r="Y153" s="190"/>
      <c r="Z153" s="190"/>
      <c r="AA153" s="190"/>
      <c r="AB153" s="190"/>
      <c r="AC153" s="190"/>
      <c r="AD153" s="190"/>
      <c r="AE153" s="190"/>
      <c r="AF153" s="190"/>
      <c r="AG153" s="190"/>
      <c r="AH153" s="190"/>
      <c r="AI153" s="190"/>
      <c r="AJ153" s="190"/>
      <c r="AK153" s="190"/>
      <c r="AL153" s="191"/>
      <c r="AM153" s="159"/>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c r="DA153" s="3"/>
      <c r="DB153" s="3"/>
      <c r="DC153" s="3"/>
      <c r="DD153" s="3"/>
      <c r="DE153" s="3"/>
      <c r="DF153" s="3"/>
      <c r="DG153" s="3"/>
      <c r="DH153" s="3"/>
      <c r="DI153" s="3"/>
      <c r="DJ153" s="3"/>
      <c r="DK153" s="3"/>
      <c r="DL153" s="3"/>
      <c r="DM153" s="3"/>
      <c r="DN153" s="3"/>
      <c r="DO153" s="3"/>
      <c r="DP153" s="3"/>
      <c r="DQ153" s="3"/>
      <c r="DR153" s="3"/>
      <c r="DS153" s="3"/>
      <c r="DT153" s="3"/>
      <c r="DU153" s="3"/>
      <c r="DV153" s="3"/>
      <c r="DW153" s="3"/>
      <c r="DX153" s="3"/>
      <c r="DY153" s="3"/>
      <c r="DZ153" s="3"/>
      <c r="EA153" s="3"/>
      <c r="EB153" s="3"/>
      <c r="EC153" s="3"/>
      <c r="ED153" s="3"/>
      <c r="EE153" s="3"/>
      <c r="EF153" s="3"/>
      <c r="EG153" s="3"/>
      <c r="EH153" s="3"/>
      <c r="EI153" s="3"/>
      <c r="EJ153" s="3"/>
      <c r="EK153" s="3"/>
      <c r="EL153" s="3"/>
      <c r="EM153" s="3"/>
      <c r="EN153" s="3"/>
      <c r="EO153" s="3"/>
      <c r="EP153" s="3"/>
      <c r="EQ153" s="3"/>
      <c r="ER153" s="3"/>
      <c r="ES153" s="3"/>
      <c r="ET153" s="3"/>
      <c r="EU153" s="3"/>
      <c r="EV153" s="3"/>
      <c r="EW153" s="3"/>
      <c r="EX153" s="3"/>
      <c r="EY153" s="3"/>
      <c r="EZ153" s="3"/>
      <c r="FA153" s="3"/>
      <c r="FB153" s="3"/>
      <c r="FC153" s="3"/>
      <c r="FD153" s="3"/>
      <c r="FE153" s="3"/>
      <c r="FF153" s="3"/>
      <c r="FG153" s="3"/>
      <c r="FH153" s="3"/>
      <c r="FI153" s="3"/>
      <c r="FJ153" s="3"/>
      <c r="FK153" s="3"/>
      <c r="FL153" s="3"/>
      <c r="FM153" s="3"/>
      <c r="FN153" s="3"/>
      <c r="FO153" s="3"/>
      <c r="FP153" s="3"/>
      <c r="FQ153" s="3"/>
      <c r="FR153" s="3"/>
      <c r="FS153" s="3"/>
      <c r="FT153" s="3"/>
      <c r="FU153" s="3"/>
      <c r="FV153" s="3"/>
      <c r="FW153" s="3"/>
      <c r="FX153" s="3"/>
      <c r="FY153" s="3"/>
      <c r="FZ153" s="3"/>
      <c r="GA153" s="3"/>
      <c r="GB153" s="3"/>
      <c r="GC153" s="3"/>
      <c r="GD153" s="3"/>
      <c r="GE153" s="3"/>
      <c r="GF153" s="3"/>
      <c r="GG153" s="3"/>
      <c r="GH153" s="3"/>
      <c r="GI153" s="3"/>
      <c r="GJ153" s="3"/>
      <c r="GK153" s="3"/>
      <c r="GL153" s="3"/>
      <c r="GM153" s="3"/>
      <c r="GN153" s="3"/>
      <c r="GO153" s="3"/>
      <c r="GP153" s="3"/>
      <c r="GQ153" s="3"/>
      <c r="GR153" s="3"/>
      <c r="GS153" s="3"/>
      <c r="GT153" s="3"/>
      <c r="GU153" s="3"/>
      <c r="GV153" s="3"/>
      <c r="GW153" s="3"/>
      <c r="GX153" s="3"/>
      <c r="GY153" s="3"/>
      <c r="GZ153" s="3"/>
      <c r="HA153" s="3"/>
      <c r="HB153" s="3"/>
      <c r="HC153" s="3"/>
      <c r="HD153" s="3"/>
      <c r="HE153" s="3"/>
      <c r="HF153" s="3"/>
      <c r="HG153" s="3"/>
      <c r="HH153" s="3"/>
      <c r="HI153" s="3"/>
      <c r="HJ153" s="3"/>
      <c r="HK153" s="3"/>
      <c r="HL153" s="3"/>
      <c r="HM153" s="3"/>
      <c r="HN153" s="3"/>
      <c r="HO153" s="3"/>
      <c r="HP153" s="3"/>
      <c r="HQ153" s="3"/>
      <c r="HR153" s="3"/>
      <c r="HS153" s="3"/>
      <c r="HT153" s="3"/>
      <c r="HU153" s="3"/>
      <c r="HV153" s="3"/>
      <c r="HW153" s="3"/>
      <c r="HX153" s="3"/>
      <c r="HY153" s="3"/>
      <c r="HZ153" s="3"/>
      <c r="IA153" s="3"/>
      <c r="IB153" s="3"/>
      <c r="IC153" s="3"/>
      <c r="ID153" s="3"/>
      <c r="IE153" s="3"/>
      <c r="IF153" s="3"/>
      <c r="IG153" s="3"/>
      <c r="IH153" s="3"/>
      <c r="II153" s="3"/>
      <c r="IJ153" s="3"/>
      <c r="IK153" s="3"/>
      <c r="IL153" s="3"/>
    </row>
    <row r="154" spans="1:246" x14ac:dyDescent="0.35">
      <c r="A154" s="171" t="s">
        <v>765</v>
      </c>
      <c r="B154" s="172"/>
      <c r="C154" s="172"/>
      <c r="D154" s="172"/>
      <c r="E154" s="182">
        <f>SUM(I154:AL154)</f>
        <v>3022497.9722617497</v>
      </c>
      <c r="F154" s="173"/>
      <c r="G154" s="173"/>
      <c r="H154" s="173"/>
      <c r="I154" s="173">
        <f>I150*I147</f>
        <v>0</v>
      </c>
      <c r="J154" s="173">
        <f t="shared" ref="J154:AL154" si="29">J150*J147</f>
        <v>0</v>
      </c>
      <c r="K154" s="173">
        <f t="shared" si="29"/>
        <v>0</v>
      </c>
      <c r="L154" s="173">
        <f t="shared" si="29"/>
        <v>0</v>
      </c>
      <c r="M154" s="173">
        <f t="shared" si="29"/>
        <v>0</v>
      </c>
      <c r="N154" s="173">
        <f t="shared" si="29"/>
        <v>0</v>
      </c>
      <c r="O154" s="173">
        <f t="shared" si="29"/>
        <v>0</v>
      </c>
      <c r="P154" s="173">
        <f t="shared" si="29"/>
        <v>0</v>
      </c>
      <c r="Q154" s="173">
        <f t="shared" si="29"/>
        <v>0</v>
      </c>
      <c r="R154" s="173">
        <f t="shared" si="29"/>
        <v>0</v>
      </c>
      <c r="S154" s="173">
        <f t="shared" si="29"/>
        <v>0</v>
      </c>
      <c r="T154" s="173">
        <f t="shared" si="29"/>
        <v>0</v>
      </c>
      <c r="U154" s="173">
        <f t="shared" si="29"/>
        <v>0</v>
      </c>
      <c r="V154" s="173">
        <f t="shared" si="29"/>
        <v>0</v>
      </c>
      <c r="W154" s="173">
        <f t="shared" si="29"/>
        <v>0</v>
      </c>
      <c r="X154" s="173">
        <f t="shared" si="29"/>
        <v>0</v>
      </c>
      <c r="Y154" s="173">
        <f t="shared" si="29"/>
        <v>0</v>
      </c>
      <c r="Z154" s="173">
        <f t="shared" si="29"/>
        <v>0</v>
      </c>
      <c r="AA154" s="173">
        <f t="shared" si="29"/>
        <v>0</v>
      </c>
      <c r="AB154" s="173">
        <f t="shared" si="29"/>
        <v>0</v>
      </c>
      <c r="AC154" s="173">
        <f t="shared" si="29"/>
        <v>0</v>
      </c>
      <c r="AD154" s="173">
        <f t="shared" si="29"/>
        <v>0</v>
      </c>
      <c r="AE154" s="173">
        <f t="shared" si="29"/>
        <v>0</v>
      </c>
      <c r="AF154" s="173">
        <f t="shared" si="29"/>
        <v>0</v>
      </c>
      <c r="AG154" s="173">
        <f t="shared" si="29"/>
        <v>481906.40465871472</v>
      </c>
      <c r="AH154" s="173">
        <f t="shared" si="29"/>
        <v>609274.2320564125</v>
      </c>
      <c r="AI154" s="173">
        <f t="shared" si="29"/>
        <v>553885.6655058295</v>
      </c>
      <c r="AJ154" s="173">
        <f t="shared" si="29"/>
        <v>503532.42318711767</v>
      </c>
      <c r="AK154" s="173">
        <f t="shared" si="29"/>
        <v>457756.74835192511</v>
      </c>
      <c r="AL154" s="174">
        <f t="shared" si="29"/>
        <v>416142.49850175006</v>
      </c>
      <c r="AM154" s="159"/>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c r="DA154" s="3"/>
      <c r="DB154" s="3"/>
      <c r="DC154" s="3"/>
      <c r="DD154" s="3"/>
      <c r="DE154" s="3"/>
      <c r="DF154" s="3"/>
      <c r="DG154" s="3"/>
      <c r="DH154" s="3"/>
      <c r="DI154" s="3"/>
      <c r="DJ154" s="3"/>
      <c r="DK154" s="3"/>
      <c r="DL154" s="3"/>
      <c r="DM154" s="3"/>
      <c r="DN154" s="3"/>
      <c r="DO154" s="3"/>
      <c r="DP154" s="3"/>
      <c r="DQ154" s="3"/>
      <c r="DR154" s="3"/>
      <c r="DS154" s="3"/>
      <c r="DT154" s="3"/>
      <c r="DU154" s="3"/>
      <c r="DV154" s="3"/>
      <c r="DW154" s="3"/>
      <c r="DX154" s="3"/>
      <c r="DY154" s="3"/>
      <c r="DZ154" s="3"/>
      <c r="EA154" s="3"/>
      <c r="EB154" s="3"/>
      <c r="EC154" s="3"/>
      <c r="ED154" s="3"/>
      <c r="EE154" s="3"/>
      <c r="EF154" s="3"/>
      <c r="EG154" s="3"/>
      <c r="EH154" s="3"/>
      <c r="EI154" s="3"/>
      <c r="EJ154" s="3"/>
      <c r="EK154" s="3"/>
      <c r="EL154" s="3"/>
      <c r="EM154" s="3"/>
      <c r="EN154" s="3"/>
      <c r="EO154" s="3"/>
      <c r="EP154" s="3"/>
      <c r="EQ154" s="3"/>
      <c r="ER154" s="3"/>
      <c r="ES154" s="3"/>
      <c r="ET154" s="3"/>
      <c r="EU154" s="3"/>
      <c r="EV154" s="3"/>
      <c r="EW154" s="3"/>
      <c r="EX154" s="3"/>
      <c r="EY154" s="3"/>
      <c r="EZ154" s="3"/>
      <c r="FA154" s="3"/>
      <c r="FB154" s="3"/>
      <c r="FC154" s="3"/>
      <c r="FD154" s="3"/>
      <c r="FE154" s="3"/>
      <c r="FF154" s="3"/>
      <c r="FG154" s="3"/>
      <c r="FH154" s="3"/>
      <c r="FI154" s="3"/>
      <c r="FJ154" s="3"/>
      <c r="FK154" s="3"/>
      <c r="FL154" s="3"/>
      <c r="FM154" s="3"/>
      <c r="FN154" s="3"/>
      <c r="FO154" s="3"/>
      <c r="FP154" s="3"/>
      <c r="FQ154" s="3"/>
      <c r="FR154" s="3"/>
      <c r="FS154" s="3"/>
      <c r="FT154" s="3"/>
      <c r="FU154" s="3"/>
      <c r="FV154" s="3"/>
      <c r="FW154" s="3"/>
      <c r="FX154" s="3"/>
      <c r="FY154" s="3"/>
      <c r="FZ154" s="3"/>
      <c r="GA154" s="3"/>
      <c r="GB154" s="3"/>
      <c r="GC154" s="3"/>
      <c r="GD154" s="3"/>
      <c r="GE154" s="3"/>
      <c r="GF154" s="3"/>
      <c r="GG154" s="3"/>
      <c r="GH154" s="3"/>
      <c r="GI154" s="3"/>
      <c r="GJ154" s="3"/>
      <c r="GK154" s="3"/>
      <c r="GL154" s="3"/>
      <c r="GM154" s="3"/>
      <c r="GN154" s="3"/>
      <c r="GO154" s="3"/>
      <c r="GP154" s="3"/>
      <c r="GQ154" s="3"/>
      <c r="GR154" s="3"/>
      <c r="GS154" s="3"/>
      <c r="GT154" s="3"/>
      <c r="GU154" s="3"/>
      <c r="GV154" s="3"/>
      <c r="GW154" s="3"/>
      <c r="GX154" s="3"/>
      <c r="GY154" s="3"/>
      <c r="GZ154" s="3"/>
      <c r="HA154" s="3"/>
      <c r="HB154" s="3"/>
      <c r="HC154" s="3"/>
      <c r="HD154" s="3"/>
      <c r="HE154" s="3"/>
      <c r="HF154" s="3"/>
      <c r="HG154" s="3"/>
      <c r="HH154" s="3"/>
      <c r="HI154" s="3"/>
      <c r="HJ154" s="3"/>
      <c r="HK154" s="3"/>
      <c r="HL154" s="3"/>
      <c r="HM154" s="3"/>
      <c r="HN154" s="3"/>
      <c r="HO154" s="3"/>
      <c r="HP154" s="3"/>
      <c r="HQ154" s="3"/>
      <c r="HR154" s="3"/>
      <c r="HS154" s="3"/>
      <c r="HT154" s="3"/>
      <c r="HU154" s="3"/>
      <c r="HV154" s="3"/>
      <c r="HW154" s="3"/>
      <c r="HX154" s="3"/>
      <c r="HY154" s="3"/>
      <c r="HZ154" s="3"/>
      <c r="IA154" s="3"/>
      <c r="IB154" s="3"/>
      <c r="IC154" s="3"/>
      <c r="ID154" s="3"/>
      <c r="IE154" s="3"/>
      <c r="IF154" s="3"/>
      <c r="IG154" s="3"/>
      <c r="IH154" s="3"/>
      <c r="II154" s="3"/>
      <c r="IJ154" s="3"/>
      <c r="IK154" s="3"/>
      <c r="IL154" s="3"/>
    </row>
    <row r="155" spans="1:246" x14ac:dyDescent="0.35">
      <c r="A155" s="171" t="s">
        <v>766</v>
      </c>
      <c r="B155" s="172"/>
      <c r="C155" s="172"/>
      <c r="D155" s="172"/>
      <c r="E155" s="182">
        <f>SUM(I155:AL155)</f>
        <v>721385137.29208183</v>
      </c>
      <c r="F155" s="173"/>
      <c r="G155" s="173"/>
      <c r="H155" s="173"/>
      <c r="I155" s="173">
        <f>I150*I132</f>
        <v>61614082.615637816</v>
      </c>
      <c r="J155" s="173">
        <f t="shared" ref="J155:AL155" si="30">J150*J132</f>
        <v>64014631.288974352</v>
      </c>
      <c r="K155" s="173">
        <f t="shared" si="30"/>
        <v>58195119.353613034</v>
      </c>
      <c r="L155" s="173">
        <f t="shared" si="30"/>
        <v>52904653.957830034</v>
      </c>
      <c r="M155" s="173">
        <f t="shared" si="30"/>
        <v>48095139.961663663</v>
      </c>
      <c r="N155" s="173">
        <f t="shared" si="30"/>
        <v>43722854.510603331</v>
      </c>
      <c r="O155" s="173">
        <f t="shared" si="30"/>
        <v>39748049.555093929</v>
      </c>
      <c r="P155" s="173">
        <f t="shared" si="30"/>
        <v>36134590.504630841</v>
      </c>
      <c r="Q155" s="173">
        <f t="shared" si="30"/>
        <v>32849627.731482584</v>
      </c>
      <c r="R155" s="173">
        <f t="shared" si="30"/>
        <v>29863297.937711436</v>
      </c>
      <c r="S155" s="173">
        <f t="shared" si="30"/>
        <v>27148452.670646757</v>
      </c>
      <c r="T155" s="173">
        <f t="shared" si="30"/>
        <v>24680411.518769778</v>
      </c>
      <c r="U155" s="173">
        <f t="shared" si="30"/>
        <v>22436737.744336165</v>
      </c>
      <c r="V155" s="173">
        <f t="shared" si="30"/>
        <v>20397034.313032869</v>
      </c>
      <c r="W155" s="173">
        <f t="shared" si="30"/>
        <v>18542758.466393519</v>
      </c>
      <c r="X155" s="173">
        <f t="shared" si="30"/>
        <v>16857053.151266836</v>
      </c>
      <c r="Y155" s="173">
        <f t="shared" si="30"/>
        <v>15324593.773878939</v>
      </c>
      <c r="Z155" s="173">
        <f t="shared" si="30"/>
        <v>13931448.885344489</v>
      </c>
      <c r="AA155" s="173">
        <f t="shared" si="30"/>
        <v>12664953.532131352</v>
      </c>
      <c r="AB155" s="173">
        <f t="shared" si="30"/>
        <v>11513594.120119411</v>
      </c>
      <c r="AC155" s="173">
        <f t="shared" si="30"/>
        <v>10466903.745563101</v>
      </c>
      <c r="AD155" s="173">
        <f t="shared" si="30"/>
        <v>9515367.0414209981</v>
      </c>
      <c r="AE155" s="173">
        <f t="shared" si="30"/>
        <v>8650333.674019089</v>
      </c>
      <c r="AF155" s="173">
        <f t="shared" si="30"/>
        <v>7863939.7036537183</v>
      </c>
      <c r="AG155" s="173">
        <f t="shared" si="30"/>
        <v>7149036.0942306509</v>
      </c>
      <c r="AH155" s="173">
        <f t="shared" si="30"/>
        <v>6499123.7220278643</v>
      </c>
      <c r="AI155" s="173">
        <f t="shared" si="30"/>
        <v>5908294.292752604</v>
      </c>
      <c r="AJ155" s="173">
        <f t="shared" si="30"/>
        <v>5371176.6297750939</v>
      </c>
      <c r="AK155" s="173">
        <f t="shared" si="30"/>
        <v>4882887.845250085</v>
      </c>
      <c r="AL155" s="173">
        <f t="shared" si="30"/>
        <v>4438988.95022735</v>
      </c>
      <c r="AM155" s="159"/>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c r="DA155" s="3"/>
      <c r="DB155" s="3"/>
      <c r="DC155" s="3"/>
      <c r="DD155" s="3"/>
      <c r="DE155" s="3"/>
      <c r="DF155" s="3"/>
      <c r="DG155" s="3"/>
      <c r="DH155" s="3"/>
      <c r="DI155" s="3"/>
      <c r="DJ155" s="3"/>
      <c r="DK155" s="3"/>
      <c r="DL155" s="3"/>
      <c r="DM155" s="3"/>
      <c r="DN155" s="3"/>
      <c r="DO155" s="3"/>
      <c r="DP155" s="3"/>
      <c r="DQ155" s="3"/>
      <c r="DR155" s="3"/>
      <c r="DS155" s="3"/>
      <c r="DT155" s="3"/>
      <c r="DU155" s="3"/>
      <c r="DV155" s="3"/>
      <c r="DW155" s="3"/>
      <c r="DX155" s="3"/>
      <c r="DY155" s="3"/>
      <c r="DZ155" s="3"/>
      <c r="EA155" s="3"/>
      <c r="EB155" s="3"/>
      <c r="EC155" s="3"/>
      <c r="ED155" s="3"/>
      <c r="EE155" s="3"/>
      <c r="EF155" s="3"/>
      <c r="EG155" s="3"/>
      <c r="EH155" s="3"/>
      <c r="EI155" s="3"/>
      <c r="EJ155" s="3"/>
      <c r="EK155" s="3"/>
      <c r="EL155" s="3"/>
      <c r="EM155" s="3"/>
      <c r="EN155" s="3"/>
      <c r="EO155" s="3"/>
      <c r="EP155" s="3"/>
      <c r="EQ155" s="3"/>
      <c r="ER155" s="3"/>
      <c r="ES155" s="3"/>
      <c r="ET155" s="3"/>
      <c r="EU155" s="3"/>
      <c r="EV155" s="3"/>
      <c r="EW155" s="3"/>
      <c r="EX155" s="3"/>
      <c r="EY155" s="3"/>
      <c r="EZ155" s="3"/>
      <c r="FA155" s="3"/>
      <c r="FB155" s="3"/>
      <c r="FC155" s="3"/>
      <c r="FD155" s="3"/>
      <c r="FE155" s="3"/>
      <c r="FF155" s="3"/>
      <c r="FG155" s="3"/>
      <c r="FH155" s="3"/>
      <c r="FI155" s="3"/>
      <c r="FJ155" s="3"/>
      <c r="FK155" s="3"/>
      <c r="FL155" s="3"/>
      <c r="FM155" s="3"/>
      <c r="FN155" s="3"/>
      <c r="FO155" s="3"/>
      <c r="FP155" s="3"/>
      <c r="FQ155" s="3"/>
      <c r="FR155" s="3"/>
      <c r="FS155" s="3"/>
      <c r="FT155" s="3"/>
      <c r="FU155" s="3"/>
      <c r="FV155" s="3"/>
      <c r="FW155" s="3"/>
      <c r="FX155" s="3"/>
      <c r="FY155" s="3"/>
      <c r="FZ155" s="3"/>
      <c r="GA155" s="3"/>
      <c r="GB155" s="3"/>
      <c r="GC155" s="3"/>
      <c r="GD155" s="3"/>
      <c r="GE155" s="3"/>
      <c r="GF155" s="3"/>
      <c r="GG155" s="3"/>
      <c r="GH155" s="3"/>
      <c r="GI155" s="3"/>
      <c r="GJ155" s="3"/>
      <c r="GK155" s="3"/>
      <c r="GL155" s="3"/>
      <c r="GM155" s="3"/>
      <c r="GN155" s="3"/>
      <c r="GO155" s="3"/>
      <c r="GP155" s="3"/>
      <c r="GQ155" s="3"/>
      <c r="GR155" s="3"/>
      <c r="GS155" s="3"/>
      <c r="GT155" s="3"/>
      <c r="GU155" s="3"/>
      <c r="GV155" s="3"/>
      <c r="GW155" s="3"/>
      <c r="GX155" s="3"/>
      <c r="GY155" s="3"/>
      <c r="GZ155" s="3"/>
      <c r="HA155" s="3"/>
      <c r="HB155" s="3"/>
      <c r="HC155" s="3"/>
      <c r="HD155" s="3"/>
      <c r="HE155" s="3"/>
      <c r="HF155" s="3"/>
      <c r="HG155" s="3"/>
      <c r="HH155" s="3"/>
      <c r="HI155" s="3"/>
      <c r="HJ155" s="3"/>
      <c r="HK155" s="3"/>
      <c r="HL155" s="3"/>
      <c r="HM155" s="3"/>
      <c r="HN155" s="3"/>
      <c r="HO155" s="3"/>
      <c r="HP155" s="3"/>
      <c r="HQ155" s="3"/>
      <c r="HR155" s="3"/>
      <c r="HS155" s="3"/>
      <c r="HT155" s="3"/>
      <c r="HU155" s="3"/>
      <c r="HV155" s="3"/>
      <c r="HW155" s="3"/>
      <c r="HX155" s="3"/>
      <c r="HY155" s="3"/>
      <c r="HZ155" s="3"/>
      <c r="IA155" s="3"/>
      <c r="IB155" s="3"/>
      <c r="IC155" s="3"/>
      <c r="ID155" s="3"/>
      <c r="IE155" s="3"/>
      <c r="IF155" s="3"/>
      <c r="IG155" s="3"/>
      <c r="IH155" s="3"/>
      <c r="II155" s="3"/>
      <c r="IJ155" s="3"/>
      <c r="IK155" s="3"/>
      <c r="IL155" s="3"/>
    </row>
    <row r="156" spans="1:246" x14ac:dyDescent="0.35">
      <c r="A156" s="171" t="s">
        <v>767</v>
      </c>
      <c r="B156" s="172"/>
      <c r="C156" s="172"/>
      <c r="D156" s="172"/>
      <c r="E156" s="182">
        <f>SUM(I156:AL156)</f>
        <v>528162879.58509403</v>
      </c>
      <c r="F156" s="173"/>
      <c r="G156" s="173"/>
      <c r="H156" s="173"/>
      <c r="I156" s="173">
        <f>I150*I134</f>
        <v>45110814.757600293</v>
      </c>
      <c r="J156" s="173">
        <f t="shared" ref="J156:AL156" si="31">J150*J134</f>
        <v>46868378.968935363</v>
      </c>
      <c r="K156" s="173">
        <f t="shared" si="31"/>
        <v>42607617.244486682</v>
      </c>
      <c r="L156" s="173">
        <f t="shared" si="31"/>
        <v>38734197.494987898</v>
      </c>
      <c r="M156" s="173">
        <f t="shared" si="31"/>
        <v>35212906.813625358</v>
      </c>
      <c r="N156" s="173">
        <f t="shared" si="31"/>
        <v>32011733.466932144</v>
      </c>
      <c r="O156" s="173">
        <f t="shared" si="31"/>
        <v>29101575.879029214</v>
      </c>
      <c r="P156" s="173">
        <f t="shared" si="31"/>
        <v>26455978.071844742</v>
      </c>
      <c r="Q156" s="173">
        <f t="shared" si="31"/>
        <v>24050889.156222492</v>
      </c>
      <c r="R156" s="173">
        <f t="shared" si="31"/>
        <v>21864444.687474988</v>
      </c>
      <c r="S156" s="173">
        <f t="shared" si="31"/>
        <v>19876767.897704534</v>
      </c>
      <c r="T156" s="173">
        <f t="shared" si="31"/>
        <v>18069788.997913212</v>
      </c>
      <c r="U156" s="173">
        <f t="shared" si="31"/>
        <v>16427080.90719383</v>
      </c>
      <c r="V156" s="173">
        <f t="shared" si="31"/>
        <v>14933709.91563075</v>
      </c>
      <c r="W156" s="173">
        <f t="shared" si="31"/>
        <v>13576099.923300682</v>
      </c>
      <c r="X156" s="173">
        <f t="shared" si="31"/>
        <v>12341909.021182438</v>
      </c>
      <c r="Y156" s="173">
        <f t="shared" si="31"/>
        <v>11219917.291984035</v>
      </c>
      <c r="Z156" s="173">
        <f t="shared" si="31"/>
        <v>10199924.810894575</v>
      </c>
      <c r="AA156" s="173">
        <f t="shared" si="31"/>
        <v>9272658.9189950656</v>
      </c>
      <c r="AB156" s="173">
        <f t="shared" si="31"/>
        <v>8429689.9263591524</v>
      </c>
      <c r="AC156" s="173">
        <f t="shared" si="31"/>
        <v>7663354.4785083197</v>
      </c>
      <c r="AD156" s="173">
        <f t="shared" si="31"/>
        <v>6966685.889553017</v>
      </c>
      <c r="AE156" s="173">
        <f t="shared" si="31"/>
        <v>6333350.8086845605</v>
      </c>
      <c r="AF156" s="173">
        <f t="shared" si="31"/>
        <v>5757591.6442586919</v>
      </c>
      <c r="AG156" s="173">
        <f t="shared" si="31"/>
        <v>5234174.2220533546</v>
      </c>
      <c r="AH156" s="173">
        <f t="shared" si="31"/>
        <v>4758340.2018666863</v>
      </c>
      <c r="AI156" s="173">
        <f t="shared" si="31"/>
        <v>4325763.8198788054</v>
      </c>
      <c r="AJ156" s="173">
        <f t="shared" si="31"/>
        <v>3932512.5635261862</v>
      </c>
      <c r="AK156" s="173">
        <f t="shared" si="31"/>
        <v>3575011.4213874419</v>
      </c>
      <c r="AL156" s="174">
        <f t="shared" si="31"/>
        <v>3250010.3830794925</v>
      </c>
      <c r="AM156" s="159"/>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c r="DA156" s="3"/>
      <c r="DB156" s="3"/>
      <c r="DC156" s="3"/>
      <c r="DD156" s="3"/>
      <c r="DE156" s="3"/>
      <c r="DF156" s="3"/>
      <c r="DG156" s="3"/>
      <c r="DH156" s="3"/>
      <c r="DI156" s="3"/>
      <c r="DJ156" s="3"/>
      <c r="DK156" s="3"/>
      <c r="DL156" s="3"/>
      <c r="DM156" s="3"/>
      <c r="DN156" s="3"/>
      <c r="DO156" s="3"/>
      <c r="DP156" s="3"/>
      <c r="DQ156" s="3"/>
      <c r="DR156" s="3"/>
      <c r="DS156" s="3"/>
      <c r="DT156" s="3"/>
      <c r="DU156" s="3"/>
      <c r="DV156" s="3"/>
      <c r="DW156" s="3"/>
      <c r="DX156" s="3"/>
      <c r="DY156" s="3"/>
      <c r="DZ156" s="3"/>
      <c r="EA156" s="3"/>
      <c r="EB156" s="3"/>
      <c r="EC156" s="3"/>
      <c r="ED156" s="3"/>
      <c r="EE156" s="3"/>
      <c r="EF156" s="3"/>
      <c r="EG156" s="3"/>
      <c r="EH156" s="3"/>
      <c r="EI156" s="3"/>
      <c r="EJ156" s="3"/>
      <c r="EK156" s="3"/>
      <c r="EL156" s="3"/>
      <c r="EM156" s="3"/>
      <c r="EN156" s="3"/>
      <c r="EO156" s="3"/>
      <c r="EP156" s="3"/>
      <c r="EQ156" s="3"/>
      <c r="ER156" s="3"/>
      <c r="ES156" s="3"/>
      <c r="ET156" s="3"/>
      <c r="EU156" s="3"/>
      <c r="EV156" s="3"/>
      <c r="EW156" s="3"/>
      <c r="EX156" s="3"/>
      <c r="EY156" s="3"/>
      <c r="EZ156" s="3"/>
      <c r="FA156" s="3"/>
      <c r="FB156" s="3"/>
      <c r="FC156" s="3"/>
      <c r="FD156" s="3"/>
      <c r="FE156" s="3"/>
      <c r="FF156" s="3"/>
      <c r="FG156" s="3"/>
      <c r="FH156" s="3"/>
      <c r="FI156" s="3"/>
      <c r="FJ156" s="3"/>
      <c r="FK156" s="3"/>
      <c r="FL156" s="3"/>
      <c r="FM156" s="3"/>
      <c r="FN156" s="3"/>
      <c r="FO156" s="3"/>
      <c r="FP156" s="3"/>
      <c r="FQ156" s="3"/>
      <c r="FR156" s="3"/>
      <c r="FS156" s="3"/>
      <c r="FT156" s="3"/>
      <c r="FU156" s="3"/>
      <c r="FV156" s="3"/>
      <c r="FW156" s="3"/>
      <c r="FX156" s="3"/>
      <c r="FY156" s="3"/>
      <c r="FZ156" s="3"/>
      <c r="GA156" s="3"/>
      <c r="GB156" s="3"/>
      <c r="GC156" s="3"/>
      <c r="GD156" s="3"/>
      <c r="GE156" s="3"/>
      <c r="GF156" s="3"/>
      <c r="GG156" s="3"/>
      <c r="GH156" s="3"/>
      <c r="GI156" s="3"/>
      <c r="GJ156" s="3"/>
      <c r="GK156" s="3"/>
      <c r="GL156" s="3"/>
      <c r="GM156" s="3"/>
      <c r="GN156" s="3"/>
      <c r="GO156" s="3"/>
      <c r="GP156" s="3"/>
      <c r="GQ156" s="3"/>
      <c r="GR156" s="3"/>
      <c r="GS156" s="3"/>
      <c r="GT156" s="3"/>
      <c r="GU156" s="3"/>
      <c r="GV156" s="3"/>
      <c r="GW156" s="3"/>
      <c r="GX156" s="3"/>
      <c r="GY156" s="3"/>
      <c r="GZ156" s="3"/>
      <c r="HA156" s="3"/>
      <c r="HB156" s="3"/>
      <c r="HC156" s="3"/>
      <c r="HD156" s="3"/>
      <c r="HE156" s="3"/>
      <c r="HF156" s="3"/>
      <c r="HG156" s="3"/>
      <c r="HH156" s="3"/>
      <c r="HI156" s="3"/>
      <c r="HJ156" s="3"/>
      <c r="HK156" s="3"/>
      <c r="HL156" s="3"/>
      <c r="HM156" s="3"/>
      <c r="HN156" s="3"/>
      <c r="HO156" s="3"/>
      <c r="HP156" s="3"/>
      <c r="HQ156" s="3"/>
      <c r="HR156" s="3"/>
      <c r="HS156" s="3"/>
      <c r="HT156" s="3"/>
      <c r="HU156" s="3"/>
      <c r="HV156" s="3"/>
      <c r="HW156" s="3"/>
      <c r="HX156" s="3"/>
      <c r="HY156" s="3"/>
      <c r="HZ156" s="3"/>
      <c r="IA156" s="3"/>
      <c r="IB156" s="3"/>
      <c r="IC156" s="3"/>
      <c r="ID156" s="3"/>
      <c r="IE156" s="3"/>
      <c r="IF156" s="3"/>
      <c r="IG156" s="3"/>
      <c r="IH156" s="3"/>
      <c r="II156" s="3"/>
      <c r="IJ156" s="3"/>
      <c r="IK156" s="3"/>
      <c r="IL156" s="3"/>
    </row>
    <row r="157" spans="1:246" x14ac:dyDescent="0.35">
      <c r="A157" s="171" t="s">
        <v>773</v>
      </c>
      <c r="B157" s="172"/>
      <c r="C157" s="172"/>
      <c r="D157" s="172"/>
      <c r="E157" s="194">
        <f>SUM(F157:H157)</f>
        <v>113960213.39411452</v>
      </c>
      <c r="F157" s="193">
        <f>F150*F122</f>
        <v>10244565.988623967</v>
      </c>
      <c r="G157" s="193">
        <f>G150*G122</f>
        <v>69849313.558799759</v>
      </c>
      <c r="H157" s="193">
        <f>H150*H122</f>
        <v>33866333.846690796</v>
      </c>
      <c r="I157" s="172"/>
      <c r="J157" s="172"/>
      <c r="K157" s="172"/>
      <c r="L157" s="172"/>
      <c r="M157" s="172"/>
      <c r="N157" s="172"/>
      <c r="O157" s="172"/>
      <c r="P157" s="172"/>
      <c r="Q157" s="172"/>
      <c r="R157" s="172"/>
      <c r="S157" s="172"/>
      <c r="T157" s="172"/>
      <c r="U157" s="172"/>
      <c r="V157" s="172"/>
      <c r="W157" s="172"/>
      <c r="X157" s="172"/>
      <c r="Y157" s="172"/>
      <c r="Z157" s="172"/>
      <c r="AA157" s="172"/>
      <c r="AB157" s="172"/>
      <c r="AC157" s="172"/>
      <c r="AD157" s="172"/>
      <c r="AE157" s="172"/>
      <c r="AF157" s="172"/>
      <c r="AG157" s="172"/>
      <c r="AH157" s="172"/>
      <c r="AI157" s="172"/>
      <c r="AJ157" s="172"/>
      <c r="AK157" s="172"/>
      <c r="AL157" s="187"/>
      <c r="AM157" s="159"/>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c r="DA157" s="3"/>
      <c r="DB157" s="3"/>
      <c r="DC157" s="3"/>
      <c r="DD157" s="3"/>
      <c r="DE157" s="3"/>
      <c r="DF157" s="3"/>
      <c r="DG157" s="3"/>
      <c r="DH157" s="3"/>
      <c r="DI157" s="3"/>
      <c r="DJ157" s="3"/>
      <c r="DK157" s="3"/>
      <c r="DL157" s="3"/>
      <c r="DM157" s="3"/>
      <c r="DN157" s="3"/>
      <c r="DO157" s="3"/>
      <c r="DP157" s="3"/>
      <c r="DQ157" s="3"/>
      <c r="DR157" s="3"/>
      <c r="DS157" s="3"/>
      <c r="DT157" s="3"/>
      <c r="DU157" s="3"/>
      <c r="DV157" s="3"/>
      <c r="DW157" s="3"/>
      <c r="DX157" s="3"/>
      <c r="DY157" s="3"/>
      <c r="DZ157" s="3"/>
      <c r="EA157" s="3"/>
      <c r="EB157" s="3"/>
      <c r="EC157" s="3"/>
      <c r="ED157" s="3"/>
      <c r="EE157" s="3"/>
      <c r="EF157" s="3"/>
      <c r="EG157" s="3"/>
      <c r="EH157" s="3"/>
      <c r="EI157" s="3"/>
      <c r="EJ157" s="3"/>
      <c r="EK157" s="3"/>
      <c r="EL157" s="3"/>
      <c r="EM157" s="3"/>
      <c r="EN157" s="3"/>
      <c r="EO157" s="3"/>
      <c r="EP157" s="3"/>
      <c r="EQ157" s="3"/>
      <c r="ER157" s="3"/>
      <c r="ES157" s="3"/>
      <c r="ET157" s="3"/>
      <c r="EU157" s="3"/>
      <c r="EV157" s="3"/>
      <c r="EW157" s="3"/>
      <c r="EX157" s="3"/>
      <c r="EY157" s="3"/>
      <c r="EZ157" s="3"/>
      <c r="FA157" s="3"/>
      <c r="FB157" s="3"/>
      <c r="FC157" s="3"/>
      <c r="FD157" s="3"/>
      <c r="FE157" s="3"/>
      <c r="FF157" s="3"/>
      <c r="FG157" s="3"/>
      <c r="FH157" s="3"/>
      <c r="FI157" s="3"/>
      <c r="FJ157" s="3"/>
      <c r="FK157" s="3"/>
      <c r="FL157" s="3"/>
      <c r="FM157" s="3"/>
      <c r="FN157" s="3"/>
      <c r="FO157" s="3"/>
      <c r="FP157" s="3"/>
      <c r="FQ157" s="3"/>
      <c r="FR157" s="3"/>
      <c r="FS157" s="3"/>
      <c r="FT157" s="3"/>
      <c r="FU157" s="3"/>
      <c r="FV157" s="3"/>
      <c r="FW157" s="3"/>
      <c r="FX157" s="3"/>
      <c r="FY157" s="3"/>
      <c r="FZ157" s="3"/>
      <c r="GA157" s="3"/>
      <c r="GB157" s="3"/>
      <c r="GC157" s="3"/>
      <c r="GD157" s="3"/>
      <c r="GE157" s="3"/>
      <c r="GF157" s="3"/>
      <c r="GG157" s="3"/>
      <c r="GH157" s="3"/>
      <c r="GI157" s="3"/>
      <c r="GJ157" s="3"/>
      <c r="GK157" s="3"/>
      <c r="GL157" s="3"/>
      <c r="GM157" s="3"/>
      <c r="GN157" s="3"/>
      <c r="GO157" s="3"/>
      <c r="GP157" s="3"/>
      <c r="GQ157" s="3"/>
      <c r="GR157" s="3"/>
      <c r="GS157" s="3"/>
      <c r="GT157" s="3"/>
      <c r="GU157" s="3"/>
      <c r="GV157" s="3"/>
      <c r="GW157" s="3"/>
      <c r="GX157" s="3"/>
      <c r="GY157" s="3"/>
      <c r="GZ157" s="3"/>
      <c r="HA157" s="3"/>
      <c r="HB157" s="3"/>
      <c r="HC157" s="3"/>
      <c r="HD157" s="3"/>
      <c r="HE157" s="3"/>
      <c r="HF157" s="3"/>
      <c r="HG157" s="3"/>
      <c r="HH157" s="3"/>
      <c r="HI157" s="3"/>
      <c r="HJ157" s="3"/>
      <c r="HK157" s="3"/>
      <c r="HL157" s="3"/>
      <c r="HM157" s="3"/>
      <c r="HN157" s="3"/>
      <c r="HO157" s="3"/>
      <c r="HP157" s="3"/>
      <c r="HQ157" s="3"/>
      <c r="HR157" s="3"/>
      <c r="HS157" s="3"/>
      <c r="HT157" s="3"/>
      <c r="HU157" s="3"/>
      <c r="HV157" s="3"/>
      <c r="HW157" s="3"/>
      <c r="HX157" s="3"/>
      <c r="HY157" s="3"/>
      <c r="HZ157" s="3"/>
      <c r="IA157" s="3"/>
      <c r="IB157" s="3"/>
      <c r="IC157" s="3"/>
      <c r="ID157" s="3"/>
      <c r="IE157" s="3"/>
      <c r="IF157" s="3"/>
      <c r="IG157" s="3"/>
      <c r="IH157" s="3"/>
      <c r="II157" s="3"/>
      <c r="IJ157" s="3"/>
      <c r="IK157" s="3"/>
      <c r="IL157" s="3"/>
    </row>
    <row r="158" spans="1:246" ht="15" thickBot="1" x14ac:dyDescent="0.4">
      <c r="A158" s="183" t="s">
        <v>774</v>
      </c>
      <c r="B158" s="184"/>
      <c r="C158" s="184"/>
      <c r="D158" s="184"/>
      <c r="E158" s="209">
        <f>F158</f>
        <v>2236080.0000000005</v>
      </c>
      <c r="F158" s="185">
        <f>F150*F123</f>
        <v>2236080.0000000005</v>
      </c>
      <c r="G158" s="185"/>
      <c r="H158" s="185"/>
      <c r="I158" s="185"/>
      <c r="J158" s="185"/>
      <c r="K158" s="185"/>
      <c r="L158" s="185"/>
      <c r="M158" s="185"/>
      <c r="N158" s="185"/>
      <c r="O158" s="185"/>
      <c r="P158" s="185"/>
      <c r="Q158" s="185"/>
      <c r="R158" s="185"/>
      <c r="S158" s="185"/>
      <c r="T158" s="185"/>
      <c r="U158" s="185"/>
      <c r="V158" s="185"/>
      <c r="W158" s="185"/>
      <c r="X158" s="185"/>
      <c r="Y158" s="185"/>
      <c r="Z158" s="185"/>
      <c r="AA158" s="185"/>
      <c r="AB158" s="185"/>
      <c r="AC158" s="185"/>
      <c r="AD158" s="185"/>
      <c r="AE158" s="185"/>
      <c r="AF158" s="185"/>
      <c r="AG158" s="185"/>
      <c r="AH158" s="185"/>
      <c r="AI158" s="185"/>
      <c r="AJ158" s="185"/>
      <c r="AK158" s="185"/>
      <c r="AL158" s="186"/>
      <c r="AM158" s="159"/>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c r="DA158" s="3"/>
      <c r="DB158" s="3"/>
      <c r="DC158" s="3"/>
      <c r="DD158" s="3"/>
      <c r="DE158" s="3"/>
      <c r="DF158" s="3"/>
      <c r="DG158" s="3"/>
      <c r="DH158" s="3"/>
      <c r="DI158" s="3"/>
      <c r="DJ158" s="3"/>
      <c r="DK158" s="3"/>
      <c r="DL158" s="3"/>
      <c r="DM158" s="3"/>
      <c r="DN158" s="3"/>
      <c r="DO158" s="3"/>
      <c r="DP158" s="3"/>
      <c r="DQ158" s="3"/>
      <c r="DR158" s="3"/>
      <c r="DS158" s="3"/>
      <c r="DT158" s="3"/>
      <c r="DU158" s="3"/>
      <c r="DV158" s="3"/>
      <c r="DW158" s="3"/>
      <c r="DX158" s="3"/>
      <c r="DY158" s="3"/>
      <c r="DZ158" s="3"/>
      <c r="EA158" s="3"/>
      <c r="EB158" s="3"/>
      <c r="EC158" s="3"/>
      <c r="ED158" s="3"/>
      <c r="EE158" s="3"/>
      <c r="EF158" s="3"/>
      <c r="EG158" s="3"/>
      <c r="EH158" s="3"/>
      <c r="EI158" s="3"/>
      <c r="EJ158" s="3"/>
      <c r="EK158" s="3"/>
      <c r="EL158" s="3"/>
      <c r="EM158" s="3"/>
      <c r="EN158" s="3"/>
      <c r="EO158" s="3"/>
      <c r="EP158" s="3"/>
      <c r="EQ158" s="3"/>
      <c r="ER158" s="3"/>
      <c r="ES158" s="3"/>
      <c r="ET158" s="3"/>
      <c r="EU158" s="3"/>
      <c r="EV158" s="3"/>
      <c r="EW158" s="3"/>
      <c r="EX158" s="3"/>
      <c r="EY158" s="3"/>
      <c r="EZ158" s="3"/>
      <c r="FA158" s="3"/>
      <c r="FB158" s="3"/>
      <c r="FC158" s="3"/>
      <c r="FD158" s="3"/>
      <c r="FE158" s="3"/>
      <c r="FF158" s="3"/>
      <c r="FG158" s="3"/>
      <c r="FH158" s="3"/>
      <c r="FI158" s="3"/>
      <c r="FJ158" s="3"/>
      <c r="FK158" s="3"/>
      <c r="FL158" s="3"/>
      <c r="FM158" s="3"/>
      <c r="FN158" s="3"/>
      <c r="FO158" s="3"/>
      <c r="FP158" s="3"/>
      <c r="FQ158" s="3"/>
      <c r="FR158" s="3"/>
      <c r="FS158" s="3"/>
      <c r="FT158" s="3"/>
      <c r="FU158" s="3"/>
      <c r="FV158" s="3"/>
      <c r="FW158" s="3"/>
      <c r="FX158" s="3"/>
      <c r="FY158" s="3"/>
      <c r="FZ158" s="3"/>
      <c r="GA158" s="3"/>
      <c r="GB158" s="3"/>
      <c r="GC158" s="3"/>
      <c r="GD158" s="3"/>
      <c r="GE158" s="3"/>
      <c r="GF158" s="3"/>
      <c r="GG158" s="3"/>
      <c r="GH158" s="3"/>
      <c r="GI158" s="3"/>
      <c r="GJ158" s="3"/>
      <c r="GK158" s="3"/>
      <c r="GL158" s="3"/>
      <c r="GM158" s="3"/>
      <c r="GN158" s="3"/>
      <c r="GO158" s="3"/>
      <c r="GP158" s="3"/>
      <c r="GQ158" s="3"/>
      <c r="GR158" s="3"/>
      <c r="GS158" s="3"/>
      <c r="GT158" s="3"/>
      <c r="GU158" s="3"/>
      <c r="GV158" s="3"/>
      <c r="GW158" s="3"/>
      <c r="GX158" s="3"/>
      <c r="GY158" s="3"/>
      <c r="GZ158" s="3"/>
      <c r="HA158" s="3"/>
      <c r="HB158" s="3"/>
      <c r="HC158" s="3"/>
      <c r="HD158" s="3"/>
      <c r="HE158" s="3"/>
      <c r="HF158" s="3"/>
      <c r="HG158" s="3"/>
      <c r="HH158" s="3"/>
      <c r="HI158" s="3"/>
      <c r="HJ158" s="3"/>
      <c r="HK158" s="3"/>
      <c r="HL158" s="3"/>
      <c r="HM158" s="3"/>
      <c r="HN158" s="3"/>
      <c r="HO158" s="3"/>
      <c r="HP158" s="3"/>
      <c r="HQ158" s="3"/>
      <c r="HR158" s="3"/>
      <c r="HS158" s="3"/>
      <c r="HT158" s="3"/>
      <c r="HU158" s="3"/>
      <c r="HV158" s="3"/>
      <c r="HW158" s="3"/>
      <c r="HX158" s="3"/>
      <c r="HY158" s="3"/>
      <c r="HZ158" s="3"/>
      <c r="IA158" s="3"/>
      <c r="IB158" s="3"/>
      <c r="IC158" s="3"/>
      <c r="ID158" s="3"/>
      <c r="IE158" s="3"/>
      <c r="IF158" s="3"/>
      <c r="IG158" s="3"/>
      <c r="IH158" s="3"/>
      <c r="II158" s="3"/>
      <c r="IJ158" s="3"/>
      <c r="IK158" s="3"/>
      <c r="IL158" s="3"/>
    </row>
    <row r="159" spans="1:246" x14ac:dyDescent="0.35">
      <c r="F159" s="122"/>
      <c r="G159" s="122"/>
      <c r="H159" s="122"/>
      <c r="I159" s="122"/>
      <c r="J159" s="122"/>
      <c r="K159" s="122"/>
      <c r="L159" s="122"/>
      <c r="M159" s="122"/>
      <c r="N159" s="122"/>
      <c r="O159" s="122"/>
      <c r="P159" s="122"/>
      <c r="Q159" s="122"/>
      <c r="R159" s="122"/>
      <c r="S159" s="122"/>
      <c r="T159" s="122"/>
      <c r="U159" s="122"/>
      <c r="V159" s="122"/>
      <c r="W159" s="122"/>
      <c r="X159" s="122"/>
      <c r="Y159" s="122"/>
      <c r="Z159" s="122"/>
      <c r="AA159" s="122"/>
      <c r="AB159" s="122"/>
      <c r="AC159" s="122"/>
      <c r="AD159" s="122"/>
      <c r="AE159" s="122"/>
      <c r="AF159" s="122"/>
      <c r="AG159" s="122"/>
      <c r="AH159" s="122"/>
      <c r="AI159" s="122"/>
      <c r="AJ159" s="122"/>
      <c r="AK159" s="122"/>
      <c r="AL159" s="122"/>
      <c r="AM159" s="159"/>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c r="DA159" s="3"/>
      <c r="DB159" s="3"/>
      <c r="DC159" s="3"/>
      <c r="DD159" s="3"/>
      <c r="DE159" s="3"/>
      <c r="DF159" s="3"/>
      <c r="DG159" s="3"/>
      <c r="DH159" s="3"/>
      <c r="DI159" s="3"/>
      <c r="DJ159" s="3"/>
      <c r="DK159" s="3"/>
      <c r="DL159" s="3"/>
      <c r="DM159" s="3"/>
      <c r="DN159" s="3"/>
      <c r="DO159" s="3"/>
      <c r="DP159" s="3"/>
      <c r="DQ159" s="3"/>
      <c r="DR159" s="3"/>
      <c r="DS159" s="3"/>
      <c r="DT159" s="3"/>
      <c r="DU159" s="3"/>
      <c r="DV159" s="3"/>
      <c r="DW159" s="3"/>
      <c r="DX159" s="3"/>
      <c r="DY159" s="3"/>
      <c r="DZ159" s="3"/>
      <c r="EA159" s="3"/>
      <c r="EB159" s="3"/>
      <c r="EC159" s="3"/>
      <c r="ED159" s="3"/>
      <c r="EE159" s="3"/>
      <c r="EF159" s="3"/>
      <c r="EG159" s="3"/>
      <c r="EH159" s="3"/>
      <c r="EI159" s="3"/>
      <c r="EJ159" s="3"/>
      <c r="EK159" s="3"/>
      <c r="EL159" s="3"/>
      <c r="EM159" s="3"/>
      <c r="EN159" s="3"/>
      <c r="EO159" s="3"/>
      <c r="EP159" s="3"/>
      <c r="EQ159" s="3"/>
      <c r="ER159" s="3"/>
      <c r="ES159" s="3"/>
      <c r="ET159" s="3"/>
      <c r="EU159" s="3"/>
      <c r="EV159" s="3"/>
      <c r="EW159" s="3"/>
      <c r="EX159" s="3"/>
      <c r="EY159" s="3"/>
      <c r="EZ159" s="3"/>
      <c r="FA159" s="3"/>
      <c r="FB159" s="3"/>
      <c r="FC159" s="3"/>
      <c r="FD159" s="3"/>
      <c r="FE159" s="3"/>
      <c r="FF159" s="3"/>
      <c r="FG159" s="3"/>
      <c r="FH159" s="3"/>
      <c r="FI159" s="3"/>
      <c r="FJ159" s="3"/>
      <c r="FK159" s="3"/>
      <c r="FL159" s="3"/>
      <c r="FM159" s="3"/>
      <c r="FN159" s="3"/>
      <c r="FO159" s="3"/>
      <c r="FP159" s="3"/>
      <c r="FQ159" s="3"/>
      <c r="FR159" s="3"/>
      <c r="FS159" s="3"/>
      <c r="FT159" s="3"/>
      <c r="FU159" s="3"/>
      <c r="FV159" s="3"/>
      <c r="FW159" s="3"/>
      <c r="FX159" s="3"/>
      <c r="FY159" s="3"/>
      <c r="FZ159" s="3"/>
      <c r="GA159" s="3"/>
      <c r="GB159" s="3"/>
      <c r="GC159" s="3"/>
      <c r="GD159" s="3"/>
      <c r="GE159" s="3"/>
      <c r="GF159" s="3"/>
      <c r="GG159" s="3"/>
      <c r="GH159" s="3"/>
      <c r="GI159" s="3"/>
      <c r="GJ159" s="3"/>
      <c r="GK159" s="3"/>
      <c r="GL159" s="3"/>
      <c r="GM159" s="3"/>
      <c r="GN159" s="3"/>
      <c r="GO159" s="3"/>
      <c r="GP159" s="3"/>
      <c r="GQ159" s="3"/>
      <c r="GR159" s="3"/>
      <c r="GS159" s="3"/>
      <c r="GT159" s="3"/>
      <c r="GU159" s="3"/>
      <c r="GV159" s="3"/>
      <c r="GW159" s="3"/>
      <c r="GX159" s="3"/>
      <c r="GY159" s="3"/>
      <c r="GZ159" s="3"/>
      <c r="HA159" s="3"/>
      <c r="HB159" s="3"/>
      <c r="HC159" s="3"/>
      <c r="HD159" s="3"/>
      <c r="HE159" s="3"/>
      <c r="HF159" s="3"/>
      <c r="HG159" s="3"/>
      <c r="HH159" s="3"/>
      <c r="HI159" s="3"/>
      <c r="HJ159" s="3"/>
      <c r="HK159" s="3"/>
      <c r="HL159" s="3"/>
      <c r="HM159" s="3"/>
      <c r="HN159" s="3"/>
      <c r="HO159" s="3"/>
      <c r="HP159" s="3"/>
      <c r="HQ159" s="3"/>
      <c r="HR159" s="3"/>
      <c r="HS159" s="3"/>
      <c r="HT159" s="3"/>
      <c r="HU159" s="3"/>
      <c r="HV159" s="3"/>
      <c r="HW159" s="3"/>
      <c r="HX159" s="3"/>
      <c r="HY159" s="3"/>
      <c r="HZ159" s="3"/>
      <c r="IA159" s="3"/>
      <c r="IB159" s="3"/>
      <c r="IC159" s="3"/>
      <c r="ID159" s="3"/>
      <c r="IE159" s="3"/>
      <c r="IF159" s="3"/>
      <c r="IG159" s="3"/>
      <c r="IH159" s="3"/>
      <c r="II159" s="3"/>
      <c r="IJ159" s="3"/>
      <c r="IK159" s="3"/>
      <c r="IL159" s="3"/>
    </row>
    <row r="160" spans="1:246" x14ac:dyDescent="0.35">
      <c r="F160" s="122">
        <f>F126*F150</f>
        <v>0</v>
      </c>
      <c r="G160" s="122">
        <f t="shared" ref="G160:S160" si="32">G126*G150</f>
        <v>0</v>
      </c>
      <c r="H160" s="122">
        <f t="shared" si="32"/>
        <v>0</v>
      </c>
      <c r="I160" s="122">
        <f t="shared" si="32"/>
        <v>21507453.482457895</v>
      </c>
      <c r="J160" s="122">
        <f t="shared" si="32"/>
        <v>19552230.438598085</v>
      </c>
      <c r="K160" s="122">
        <f t="shared" si="32"/>
        <v>17774754.944180075</v>
      </c>
      <c r="L160" s="122">
        <f t="shared" si="32"/>
        <v>16158868.131072797</v>
      </c>
      <c r="M160" s="122">
        <f t="shared" si="32"/>
        <v>14689880.119157085</v>
      </c>
      <c r="N160" s="122">
        <f t="shared" si="32"/>
        <v>13354436.471960986</v>
      </c>
      <c r="O160" s="122">
        <f t="shared" si="32"/>
        <v>12140396.792691804</v>
      </c>
      <c r="P160" s="122">
        <f t="shared" si="32"/>
        <v>11036724.356992548</v>
      </c>
      <c r="Q160" s="122">
        <f t="shared" si="32"/>
        <v>10033385.779084135</v>
      </c>
      <c r="R160" s="122">
        <f t="shared" si="32"/>
        <v>9121259.7991673946</v>
      </c>
      <c r="S160" s="122">
        <f t="shared" si="32"/>
        <v>0</v>
      </c>
      <c r="T160" s="122"/>
      <c r="U160" s="122"/>
      <c r="V160" s="122"/>
      <c r="W160" s="122"/>
      <c r="X160" s="122"/>
      <c r="Y160" s="122"/>
      <c r="Z160" s="122"/>
      <c r="AA160" s="122"/>
      <c r="AB160" s="122"/>
      <c r="AC160" s="122"/>
      <c r="AD160" s="122"/>
      <c r="AE160" s="122"/>
      <c r="AF160" s="122"/>
      <c r="AG160" s="122"/>
      <c r="AH160" s="122"/>
      <c r="AI160" s="122"/>
      <c r="AJ160" s="122"/>
      <c r="AK160" s="122"/>
      <c r="AL160" s="122"/>
      <c r="AM160" s="159"/>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c r="DA160" s="3"/>
      <c r="DB160" s="3"/>
      <c r="DC160" s="3"/>
      <c r="DD160" s="3"/>
      <c r="DE160" s="3"/>
      <c r="DF160" s="3"/>
      <c r="DG160" s="3"/>
      <c r="DH160" s="3"/>
      <c r="DI160" s="3"/>
      <c r="DJ160" s="3"/>
      <c r="DK160" s="3"/>
      <c r="DL160" s="3"/>
      <c r="DM160" s="3"/>
      <c r="DN160" s="3"/>
      <c r="DO160" s="3"/>
      <c r="DP160" s="3"/>
      <c r="DQ160" s="3"/>
      <c r="DR160" s="3"/>
      <c r="DS160" s="3"/>
      <c r="DT160" s="3"/>
      <c r="DU160" s="3"/>
      <c r="DV160" s="3"/>
      <c r="DW160" s="3"/>
      <c r="DX160" s="3"/>
      <c r="DY160" s="3"/>
      <c r="DZ160" s="3"/>
      <c r="EA160" s="3"/>
      <c r="EB160" s="3"/>
      <c r="EC160" s="3"/>
      <c r="ED160" s="3"/>
      <c r="EE160" s="3"/>
      <c r="EF160" s="3"/>
      <c r="EG160" s="3"/>
      <c r="EH160" s="3"/>
      <c r="EI160" s="3"/>
      <c r="EJ160" s="3"/>
      <c r="EK160" s="3"/>
      <c r="EL160" s="3"/>
      <c r="EM160" s="3"/>
      <c r="EN160" s="3"/>
      <c r="EO160" s="3"/>
      <c r="EP160" s="3"/>
      <c r="EQ160" s="3"/>
      <c r="ER160" s="3"/>
      <c r="ES160" s="3"/>
      <c r="ET160" s="3"/>
      <c r="EU160" s="3"/>
      <c r="EV160" s="3"/>
      <c r="EW160" s="3"/>
      <c r="EX160" s="3"/>
      <c r="EY160" s="3"/>
      <c r="EZ160" s="3"/>
      <c r="FA160" s="3"/>
      <c r="FB160" s="3"/>
      <c r="FC160" s="3"/>
      <c r="FD160" s="3"/>
      <c r="FE160" s="3"/>
      <c r="FF160" s="3"/>
      <c r="FG160" s="3"/>
      <c r="FH160" s="3"/>
      <c r="FI160" s="3"/>
      <c r="FJ160" s="3"/>
      <c r="FK160" s="3"/>
      <c r="FL160" s="3"/>
      <c r="FM160" s="3"/>
      <c r="FN160" s="3"/>
      <c r="FO160" s="3"/>
      <c r="FP160" s="3"/>
      <c r="FQ160" s="3"/>
      <c r="FR160" s="3"/>
      <c r="FS160" s="3"/>
      <c r="FT160" s="3"/>
      <c r="FU160" s="3"/>
      <c r="FV160" s="3"/>
      <c r="FW160" s="3"/>
      <c r="FX160" s="3"/>
      <c r="FY160" s="3"/>
      <c r="FZ160" s="3"/>
      <c r="GA160" s="3"/>
      <c r="GB160" s="3"/>
      <c r="GC160" s="3"/>
      <c r="GD160" s="3"/>
      <c r="GE160" s="3"/>
      <c r="GF160" s="3"/>
      <c r="GG160" s="3"/>
      <c r="GH160" s="3"/>
      <c r="GI160" s="3"/>
      <c r="GJ160" s="3"/>
      <c r="GK160" s="3"/>
      <c r="GL160" s="3"/>
      <c r="GM160" s="3"/>
      <c r="GN160" s="3"/>
      <c r="GO160" s="3"/>
      <c r="GP160" s="3"/>
      <c r="GQ160" s="3"/>
      <c r="GR160" s="3"/>
      <c r="GS160" s="3"/>
      <c r="GT160" s="3"/>
      <c r="GU160" s="3"/>
      <c r="GV160" s="3"/>
      <c r="GW160" s="3"/>
      <c r="GX160" s="3"/>
      <c r="GY160" s="3"/>
      <c r="GZ160" s="3"/>
      <c r="HA160" s="3"/>
      <c r="HB160" s="3"/>
      <c r="HC160" s="3"/>
      <c r="HD160" s="3"/>
      <c r="HE160" s="3"/>
      <c r="HF160" s="3"/>
      <c r="HG160" s="3"/>
      <c r="HH160" s="3"/>
      <c r="HI160" s="3"/>
      <c r="HJ160" s="3"/>
      <c r="HK160" s="3"/>
      <c r="HL160" s="3"/>
      <c r="HM160" s="3"/>
      <c r="HN160" s="3"/>
      <c r="HO160" s="3"/>
      <c r="HP160" s="3"/>
      <c r="HQ160" s="3"/>
      <c r="HR160" s="3"/>
      <c r="HS160" s="3"/>
      <c r="HT160" s="3"/>
      <c r="HU160" s="3"/>
      <c r="HV160" s="3"/>
      <c r="HW160" s="3"/>
      <c r="HX160" s="3"/>
      <c r="HY160" s="3"/>
      <c r="HZ160" s="3"/>
      <c r="IA160" s="3"/>
      <c r="IB160" s="3"/>
      <c r="IC160" s="3"/>
      <c r="ID160" s="3"/>
      <c r="IE160" s="3"/>
      <c r="IF160" s="3"/>
      <c r="IG160" s="3"/>
      <c r="IH160" s="3"/>
      <c r="II160" s="3"/>
      <c r="IJ160" s="3"/>
      <c r="IK160" s="3"/>
      <c r="IL160" s="3"/>
    </row>
    <row r="161" spans="1:246" ht="15" thickBot="1" x14ac:dyDescent="0.4">
      <c r="A161" s="248"/>
      <c r="F161" s="122"/>
      <c r="G161" s="122"/>
      <c r="H161" s="122"/>
      <c r="I161" s="122"/>
      <c r="J161" s="122"/>
      <c r="K161" s="122"/>
      <c r="L161" s="122"/>
      <c r="M161" s="122"/>
      <c r="N161" s="122"/>
      <c r="O161" s="122"/>
      <c r="P161" s="122"/>
      <c r="Q161" s="122"/>
      <c r="R161" s="122"/>
      <c r="S161" s="122"/>
      <c r="T161" s="122"/>
      <c r="U161" s="122"/>
      <c r="V161" s="122"/>
      <c r="W161" s="122"/>
      <c r="X161" s="122"/>
      <c r="Y161" s="122"/>
      <c r="Z161" s="122"/>
      <c r="AA161" s="122"/>
      <c r="AB161" s="122"/>
      <c r="AC161" s="122"/>
      <c r="AD161" s="122"/>
      <c r="AE161" s="122"/>
      <c r="AF161" s="122"/>
      <c r="AG161" s="122"/>
      <c r="AH161" s="122"/>
      <c r="AI161" s="122"/>
      <c r="AJ161" s="122"/>
      <c r="AK161" s="122"/>
      <c r="AL161" s="122"/>
      <c r="AM161" s="159"/>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c r="DA161" s="3"/>
      <c r="DB161" s="3"/>
      <c r="DC161" s="3"/>
      <c r="DD161" s="3"/>
      <c r="DE161" s="3"/>
      <c r="DF161" s="3"/>
      <c r="DG161" s="3"/>
      <c r="DH161" s="3"/>
      <c r="DI161" s="3"/>
      <c r="DJ161" s="3"/>
      <c r="DK161" s="3"/>
      <c r="DL161" s="3"/>
      <c r="DM161" s="3"/>
      <c r="DN161" s="3"/>
      <c r="DO161" s="3"/>
      <c r="DP161" s="3"/>
      <c r="DQ161" s="3"/>
      <c r="DR161" s="3"/>
      <c r="DS161" s="3"/>
      <c r="DT161" s="3"/>
      <c r="DU161" s="3"/>
      <c r="DV161" s="3"/>
      <c r="DW161" s="3"/>
      <c r="DX161" s="3"/>
      <c r="DY161" s="3"/>
      <c r="DZ161" s="3"/>
      <c r="EA161" s="3"/>
      <c r="EB161" s="3"/>
      <c r="EC161" s="3"/>
      <c r="ED161" s="3"/>
      <c r="EE161" s="3"/>
      <c r="EF161" s="3"/>
      <c r="EG161" s="3"/>
      <c r="EH161" s="3"/>
      <c r="EI161" s="3"/>
      <c r="EJ161" s="3"/>
      <c r="EK161" s="3"/>
      <c r="EL161" s="3"/>
      <c r="EM161" s="3"/>
      <c r="EN161" s="3"/>
      <c r="EO161" s="3"/>
      <c r="EP161" s="3"/>
      <c r="EQ161" s="3"/>
      <c r="ER161" s="3"/>
      <c r="ES161" s="3"/>
      <c r="ET161" s="3"/>
      <c r="EU161" s="3"/>
      <c r="EV161" s="3"/>
      <c r="EW161" s="3"/>
      <c r="EX161" s="3"/>
      <c r="EY161" s="3"/>
      <c r="EZ161" s="3"/>
      <c r="FA161" s="3"/>
      <c r="FB161" s="3"/>
      <c r="FC161" s="3"/>
      <c r="FD161" s="3"/>
      <c r="FE161" s="3"/>
      <c r="FF161" s="3"/>
      <c r="FG161" s="3"/>
      <c r="FH161" s="3"/>
      <c r="FI161" s="3"/>
      <c r="FJ161" s="3"/>
      <c r="FK161" s="3"/>
      <c r="FL161" s="3"/>
      <c r="FM161" s="3"/>
      <c r="FN161" s="3"/>
      <c r="FO161" s="3"/>
      <c r="FP161" s="3"/>
      <c r="FQ161" s="3"/>
      <c r="FR161" s="3"/>
      <c r="FS161" s="3"/>
      <c r="FT161" s="3"/>
      <c r="FU161" s="3"/>
      <c r="FV161" s="3"/>
      <c r="FW161" s="3"/>
      <c r="FX161" s="3"/>
      <c r="FY161" s="3"/>
      <c r="FZ161" s="3"/>
      <c r="GA161" s="3"/>
      <c r="GB161" s="3"/>
      <c r="GC161" s="3"/>
      <c r="GD161" s="3"/>
      <c r="GE161" s="3"/>
      <c r="GF161" s="3"/>
      <c r="GG161" s="3"/>
      <c r="GH161" s="3"/>
      <c r="GI161" s="3"/>
      <c r="GJ161" s="3"/>
      <c r="GK161" s="3"/>
      <c r="GL161" s="3"/>
      <c r="GM161" s="3"/>
      <c r="GN161" s="3"/>
      <c r="GO161" s="3"/>
      <c r="GP161" s="3"/>
      <c r="GQ161" s="3"/>
      <c r="GR161" s="3"/>
      <c r="GS161" s="3"/>
      <c r="GT161" s="3"/>
      <c r="GU161" s="3"/>
      <c r="GV161" s="3"/>
      <c r="GW161" s="3"/>
      <c r="GX161" s="3"/>
      <c r="GY161" s="3"/>
      <c r="GZ161" s="3"/>
      <c r="HA161" s="3"/>
      <c r="HB161" s="3"/>
      <c r="HC161" s="3"/>
      <c r="HD161" s="3"/>
      <c r="HE161" s="3"/>
      <c r="HF161" s="3"/>
      <c r="HG161" s="3"/>
      <c r="HH161" s="3"/>
      <c r="HI161" s="3"/>
      <c r="HJ161" s="3"/>
      <c r="HK161" s="3"/>
      <c r="HL161" s="3"/>
      <c r="HM161" s="3"/>
      <c r="HN161" s="3"/>
      <c r="HO161" s="3"/>
      <c r="HP161" s="3"/>
      <c r="HQ161" s="3"/>
      <c r="HR161" s="3"/>
      <c r="HS161" s="3"/>
      <c r="HT161" s="3"/>
      <c r="HU161" s="3"/>
      <c r="HV161" s="3"/>
      <c r="HW161" s="3"/>
      <c r="HX161" s="3"/>
      <c r="HY161" s="3"/>
      <c r="HZ161" s="3"/>
      <c r="IA161" s="3"/>
      <c r="IB161" s="3"/>
      <c r="IC161" s="3"/>
      <c r="ID161" s="3"/>
      <c r="IE161" s="3"/>
      <c r="IF161" s="3"/>
      <c r="IG161" s="3"/>
      <c r="IH161" s="3"/>
      <c r="II161" s="3"/>
      <c r="IJ161" s="3"/>
      <c r="IK161" s="3"/>
      <c r="IL161" s="3"/>
    </row>
    <row r="162" spans="1:246" x14ac:dyDescent="0.35">
      <c r="A162" s="248" t="s">
        <v>748</v>
      </c>
      <c r="B162" s="169">
        <v>-2</v>
      </c>
      <c r="C162" s="169">
        <v>-1</v>
      </c>
      <c r="D162" s="169">
        <v>0</v>
      </c>
      <c r="E162" s="169">
        <v>1</v>
      </c>
      <c r="F162" s="169">
        <v>2</v>
      </c>
      <c r="G162" s="169">
        <v>3</v>
      </c>
      <c r="H162" s="169">
        <v>4</v>
      </c>
      <c r="I162" s="169">
        <v>5</v>
      </c>
      <c r="J162" s="169">
        <v>6</v>
      </c>
      <c r="K162" s="169">
        <v>7</v>
      </c>
      <c r="L162" s="169">
        <v>8</v>
      </c>
      <c r="M162" s="169">
        <v>9</v>
      </c>
      <c r="N162" s="169">
        <v>10</v>
      </c>
      <c r="O162" s="169">
        <v>11</v>
      </c>
      <c r="P162" s="169">
        <v>12</v>
      </c>
      <c r="Q162" s="169">
        <v>13</v>
      </c>
      <c r="R162" s="169">
        <v>14</v>
      </c>
      <c r="S162" s="169">
        <v>15</v>
      </c>
      <c r="T162" s="169">
        <v>16</v>
      </c>
      <c r="U162" s="169">
        <v>17</v>
      </c>
      <c r="V162" s="169">
        <v>18</v>
      </c>
      <c r="W162" s="169">
        <v>19</v>
      </c>
      <c r="X162" s="169">
        <v>20</v>
      </c>
      <c r="Y162" s="169">
        <v>21</v>
      </c>
      <c r="Z162" s="169">
        <v>22</v>
      </c>
      <c r="AA162" s="169">
        <v>23</v>
      </c>
      <c r="AB162" s="169">
        <v>24</v>
      </c>
      <c r="AC162" s="169">
        <v>25</v>
      </c>
      <c r="AD162" s="169">
        <v>26</v>
      </c>
      <c r="AE162" s="169">
        <v>27</v>
      </c>
      <c r="AF162" s="169">
        <v>28</v>
      </c>
      <c r="AG162" s="169">
        <v>29</v>
      </c>
      <c r="AH162" s="170">
        <v>30</v>
      </c>
      <c r="AI162" s="122"/>
      <c r="AJ162" s="122"/>
      <c r="AK162" s="122"/>
      <c r="AL162" s="122"/>
      <c r="AM162" s="159"/>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c r="DA162" s="3"/>
      <c r="DB162" s="3"/>
      <c r="DC162" s="3"/>
      <c r="DD162" s="3"/>
      <c r="DE162" s="3"/>
      <c r="DF162" s="3"/>
      <c r="DG162" s="3"/>
      <c r="DH162" s="3"/>
      <c r="DI162" s="3"/>
      <c r="DJ162" s="3"/>
      <c r="DK162" s="3"/>
      <c r="DL162" s="3"/>
      <c r="DM162" s="3"/>
      <c r="DN162" s="3"/>
      <c r="DO162" s="3"/>
      <c r="DP162" s="3"/>
      <c r="DQ162" s="3"/>
      <c r="DR162" s="3"/>
      <c r="DS162" s="3"/>
      <c r="DT162" s="3"/>
      <c r="DU162" s="3"/>
      <c r="DV162" s="3"/>
      <c r="DW162" s="3"/>
      <c r="DX162" s="3"/>
      <c r="DY162" s="3"/>
      <c r="DZ162" s="3"/>
      <c r="EA162" s="3"/>
      <c r="EB162" s="3"/>
      <c r="EC162" s="3"/>
      <c r="ED162" s="3"/>
      <c r="EE162" s="3"/>
      <c r="EF162" s="3"/>
      <c r="EG162" s="3"/>
      <c r="EH162" s="3"/>
      <c r="EI162" s="3"/>
      <c r="EJ162" s="3"/>
      <c r="EK162" s="3"/>
      <c r="EL162" s="3"/>
      <c r="EM162" s="3"/>
      <c r="EN162" s="3"/>
      <c r="EO162" s="3"/>
      <c r="EP162" s="3"/>
      <c r="EQ162" s="3"/>
      <c r="ER162" s="3"/>
      <c r="ES162" s="3"/>
      <c r="ET162" s="3"/>
      <c r="EU162" s="3"/>
      <c r="EV162" s="3"/>
      <c r="EW162" s="3"/>
      <c r="EX162" s="3"/>
      <c r="EY162" s="3"/>
      <c r="EZ162" s="3"/>
      <c r="FA162" s="3"/>
      <c r="FB162" s="3"/>
      <c r="FC162" s="3"/>
      <c r="FD162" s="3"/>
      <c r="FE162" s="3"/>
      <c r="FF162" s="3"/>
      <c r="FG162" s="3"/>
      <c r="FH162" s="3"/>
      <c r="FI162" s="3"/>
      <c r="FJ162" s="3"/>
      <c r="FK162" s="3"/>
      <c r="FL162" s="3"/>
      <c r="FM162" s="3"/>
      <c r="FN162" s="3"/>
      <c r="FO162" s="3"/>
      <c r="FP162" s="3"/>
      <c r="FQ162" s="3"/>
      <c r="FR162" s="3"/>
      <c r="FS162" s="3"/>
      <c r="FT162" s="3"/>
      <c r="FU162" s="3"/>
      <c r="FV162" s="3"/>
      <c r="FW162" s="3"/>
      <c r="FX162" s="3"/>
      <c r="FY162" s="3"/>
      <c r="FZ162" s="3"/>
      <c r="GA162" s="3"/>
      <c r="GB162" s="3"/>
      <c r="GC162" s="3"/>
      <c r="GD162" s="3"/>
      <c r="GE162" s="3"/>
      <c r="GF162" s="3"/>
      <c r="GG162" s="3"/>
      <c r="GH162" s="3"/>
      <c r="GI162" s="3"/>
      <c r="GJ162" s="3"/>
      <c r="GK162" s="3"/>
      <c r="GL162" s="3"/>
      <c r="GM162" s="3"/>
      <c r="GN162" s="3"/>
      <c r="GO162" s="3"/>
      <c r="GP162" s="3"/>
      <c r="GQ162" s="3"/>
      <c r="GR162" s="3"/>
      <c r="GS162" s="3"/>
      <c r="GT162" s="3"/>
      <c r="GU162" s="3"/>
      <c r="GV162" s="3"/>
      <c r="GW162" s="3"/>
      <c r="GX162" s="3"/>
      <c r="GY162" s="3"/>
      <c r="GZ162" s="3"/>
      <c r="HA162" s="3"/>
      <c r="HB162" s="3"/>
      <c r="HC162" s="3"/>
      <c r="HD162" s="3"/>
      <c r="HE162" s="3"/>
      <c r="HF162" s="3"/>
      <c r="HG162" s="3"/>
      <c r="HH162" s="3"/>
      <c r="HI162" s="3"/>
      <c r="HJ162" s="3"/>
      <c r="HK162" s="3"/>
      <c r="HL162" s="3"/>
      <c r="HM162" s="3"/>
      <c r="HN162" s="3"/>
      <c r="HO162" s="3"/>
      <c r="HP162" s="3"/>
      <c r="HQ162" s="3"/>
      <c r="HR162" s="3"/>
      <c r="HS162" s="3"/>
      <c r="HT162" s="3"/>
      <c r="HU162" s="3"/>
      <c r="HV162" s="3"/>
      <c r="HW162" s="3"/>
      <c r="HX162" s="3"/>
      <c r="HY162" s="3"/>
      <c r="HZ162" s="3"/>
      <c r="IA162" s="3"/>
      <c r="IB162" s="3"/>
      <c r="IC162" s="3"/>
      <c r="ID162" s="3"/>
      <c r="IE162" s="3"/>
      <c r="IF162" s="3"/>
      <c r="IG162" s="3"/>
      <c r="IH162" s="3"/>
      <c r="II162" s="3"/>
      <c r="IJ162" s="3"/>
      <c r="IK162" s="3"/>
      <c r="IL162" s="3"/>
    </row>
    <row r="163" spans="1:246" x14ac:dyDescent="0.35">
      <c r="A163" s="248" t="s">
        <v>935</v>
      </c>
      <c r="B163">
        <v>1.2100000000000002</v>
      </c>
      <c r="C163">
        <v>1.1000000000000001</v>
      </c>
      <c r="D163">
        <v>1</v>
      </c>
      <c r="E163">
        <v>0.90909090909090906</v>
      </c>
      <c r="F163" s="122">
        <v>0.82644628099173545</v>
      </c>
      <c r="G163" s="122">
        <v>0.75131480090157754</v>
      </c>
      <c r="H163" s="122">
        <v>0.68301345536507052</v>
      </c>
      <c r="I163" s="122">
        <v>0.62092132305915493</v>
      </c>
      <c r="J163" s="122">
        <v>0.56447393005377722</v>
      </c>
      <c r="K163" s="122">
        <v>0.51315811823070645</v>
      </c>
      <c r="L163" s="122">
        <v>0.46650738020973315</v>
      </c>
      <c r="M163" s="122">
        <v>0.42409761837248466</v>
      </c>
      <c r="N163" s="122">
        <v>0.38554328942953148</v>
      </c>
      <c r="O163" s="122">
        <v>0.3504938994813922</v>
      </c>
      <c r="P163" s="122">
        <v>0.31863081771035656</v>
      </c>
      <c r="Q163" s="122">
        <v>0.28966437973668779</v>
      </c>
      <c r="R163" s="122">
        <v>0.26333125430607973</v>
      </c>
      <c r="S163" s="122">
        <v>0.23939204936916339</v>
      </c>
      <c r="T163" s="122">
        <v>0.21762913579014853</v>
      </c>
      <c r="U163" s="122">
        <v>0.19784466890013502</v>
      </c>
      <c r="V163" s="122">
        <v>0.17985878990921364</v>
      </c>
      <c r="W163" s="122">
        <v>0.16350799082655781</v>
      </c>
      <c r="X163" s="122">
        <v>0.14864362802414349</v>
      </c>
      <c r="Y163" s="122">
        <v>0.13513057093103953</v>
      </c>
      <c r="Z163" s="122">
        <v>0.12284597357367227</v>
      </c>
      <c r="AA163" s="122">
        <v>0.11167815779424752</v>
      </c>
      <c r="AB163" s="122">
        <v>0.10152559799477048</v>
      </c>
      <c r="AC163" s="122">
        <v>9.2295998177064048E-2</v>
      </c>
      <c r="AD163" s="122">
        <v>8.3905452888240042E-2</v>
      </c>
      <c r="AE163" s="122">
        <v>7.6277684443854576E-2</v>
      </c>
      <c r="AF163" s="122">
        <v>6.9343349494413245E-2</v>
      </c>
      <c r="AG163" s="122">
        <v>6.3039408631284766E-2</v>
      </c>
      <c r="AH163" s="122">
        <v>5.7308553301167964E-2</v>
      </c>
      <c r="AI163" s="122"/>
      <c r="AJ163" s="122"/>
      <c r="AK163" s="122"/>
      <c r="AL163" s="122"/>
      <c r="AM163" s="159"/>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c r="DA163" s="3"/>
      <c r="DB163" s="3"/>
      <c r="DC163" s="3"/>
      <c r="DD163" s="3"/>
      <c r="DE163" s="3"/>
      <c r="DF163" s="3"/>
      <c r="DG163" s="3"/>
      <c r="DH163" s="3"/>
      <c r="DI163" s="3"/>
      <c r="DJ163" s="3"/>
      <c r="DK163" s="3"/>
      <c r="DL163" s="3"/>
      <c r="DM163" s="3"/>
      <c r="DN163" s="3"/>
      <c r="DO163" s="3"/>
      <c r="DP163" s="3"/>
      <c r="DQ163" s="3"/>
      <c r="DR163" s="3"/>
      <c r="DS163" s="3"/>
      <c r="DT163" s="3"/>
      <c r="DU163" s="3"/>
      <c r="DV163" s="3"/>
      <c r="DW163" s="3"/>
      <c r="DX163" s="3"/>
      <c r="DY163" s="3"/>
      <c r="DZ163" s="3"/>
      <c r="EA163" s="3"/>
      <c r="EB163" s="3"/>
      <c r="EC163" s="3"/>
      <c r="ED163" s="3"/>
      <c r="EE163" s="3"/>
      <c r="EF163" s="3"/>
      <c r="EG163" s="3"/>
      <c r="EH163" s="3"/>
      <c r="EI163" s="3"/>
      <c r="EJ163" s="3"/>
      <c r="EK163" s="3"/>
      <c r="EL163" s="3"/>
      <c r="EM163" s="3"/>
      <c r="EN163" s="3"/>
      <c r="EO163" s="3"/>
      <c r="EP163" s="3"/>
      <c r="EQ163" s="3"/>
      <c r="ER163" s="3"/>
      <c r="ES163" s="3"/>
      <c r="ET163" s="3"/>
      <c r="EU163" s="3"/>
      <c r="EV163" s="3"/>
      <c r="EW163" s="3"/>
      <c r="EX163" s="3"/>
      <c r="EY163" s="3"/>
      <c r="EZ163" s="3"/>
      <c r="FA163" s="3"/>
      <c r="FB163" s="3"/>
      <c r="FC163" s="3"/>
      <c r="FD163" s="3"/>
      <c r="FE163" s="3"/>
      <c r="FF163" s="3"/>
      <c r="FG163" s="3"/>
      <c r="FH163" s="3"/>
      <c r="FI163" s="3"/>
      <c r="FJ163" s="3"/>
      <c r="FK163" s="3"/>
      <c r="FL163" s="3"/>
      <c r="FM163" s="3"/>
      <c r="FN163" s="3"/>
      <c r="FO163" s="3"/>
      <c r="FP163" s="3"/>
      <c r="FQ163" s="3"/>
      <c r="FR163" s="3"/>
      <c r="FS163" s="3"/>
      <c r="FT163" s="3"/>
      <c r="FU163" s="3"/>
      <c r="FV163" s="3"/>
      <c r="FW163" s="3"/>
      <c r="FX163" s="3"/>
      <c r="FY163" s="3"/>
      <c r="FZ163" s="3"/>
      <c r="GA163" s="3"/>
      <c r="GB163" s="3"/>
      <c r="GC163" s="3"/>
      <c r="GD163" s="3"/>
      <c r="GE163" s="3"/>
      <c r="GF163" s="3"/>
      <c r="GG163" s="3"/>
      <c r="GH163" s="3"/>
      <c r="GI163" s="3"/>
      <c r="GJ163" s="3"/>
      <c r="GK163" s="3"/>
      <c r="GL163" s="3"/>
      <c r="GM163" s="3"/>
      <c r="GN163" s="3"/>
      <c r="GO163" s="3"/>
      <c r="GP163" s="3"/>
      <c r="GQ163" s="3"/>
      <c r="GR163" s="3"/>
      <c r="GS163" s="3"/>
      <c r="GT163" s="3"/>
      <c r="GU163" s="3"/>
      <c r="GV163" s="3"/>
      <c r="GW163" s="3"/>
      <c r="GX163" s="3"/>
      <c r="GY163" s="3"/>
      <c r="GZ163" s="3"/>
      <c r="HA163" s="3"/>
      <c r="HB163" s="3"/>
      <c r="HC163" s="3"/>
      <c r="HD163" s="3"/>
      <c r="HE163" s="3"/>
      <c r="HF163" s="3"/>
      <c r="HG163" s="3"/>
      <c r="HH163" s="3"/>
      <c r="HI163" s="3"/>
      <c r="HJ163" s="3"/>
      <c r="HK163" s="3"/>
      <c r="HL163" s="3"/>
      <c r="HM163" s="3"/>
      <c r="HN163" s="3"/>
      <c r="HO163" s="3"/>
      <c r="HP163" s="3"/>
      <c r="HQ163" s="3"/>
      <c r="HR163" s="3"/>
      <c r="HS163" s="3"/>
      <c r="HT163" s="3"/>
      <c r="HU163" s="3"/>
      <c r="HV163" s="3"/>
      <c r="HW163" s="3"/>
      <c r="HX163" s="3"/>
      <c r="HY163" s="3"/>
      <c r="HZ163" s="3"/>
      <c r="IA163" s="3"/>
      <c r="IB163" s="3"/>
      <c r="IC163" s="3"/>
      <c r="ID163" s="3"/>
      <c r="IE163" s="3"/>
      <c r="IF163" s="3"/>
      <c r="IG163" s="3"/>
      <c r="IH163" s="3"/>
      <c r="II163" s="3"/>
      <c r="IJ163" s="3"/>
      <c r="IK163" s="3"/>
      <c r="IL163" s="3"/>
    </row>
    <row r="164" spans="1:246" s="122" customFormat="1" x14ac:dyDescent="0.35">
      <c r="A164" s="167" t="s">
        <v>938</v>
      </c>
      <c r="E164" s="122">
        <f>((Full_Prod_Rate)*(1-Start_Up_Time))+(Full_Prod_Rate*StartUp_Percentage*Start_Up_Time)</f>
        <v>26698844.76567816</v>
      </c>
      <c r="F164" s="122">
        <f t="shared" ref="F164:AH164" si="33">Full_Prod_Rate</f>
        <v>30512965.446489323</v>
      </c>
      <c r="G164" s="122">
        <f t="shared" si="33"/>
        <v>30512965.446489323</v>
      </c>
      <c r="H164" s="122">
        <f t="shared" si="33"/>
        <v>30512965.446489323</v>
      </c>
      <c r="I164" s="122">
        <f t="shared" si="33"/>
        <v>30512965.446489323</v>
      </c>
      <c r="J164" s="122">
        <f t="shared" si="33"/>
        <v>30512965.446489323</v>
      </c>
      <c r="K164" s="122">
        <f t="shared" si="33"/>
        <v>30512965.446489323</v>
      </c>
      <c r="L164" s="122">
        <f t="shared" si="33"/>
        <v>30512965.446489323</v>
      </c>
      <c r="M164" s="122">
        <f t="shared" si="33"/>
        <v>30512965.446489323</v>
      </c>
      <c r="N164" s="122">
        <f t="shared" si="33"/>
        <v>30512965.446489323</v>
      </c>
      <c r="O164" s="122">
        <f t="shared" si="33"/>
        <v>30512965.446489323</v>
      </c>
      <c r="P164" s="122">
        <f t="shared" si="33"/>
        <v>30512965.446489323</v>
      </c>
      <c r="Q164" s="122">
        <f t="shared" si="33"/>
        <v>30512965.446489323</v>
      </c>
      <c r="R164" s="122">
        <f t="shared" si="33"/>
        <v>30512965.446489323</v>
      </c>
      <c r="S164" s="122">
        <f t="shared" si="33"/>
        <v>30512965.446489323</v>
      </c>
      <c r="T164" s="122">
        <f t="shared" si="33"/>
        <v>30512965.446489323</v>
      </c>
      <c r="U164" s="122">
        <f t="shared" si="33"/>
        <v>30512965.446489323</v>
      </c>
      <c r="V164" s="122">
        <f t="shared" si="33"/>
        <v>30512965.446489323</v>
      </c>
      <c r="W164" s="122">
        <f t="shared" si="33"/>
        <v>30512965.446489323</v>
      </c>
      <c r="X164" s="122">
        <f t="shared" si="33"/>
        <v>30512965.446489323</v>
      </c>
      <c r="Y164" s="122">
        <f t="shared" si="33"/>
        <v>30512965.446489323</v>
      </c>
      <c r="Z164" s="122">
        <f t="shared" si="33"/>
        <v>30512965.446489323</v>
      </c>
      <c r="AA164" s="122">
        <f t="shared" si="33"/>
        <v>30512965.446489323</v>
      </c>
      <c r="AB164" s="122">
        <f t="shared" si="33"/>
        <v>30512965.446489323</v>
      </c>
      <c r="AC164" s="122">
        <f t="shared" si="33"/>
        <v>30512965.446489323</v>
      </c>
      <c r="AD164" s="122">
        <f t="shared" si="33"/>
        <v>30512965.446489323</v>
      </c>
      <c r="AE164" s="122">
        <f t="shared" si="33"/>
        <v>30512965.446489323</v>
      </c>
      <c r="AF164" s="122">
        <f t="shared" si="33"/>
        <v>30512965.446489323</v>
      </c>
      <c r="AG164" s="122">
        <f t="shared" si="33"/>
        <v>30512965.446489323</v>
      </c>
      <c r="AH164" s="122">
        <f t="shared" si="33"/>
        <v>30512965.446489323</v>
      </c>
      <c r="AM164" s="159"/>
      <c r="AY164" s="256"/>
      <c r="AZ164" s="256"/>
      <c r="BA164" s="256"/>
      <c r="BB164" s="256"/>
      <c r="BC164" s="256"/>
      <c r="BD164" s="256"/>
      <c r="BE164" s="256"/>
      <c r="BF164" s="256"/>
      <c r="BG164" s="256"/>
      <c r="BH164" s="256"/>
      <c r="BI164" s="256"/>
      <c r="BJ164" s="256"/>
      <c r="BK164" s="256"/>
      <c r="BL164" s="256"/>
      <c r="BM164" s="256"/>
      <c r="BN164" s="256"/>
      <c r="BO164" s="256"/>
      <c r="BP164" s="256"/>
      <c r="BQ164" s="256"/>
      <c r="BR164" s="256"/>
      <c r="BS164" s="256"/>
      <c r="BT164" s="256"/>
      <c r="BU164" s="256"/>
      <c r="BV164" s="256"/>
      <c r="BW164" s="256"/>
      <c r="BX164" s="256"/>
      <c r="BY164" s="256"/>
      <c r="BZ164" s="256"/>
      <c r="CA164" s="256"/>
      <c r="CB164" s="256"/>
      <c r="CC164" s="256"/>
      <c r="CD164" s="256"/>
      <c r="CE164" s="256"/>
      <c r="CF164" s="256"/>
      <c r="CG164" s="256"/>
      <c r="CH164" s="256"/>
      <c r="CI164" s="256"/>
      <c r="CJ164" s="256"/>
      <c r="CK164" s="256"/>
      <c r="CL164" s="256"/>
      <c r="CM164" s="256"/>
      <c r="CN164" s="256"/>
      <c r="CO164" s="256"/>
      <c r="CP164" s="256"/>
      <c r="CQ164" s="256"/>
      <c r="CR164" s="256"/>
      <c r="CS164" s="256"/>
      <c r="CT164" s="256"/>
      <c r="CU164" s="256"/>
      <c r="CV164" s="256"/>
      <c r="CW164" s="256"/>
      <c r="CX164" s="256"/>
      <c r="CY164" s="256"/>
      <c r="CZ164" s="256"/>
      <c r="DA164" s="256"/>
      <c r="DB164" s="256"/>
      <c r="DC164" s="256"/>
      <c r="DD164" s="256"/>
      <c r="DE164" s="256"/>
      <c r="DF164" s="256"/>
      <c r="DG164" s="256"/>
      <c r="DH164" s="256"/>
      <c r="DI164" s="256"/>
      <c r="DJ164" s="256"/>
      <c r="DK164" s="256"/>
      <c r="DL164" s="256"/>
      <c r="DM164" s="256"/>
      <c r="DN164" s="256"/>
      <c r="DO164" s="256"/>
      <c r="DP164" s="256"/>
      <c r="DQ164" s="256"/>
      <c r="DR164" s="256"/>
      <c r="DS164" s="256"/>
      <c r="DT164" s="256"/>
      <c r="DU164" s="256"/>
      <c r="DV164" s="256"/>
      <c r="DW164" s="256"/>
      <c r="DX164" s="256"/>
      <c r="DY164" s="256"/>
      <c r="DZ164" s="256"/>
      <c r="EA164" s="256"/>
      <c r="EB164" s="256"/>
      <c r="EC164" s="256"/>
      <c r="ED164" s="256"/>
      <c r="EE164" s="256"/>
      <c r="EF164" s="256"/>
      <c r="EG164" s="256"/>
      <c r="EH164" s="256"/>
      <c r="EI164" s="256"/>
      <c r="EJ164" s="256"/>
      <c r="EK164" s="256"/>
      <c r="EL164" s="256"/>
      <c r="EM164" s="256"/>
      <c r="EN164" s="256"/>
      <c r="EO164" s="256"/>
      <c r="EP164" s="256"/>
      <c r="EQ164" s="256"/>
      <c r="ER164" s="256"/>
      <c r="ES164" s="256"/>
      <c r="ET164" s="256"/>
      <c r="EU164" s="256"/>
      <c r="EV164" s="256"/>
      <c r="EW164" s="256"/>
      <c r="EX164" s="256"/>
      <c r="EY164" s="256"/>
      <c r="EZ164" s="256"/>
      <c r="FA164" s="256"/>
      <c r="FB164" s="256"/>
      <c r="FC164" s="256"/>
      <c r="FD164" s="256"/>
      <c r="FE164" s="256"/>
      <c r="FF164" s="256"/>
      <c r="FG164" s="256"/>
      <c r="FH164" s="256"/>
      <c r="FI164" s="256"/>
      <c r="FJ164" s="256"/>
      <c r="FK164" s="256"/>
      <c r="FL164" s="256"/>
      <c r="FM164" s="256"/>
      <c r="FN164" s="256"/>
      <c r="FO164" s="256"/>
      <c r="FP164" s="256"/>
      <c r="FQ164" s="256"/>
      <c r="FR164" s="256"/>
      <c r="FS164" s="256"/>
      <c r="FT164" s="256"/>
      <c r="FU164" s="256"/>
      <c r="FV164" s="256"/>
      <c r="FW164" s="256"/>
      <c r="FX164" s="256"/>
      <c r="FY164" s="256"/>
      <c r="FZ164" s="256"/>
      <c r="GA164" s="256"/>
      <c r="GB164" s="256"/>
      <c r="GC164" s="256"/>
      <c r="GD164" s="256"/>
      <c r="GE164" s="256"/>
      <c r="GF164" s="256"/>
      <c r="GG164" s="256"/>
      <c r="GH164" s="256"/>
      <c r="GI164" s="256"/>
      <c r="GJ164" s="256"/>
      <c r="GK164" s="256"/>
      <c r="GL164" s="256"/>
      <c r="GM164" s="256"/>
      <c r="GN164" s="256"/>
      <c r="GO164" s="256"/>
      <c r="GP164" s="256"/>
      <c r="GQ164" s="256"/>
      <c r="GR164" s="256"/>
      <c r="GS164" s="256"/>
      <c r="GT164" s="256"/>
      <c r="GU164" s="256"/>
      <c r="GV164" s="256"/>
      <c r="GW164" s="256"/>
      <c r="GX164" s="256"/>
      <c r="GY164" s="256"/>
      <c r="GZ164" s="256"/>
      <c r="HA164" s="256"/>
      <c r="HB164" s="256"/>
      <c r="HC164" s="256"/>
      <c r="HD164" s="256"/>
      <c r="HE164" s="256"/>
      <c r="HF164" s="256"/>
      <c r="HG164" s="256"/>
      <c r="HH164" s="256"/>
      <c r="HI164" s="256"/>
      <c r="HJ164" s="256"/>
      <c r="HK164" s="256"/>
      <c r="HL164" s="256"/>
      <c r="HM164" s="256"/>
      <c r="HN164" s="256"/>
      <c r="HO164" s="256"/>
      <c r="HP164" s="256"/>
      <c r="HQ164" s="256"/>
      <c r="HR164" s="256"/>
      <c r="HS164" s="256"/>
      <c r="HT164" s="256"/>
      <c r="HU164" s="256"/>
      <c r="HV164" s="256"/>
      <c r="HW164" s="256"/>
      <c r="HX164" s="256"/>
      <c r="HY164" s="256"/>
      <c r="HZ164" s="256"/>
      <c r="IA164" s="256"/>
      <c r="IB164" s="256"/>
      <c r="IC164" s="256"/>
      <c r="ID164" s="256"/>
      <c r="IE164" s="256"/>
      <c r="IF164" s="256"/>
      <c r="IG164" s="256"/>
      <c r="IH164" s="256"/>
      <c r="II164" s="256"/>
      <c r="IJ164" s="256"/>
      <c r="IK164" s="256"/>
      <c r="IL164" s="256"/>
    </row>
    <row r="165" spans="1:246" x14ac:dyDescent="0.35">
      <c r="A165" s="4" t="s">
        <v>937</v>
      </c>
      <c r="B165" s="123">
        <f>F131-F126-F134-F138-F141</f>
        <v>0</v>
      </c>
      <c r="C165" s="123">
        <f t="shared" ref="C165:AH165" si="34">G131-G126-G134-G138-G141</f>
        <v>0</v>
      </c>
      <c r="D165" s="123">
        <f t="shared" si="34"/>
        <v>0</v>
      </c>
      <c r="E165" s="123">
        <f t="shared" si="34"/>
        <v>-103636179.60095671</v>
      </c>
      <c r="F165" s="123">
        <f t="shared" si="34"/>
        <v>-134378838.81782994</v>
      </c>
      <c r="G165" s="123">
        <f t="shared" si="34"/>
        <v>-118662196.28614174</v>
      </c>
      <c r="H165" s="123">
        <f t="shared" si="34"/>
        <v>-107387021.43561566</v>
      </c>
      <c r="I165" s="123">
        <f t="shared" si="34"/>
        <v>-99312204.258641019</v>
      </c>
      <c r="J165" s="123">
        <f t="shared" si="34"/>
        <v>-99104254.132904381</v>
      </c>
      <c r="K165" s="123">
        <f t="shared" si="34"/>
        <v>-98953996.260445803</v>
      </c>
      <c r="L165" s="123">
        <f t="shared" si="34"/>
        <v>-88909159.456625566</v>
      </c>
      <c r="M165" s="123">
        <f t="shared" si="34"/>
        <v>-79019301.413960382</v>
      </c>
      <c r="N165" s="123">
        <f t="shared" si="34"/>
        <v>-79018867.22244741</v>
      </c>
      <c r="O165" s="123">
        <f t="shared" si="34"/>
        <v>-55361102.583256692</v>
      </c>
      <c r="P165" s="123">
        <f t="shared" si="34"/>
        <v>-55360668.391743727</v>
      </c>
      <c r="Q165" s="123">
        <f t="shared" si="34"/>
        <v>-55361102.583256692</v>
      </c>
      <c r="R165" s="123">
        <f t="shared" si="34"/>
        <v>-55360668.391743727</v>
      </c>
      <c r="S165" s="123">
        <f t="shared" si="34"/>
        <v>-55361102.583256692</v>
      </c>
      <c r="T165" s="123">
        <f t="shared" si="34"/>
        <v>-55360668.391743727</v>
      </c>
      <c r="U165" s="123">
        <f t="shared" si="34"/>
        <v>-55361102.583256692</v>
      </c>
      <c r="V165" s="123">
        <f t="shared" si="34"/>
        <v>-55360668.391743727</v>
      </c>
      <c r="W165" s="123">
        <f t="shared" si="34"/>
        <v>-55361102.583256692</v>
      </c>
      <c r="X165" s="123">
        <f t="shared" si="34"/>
        <v>-55360668.391743727</v>
      </c>
      <c r="Y165" s="123">
        <f t="shared" si="34"/>
        <v>-54392421.317834243</v>
      </c>
      <c r="Z165" s="123">
        <f t="shared" si="34"/>
        <v>-53423740.052411795</v>
      </c>
      <c r="AA165" s="123">
        <f t="shared" si="34"/>
        <v>-53423740.052411795</v>
      </c>
      <c r="AB165" s="123">
        <f t="shared" si="34"/>
        <v>-53423740.052411795</v>
      </c>
      <c r="AC165" s="123">
        <f t="shared" si="34"/>
        <v>-53423740.052411795</v>
      </c>
      <c r="AD165" s="123">
        <f t="shared" si="34"/>
        <v>-53423740.052411795</v>
      </c>
      <c r="AE165" s="123">
        <f t="shared" si="34"/>
        <v>-53423740.052411795</v>
      </c>
      <c r="AF165" s="123">
        <f t="shared" si="34"/>
        <v>-53423740.052411795</v>
      </c>
      <c r="AG165" s="123">
        <f t="shared" si="34"/>
        <v>-53423740.052411795</v>
      </c>
      <c r="AH165" s="123">
        <f t="shared" si="34"/>
        <v>-53423740.052411795</v>
      </c>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c r="DA165" s="3"/>
      <c r="DB165" s="3"/>
      <c r="DC165" s="3"/>
      <c r="DD165" s="3"/>
      <c r="DE165" s="3"/>
      <c r="DF165" s="3"/>
      <c r="DG165" s="3"/>
      <c r="DH165" s="3"/>
      <c r="DI165" s="3"/>
      <c r="DJ165" s="3"/>
      <c r="DK165" s="3"/>
      <c r="DL165" s="3"/>
      <c r="DM165" s="3"/>
      <c r="DN165" s="3"/>
      <c r="DO165" s="3"/>
      <c r="DP165" s="3"/>
      <c r="DQ165" s="3"/>
      <c r="DR165" s="3"/>
      <c r="DS165" s="3"/>
      <c r="DT165" s="3"/>
      <c r="DU165" s="3"/>
      <c r="DV165" s="3"/>
      <c r="DW165" s="3"/>
      <c r="DX165" s="3"/>
      <c r="DY165" s="3"/>
      <c r="DZ165" s="3"/>
      <c r="EA165" s="3"/>
      <c r="EB165" s="3"/>
      <c r="EC165" s="3"/>
      <c r="ED165" s="3"/>
      <c r="EE165" s="3"/>
      <c r="EF165" s="3"/>
      <c r="EG165" s="3"/>
      <c r="EH165" s="3"/>
      <c r="EI165" s="3"/>
      <c r="EJ165" s="3"/>
      <c r="EK165" s="3"/>
      <c r="EL165" s="3"/>
      <c r="EM165" s="3"/>
      <c r="EN165" s="3"/>
      <c r="EO165" s="3"/>
      <c r="EP165" s="3"/>
      <c r="EQ165" s="3"/>
      <c r="ER165" s="3"/>
      <c r="ES165" s="3"/>
      <c r="ET165" s="3"/>
      <c r="EU165" s="3"/>
      <c r="EV165" s="3"/>
      <c r="EW165" s="3"/>
      <c r="EX165" s="3"/>
      <c r="EY165" s="3"/>
      <c r="EZ165" s="3"/>
      <c r="FA165" s="3"/>
      <c r="FB165" s="3"/>
      <c r="FC165" s="3"/>
      <c r="FD165" s="3"/>
      <c r="FE165" s="3"/>
      <c r="FF165" s="3"/>
      <c r="FG165" s="3"/>
      <c r="FH165" s="3"/>
      <c r="FI165" s="3"/>
      <c r="FJ165" s="3"/>
      <c r="FK165" s="3"/>
      <c r="FL165" s="3"/>
      <c r="FM165" s="3"/>
      <c r="FN165" s="3"/>
      <c r="FO165" s="3"/>
      <c r="FP165" s="3"/>
      <c r="FQ165" s="3"/>
      <c r="FR165" s="3"/>
      <c r="FS165" s="3"/>
      <c r="FT165" s="3"/>
      <c r="FU165" s="3"/>
      <c r="FV165" s="3"/>
      <c r="FW165" s="3"/>
      <c r="FX165" s="3"/>
      <c r="FY165" s="3"/>
      <c r="FZ165" s="3"/>
      <c r="GA165" s="3"/>
      <c r="GB165" s="3"/>
      <c r="GC165" s="3"/>
      <c r="GD165" s="3"/>
      <c r="GE165" s="3"/>
      <c r="GF165" s="3"/>
      <c r="GG165" s="3"/>
      <c r="GH165" s="3"/>
      <c r="GI165" s="3"/>
      <c r="GJ165" s="3"/>
      <c r="GK165" s="3"/>
      <c r="GL165" s="3"/>
      <c r="GM165" s="3"/>
      <c r="GN165" s="3"/>
      <c r="GO165" s="3"/>
      <c r="GP165" s="3"/>
      <c r="GQ165" s="3"/>
      <c r="GR165" s="3"/>
      <c r="GS165" s="3"/>
      <c r="GT165" s="3"/>
      <c r="GU165" s="3"/>
      <c r="GV165" s="3"/>
      <c r="GW165" s="3"/>
      <c r="GX165" s="3"/>
      <c r="GY165" s="3"/>
      <c r="GZ165" s="3"/>
      <c r="HA165" s="3"/>
      <c r="HB165" s="3"/>
      <c r="HC165" s="3"/>
      <c r="HD165" s="3"/>
      <c r="HE165" s="3"/>
      <c r="HF165" s="3"/>
      <c r="HG165" s="3"/>
      <c r="HH165" s="3"/>
      <c r="HI165" s="3"/>
      <c r="HJ165" s="3"/>
      <c r="HK165" s="3"/>
      <c r="HL165" s="3"/>
      <c r="HM165" s="3"/>
      <c r="HN165" s="3"/>
      <c r="HO165" s="3"/>
      <c r="HP165" s="3"/>
      <c r="HQ165" s="3"/>
      <c r="HR165" s="3"/>
      <c r="HS165" s="3"/>
      <c r="HT165" s="3"/>
      <c r="HU165" s="3"/>
      <c r="HV165" s="3"/>
      <c r="HW165" s="3"/>
      <c r="HX165" s="3"/>
      <c r="HY165" s="3"/>
      <c r="HZ165" s="3"/>
      <c r="IA165" s="3"/>
      <c r="IB165" s="3"/>
      <c r="IC165" s="3"/>
      <c r="ID165" s="3"/>
      <c r="IE165" s="3"/>
      <c r="IF165" s="3"/>
      <c r="IG165" s="3"/>
      <c r="IH165" s="3"/>
      <c r="II165" s="3"/>
      <c r="IJ165" s="3"/>
      <c r="IK165" s="3"/>
      <c r="IL165" s="3"/>
    </row>
    <row r="166" spans="1:246" x14ac:dyDescent="0.35">
      <c r="A166" s="4" t="s">
        <v>936</v>
      </c>
      <c r="E166" s="123"/>
      <c r="F166" s="123"/>
      <c r="G166" s="123"/>
      <c r="H166" s="12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c r="DA166" s="3"/>
      <c r="DB166" s="3"/>
      <c r="DC166" s="3"/>
      <c r="DD166" s="3"/>
      <c r="DE166" s="3"/>
      <c r="DF166" s="3"/>
      <c r="DG166" s="3"/>
      <c r="DH166" s="3"/>
      <c r="DI166" s="3"/>
      <c r="DJ166" s="3"/>
      <c r="DK166" s="3"/>
      <c r="DL166" s="3"/>
      <c r="DM166" s="3"/>
      <c r="DN166" s="3"/>
      <c r="DO166" s="3"/>
      <c r="DP166" s="3"/>
      <c r="DQ166" s="3"/>
      <c r="DR166" s="3"/>
      <c r="DS166" s="3"/>
      <c r="DT166" s="3"/>
      <c r="DU166" s="3"/>
      <c r="DV166" s="3"/>
      <c r="DW166" s="3"/>
      <c r="DX166" s="3"/>
      <c r="DY166" s="3"/>
      <c r="DZ166" s="3"/>
      <c r="EA166" s="3"/>
      <c r="EB166" s="3"/>
      <c r="EC166" s="3"/>
      <c r="ED166" s="3"/>
      <c r="EE166" s="3"/>
      <c r="EF166" s="3"/>
      <c r="EG166" s="3"/>
      <c r="EH166" s="3"/>
      <c r="EI166" s="3"/>
      <c r="EJ166" s="3"/>
      <c r="EK166" s="3"/>
      <c r="EL166" s="3"/>
      <c r="EM166" s="3"/>
      <c r="EN166" s="3"/>
      <c r="EO166" s="3"/>
      <c r="EP166" s="3"/>
      <c r="EQ166" s="3"/>
      <c r="ER166" s="3"/>
      <c r="ES166" s="3"/>
      <c r="ET166" s="3"/>
      <c r="EU166" s="3"/>
      <c r="EV166" s="3"/>
      <c r="EW166" s="3"/>
      <c r="EX166" s="3"/>
      <c r="EY166" s="3"/>
      <c r="EZ166" s="3"/>
      <c r="FA166" s="3"/>
      <c r="FB166" s="3"/>
      <c r="FC166" s="3"/>
      <c r="FD166" s="3"/>
      <c r="FE166" s="3"/>
      <c r="FF166" s="3"/>
      <c r="FG166" s="3"/>
      <c r="FH166" s="3"/>
      <c r="FI166" s="3"/>
      <c r="FJ166" s="3"/>
      <c r="FK166" s="3"/>
      <c r="FL166" s="3"/>
      <c r="FM166" s="3"/>
      <c r="FN166" s="3"/>
      <c r="FO166" s="3"/>
      <c r="FP166" s="3"/>
      <c r="FQ166" s="3"/>
      <c r="FR166" s="3"/>
      <c r="FS166" s="3"/>
      <c r="FT166" s="3"/>
      <c r="FU166" s="3"/>
      <c r="FV166" s="3"/>
      <c r="FW166" s="3"/>
      <c r="FX166" s="3"/>
      <c r="FY166" s="3"/>
      <c r="FZ166" s="3"/>
      <c r="GA166" s="3"/>
      <c r="GB166" s="3"/>
      <c r="GC166" s="3"/>
      <c r="GD166" s="3"/>
      <c r="GE166" s="3"/>
      <c r="GF166" s="3"/>
      <c r="GG166" s="3"/>
      <c r="GH166" s="3"/>
      <c r="GI166" s="3"/>
      <c r="GJ166" s="3"/>
      <c r="GK166" s="3"/>
      <c r="GL166" s="3"/>
      <c r="GM166" s="3"/>
      <c r="GN166" s="3"/>
      <c r="GO166" s="3"/>
      <c r="GP166" s="3"/>
      <c r="GQ166" s="3"/>
      <c r="GR166" s="3"/>
      <c r="GS166" s="3"/>
      <c r="GT166" s="3"/>
      <c r="GU166" s="3"/>
      <c r="GV166" s="3"/>
      <c r="GW166" s="3"/>
      <c r="GX166" s="3"/>
      <c r="GY166" s="3"/>
      <c r="GZ166" s="3"/>
      <c r="HA166" s="3"/>
      <c r="HB166" s="3"/>
      <c r="HC166" s="3"/>
      <c r="HD166" s="3"/>
      <c r="HE166" s="3"/>
      <c r="HF166" s="3"/>
      <c r="HG166" s="3"/>
      <c r="HH166" s="3"/>
      <c r="HI166" s="3"/>
      <c r="HJ166" s="3"/>
      <c r="HK166" s="3"/>
      <c r="HL166" s="3"/>
      <c r="HM166" s="3"/>
      <c r="HN166" s="3"/>
      <c r="HO166" s="3"/>
      <c r="HP166" s="3"/>
      <c r="HQ166" s="3"/>
      <c r="HR166" s="3"/>
      <c r="HS166" s="3"/>
      <c r="HT166" s="3"/>
      <c r="HU166" s="3"/>
      <c r="HV166" s="3"/>
      <c r="HW166" s="3"/>
      <c r="HX166" s="3"/>
      <c r="HY166" s="3"/>
      <c r="HZ166" s="3"/>
      <c r="IA166" s="3"/>
      <c r="IB166" s="3"/>
      <c r="IC166" s="3"/>
      <c r="ID166" s="3"/>
      <c r="IE166" s="3"/>
      <c r="IF166" s="3"/>
      <c r="IG166" s="3"/>
      <c r="IH166" s="3"/>
      <c r="II166" s="3"/>
      <c r="IJ166" s="3"/>
      <c r="IK166" s="3"/>
      <c r="IL166" s="3"/>
    </row>
    <row r="167" spans="1:246" x14ac:dyDescent="0.35">
      <c r="A167" s="253"/>
      <c r="E167" s="123"/>
      <c r="F167" s="123"/>
      <c r="G167" s="123"/>
      <c r="H167" s="12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c r="DA167" s="3"/>
      <c r="DB167" s="3"/>
      <c r="DC167" s="3"/>
      <c r="DD167" s="3"/>
      <c r="DE167" s="3"/>
      <c r="DF167" s="3"/>
      <c r="DG167" s="3"/>
      <c r="DH167" s="3"/>
      <c r="DI167" s="3"/>
      <c r="DJ167" s="3"/>
      <c r="DK167" s="3"/>
      <c r="DL167" s="3"/>
      <c r="DM167" s="3"/>
      <c r="DN167" s="3"/>
      <c r="DO167" s="3"/>
      <c r="DP167" s="3"/>
      <c r="DQ167" s="3"/>
      <c r="DR167" s="3"/>
      <c r="DS167" s="3"/>
      <c r="DT167" s="3"/>
      <c r="DU167" s="3"/>
      <c r="DV167" s="3"/>
      <c r="DW167" s="3"/>
      <c r="DX167" s="3"/>
      <c r="DY167" s="3"/>
      <c r="DZ167" s="3"/>
      <c r="EA167" s="3"/>
      <c r="EB167" s="3"/>
      <c r="EC167" s="3"/>
      <c r="ED167" s="3"/>
      <c r="EE167" s="3"/>
      <c r="EF167" s="3"/>
      <c r="EG167" s="3"/>
      <c r="EH167" s="3"/>
      <c r="EI167" s="3"/>
      <c r="EJ167" s="3"/>
      <c r="EK167" s="3"/>
      <c r="EL167" s="3"/>
      <c r="EM167" s="3"/>
      <c r="EN167" s="3"/>
      <c r="EO167" s="3"/>
      <c r="EP167" s="3"/>
      <c r="EQ167" s="3"/>
      <c r="ER167" s="3"/>
      <c r="ES167" s="3"/>
      <c r="ET167" s="3"/>
      <c r="EU167" s="3"/>
      <c r="EV167" s="3"/>
      <c r="EW167" s="3"/>
      <c r="EX167" s="3"/>
      <c r="EY167" s="3"/>
      <c r="EZ167" s="3"/>
      <c r="FA167" s="3"/>
      <c r="FB167" s="3"/>
      <c r="FC167" s="3"/>
      <c r="FD167" s="3"/>
      <c r="FE167" s="3"/>
      <c r="FF167" s="3"/>
      <c r="FG167" s="3"/>
      <c r="FH167" s="3"/>
      <c r="FI167" s="3"/>
      <c r="FJ167" s="3"/>
      <c r="FK167" s="3"/>
      <c r="FL167" s="3"/>
      <c r="FM167" s="3"/>
      <c r="FN167" s="3"/>
      <c r="FO167" s="3"/>
      <c r="FP167" s="3"/>
      <c r="FQ167" s="3"/>
      <c r="FR167" s="3"/>
      <c r="FS167" s="3"/>
      <c r="FT167" s="3"/>
      <c r="FU167" s="3"/>
      <c r="FV167" s="3"/>
      <c r="FW167" s="3"/>
      <c r="FX167" s="3"/>
      <c r="FY167" s="3"/>
      <c r="FZ167" s="3"/>
      <c r="GA167" s="3"/>
      <c r="GB167" s="3"/>
      <c r="GC167" s="3"/>
      <c r="GD167" s="3"/>
      <c r="GE167" s="3"/>
      <c r="GF167" s="3"/>
      <c r="GG167" s="3"/>
      <c r="GH167" s="3"/>
      <c r="GI167" s="3"/>
      <c r="GJ167" s="3"/>
      <c r="GK167" s="3"/>
      <c r="GL167" s="3"/>
      <c r="GM167" s="3"/>
      <c r="GN167" s="3"/>
      <c r="GO167" s="3"/>
      <c r="GP167" s="3"/>
      <c r="GQ167" s="3"/>
      <c r="GR167" s="3"/>
      <c r="GS167" s="3"/>
      <c r="GT167" s="3"/>
      <c r="GU167" s="3"/>
      <c r="GV167" s="3"/>
      <c r="GW167" s="3"/>
      <c r="GX167" s="3"/>
      <c r="GY167" s="3"/>
      <c r="GZ167" s="3"/>
      <c r="HA167" s="3"/>
      <c r="HB167" s="3"/>
      <c r="HC167" s="3"/>
      <c r="HD167" s="3"/>
      <c r="HE167" s="3"/>
      <c r="HF167" s="3"/>
      <c r="HG167" s="3"/>
      <c r="HH167" s="3"/>
      <c r="HI167" s="3"/>
      <c r="HJ167" s="3"/>
      <c r="HK167" s="3"/>
      <c r="HL167" s="3"/>
      <c r="HM167" s="3"/>
      <c r="HN167" s="3"/>
      <c r="HO167" s="3"/>
      <c r="HP167" s="3"/>
      <c r="HQ167" s="3"/>
      <c r="HR167" s="3"/>
      <c r="HS167" s="3"/>
      <c r="HT167" s="3"/>
      <c r="HU167" s="3"/>
      <c r="HV167" s="3"/>
      <c r="HW167" s="3"/>
      <c r="HX167" s="3"/>
      <c r="HY167" s="3"/>
      <c r="HZ167" s="3"/>
      <c r="IA167" s="3"/>
      <c r="IB167" s="3"/>
      <c r="IC167" s="3"/>
      <c r="ID167" s="3"/>
      <c r="IE167" s="3"/>
      <c r="IF167" s="3"/>
      <c r="IG167" s="3"/>
      <c r="IH167" s="3"/>
      <c r="II167" s="3"/>
      <c r="IJ167" s="3"/>
      <c r="IK167" s="3"/>
      <c r="IL167" s="3"/>
    </row>
    <row r="168" spans="1:246" s="122" customFormat="1" x14ac:dyDescent="0.35">
      <c r="A168" s="167" t="s">
        <v>940</v>
      </c>
      <c r="B168" s="122">
        <f>F131</f>
        <v>0</v>
      </c>
      <c r="C168" s="122">
        <f t="shared" ref="C168:AH168" si="35">G131</f>
        <v>0</v>
      </c>
      <c r="D168" s="122">
        <f t="shared" si="35"/>
        <v>0</v>
      </c>
      <c r="E168" s="122">
        <f t="shared" si="35"/>
        <v>2876123.6875</v>
      </c>
      <c r="F168" s="122">
        <f t="shared" si="35"/>
        <v>3286998.5</v>
      </c>
      <c r="G168" s="122">
        <f t="shared" si="35"/>
        <v>3286998.5</v>
      </c>
      <c r="H168" s="122">
        <f t="shared" si="35"/>
        <v>3286998.5</v>
      </c>
      <c r="I168" s="122">
        <f t="shared" si="35"/>
        <v>3286998.5</v>
      </c>
      <c r="J168" s="122">
        <f t="shared" si="35"/>
        <v>3286998.5</v>
      </c>
      <c r="K168" s="122">
        <f t="shared" si="35"/>
        <v>3286998.5</v>
      </c>
      <c r="L168" s="122">
        <f t="shared" si="35"/>
        <v>3286998.5</v>
      </c>
      <c r="M168" s="122">
        <f t="shared" si="35"/>
        <v>3286998.5</v>
      </c>
      <c r="N168" s="122">
        <f t="shared" si="35"/>
        <v>3286998.5</v>
      </c>
      <c r="O168" s="122">
        <f t="shared" si="35"/>
        <v>3286998.5</v>
      </c>
      <c r="P168" s="122">
        <f t="shared" si="35"/>
        <v>3286998.5</v>
      </c>
      <c r="Q168" s="122">
        <f t="shared" si="35"/>
        <v>3286998.5</v>
      </c>
      <c r="R168" s="122">
        <f t="shared" si="35"/>
        <v>3286998.5</v>
      </c>
      <c r="S168" s="122">
        <f t="shared" si="35"/>
        <v>3286998.5</v>
      </c>
      <c r="T168" s="122">
        <f t="shared" si="35"/>
        <v>3286998.5</v>
      </c>
      <c r="U168" s="122">
        <f t="shared" si="35"/>
        <v>3286998.5</v>
      </c>
      <c r="V168" s="122">
        <f t="shared" si="35"/>
        <v>3286998.5</v>
      </c>
      <c r="W168" s="122">
        <f t="shared" si="35"/>
        <v>3286998.5</v>
      </c>
      <c r="X168" s="122">
        <f t="shared" si="35"/>
        <v>3286998.5</v>
      </c>
      <c r="Y168" s="122">
        <f t="shared" si="35"/>
        <v>3286998.5</v>
      </c>
      <c r="Z168" s="122">
        <f t="shared" si="35"/>
        <v>3286998.5</v>
      </c>
      <c r="AA168" s="122">
        <f t="shared" si="35"/>
        <v>3286998.5</v>
      </c>
      <c r="AB168" s="122">
        <f t="shared" si="35"/>
        <v>3286998.5</v>
      </c>
      <c r="AC168" s="122">
        <f t="shared" si="35"/>
        <v>3286998.5</v>
      </c>
      <c r="AD168" s="122">
        <f t="shared" si="35"/>
        <v>3286998.5</v>
      </c>
      <c r="AE168" s="122">
        <f t="shared" si="35"/>
        <v>3286998.5</v>
      </c>
      <c r="AF168" s="122">
        <f t="shared" si="35"/>
        <v>3286998.5</v>
      </c>
      <c r="AG168" s="122">
        <f t="shared" si="35"/>
        <v>3286998.5</v>
      </c>
      <c r="AH168" s="122">
        <f t="shared" si="35"/>
        <v>3286998.5</v>
      </c>
      <c r="AM168" s="159"/>
      <c r="AY168" s="256"/>
      <c r="AZ168" s="256"/>
      <c r="BA168" s="256"/>
      <c r="BB168" s="256"/>
      <c r="BC168" s="256"/>
      <c r="BD168" s="256"/>
      <c r="BE168" s="256"/>
      <c r="BF168" s="256"/>
      <c r="BG168" s="256"/>
      <c r="BH168" s="256"/>
      <c r="BI168" s="256"/>
      <c r="BJ168" s="256"/>
      <c r="BK168" s="256"/>
      <c r="BL168" s="256"/>
      <c r="BM168" s="256"/>
      <c r="BN168" s="256"/>
      <c r="BO168" s="256"/>
      <c r="BP168" s="256"/>
      <c r="BQ168" s="256"/>
      <c r="BR168" s="256"/>
      <c r="BS168" s="256"/>
      <c r="BT168" s="256"/>
      <c r="BU168" s="256"/>
      <c r="BV168" s="256"/>
      <c r="BW168" s="256"/>
      <c r="BX168" s="256"/>
      <c r="BY168" s="256"/>
      <c r="BZ168" s="256"/>
      <c r="CA168" s="256"/>
      <c r="CB168" s="256"/>
      <c r="CC168" s="256"/>
      <c r="CD168" s="256"/>
      <c r="CE168" s="256"/>
      <c r="CF168" s="256"/>
      <c r="CG168" s="256"/>
      <c r="CH168" s="256"/>
      <c r="CI168" s="256"/>
      <c r="CJ168" s="256"/>
      <c r="CK168" s="256"/>
      <c r="CL168" s="256"/>
      <c r="CM168" s="256"/>
      <c r="CN168" s="256"/>
      <c r="CO168" s="256"/>
      <c r="CP168" s="256"/>
      <c r="CQ168" s="256"/>
      <c r="CR168" s="256"/>
      <c r="CS168" s="256"/>
      <c r="CT168" s="256"/>
      <c r="CU168" s="256"/>
      <c r="CV168" s="256"/>
      <c r="CW168" s="256"/>
      <c r="CX168" s="256"/>
      <c r="CY168" s="256"/>
      <c r="CZ168" s="256"/>
      <c r="DA168" s="256"/>
      <c r="DB168" s="256"/>
      <c r="DC168" s="256"/>
      <c r="DD168" s="256"/>
      <c r="DE168" s="256"/>
      <c r="DF168" s="256"/>
      <c r="DG168" s="256"/>
      <c r="DH168" s="256"/>
      <c r="DI168" s="256"/>
      <c r="DJ168" s="256"/>
      <c r="DK168" s="256"/>
      <c r="DL168" s="256"/>
      <c r="DM168" s="256"/>
      <c r="DN168" s="256"/>
      <c r="DO168" s="256"/>
      <c r="DP168" s="256"/>
      <c r="DQ168" s="256"/>
      <c r="DR168" s="256"/>
      <c r="DS168" s="256"/>
      <c r="DT168" s="256"/>
      <c r="DU168" s="256"/>
      <c r="DV168" s="256"/>
      <c r="DW168" s="256"/>
      <c r="DX168" s="256"/>
      <c r="DY168" s="256"/>
      <c r="DZ168" s="256"/>
      <c r="EA168" s="256"/>
      <c r="EB168" s="256"/>
      <c r="EC168" s="256"/>
      <c r="ED168" s="256"/>
      <c r="EE168" s="256"/>
      <c r="EF168" s="256"/>
      <c r="EG168" s="256"/>
      <c r="EH168" s="256"/>
      <c r="EI168" s="256"/>
      <c r="EJ168" s="256"/>
      <c r="EK168" s="256"/>
      <c r="EL168" s="256"/>
      <c r="EM168" s="256"/>
      <c r="EN168" s="256"/>
      <c r="EO168" s="256"/>
      <c r="EP168" s="256"/>
      <c r="EQ168" s="256"/>
      <c r="ER168" s="256"/>
      <c r="ES168" s="256"/>
      <c r="ET168" s="256"/>
      <c r="EU168" s="256"/>
      <c r="EV168" s="256"/>
      <c r="EW168" s="256"/>
      <c r="EX168" s="256"/>
      <c r="EY168" s="256"/>
      <c r="EZ168" s="256"/>
      <c r="FA168" s="256"/>
      <c r="FB168" s="256"/>
      <c r="FC168" s="256"/>
      <c r="FD168" s="256"/>
      <c r="FE168" s="256"/>
      <c r="FF168" s="256"/>
      <c r="FG168" s="256"/>
      <c r="FH168" s="256"/>
      <c r="FI168" s="256"/>
      <c r="FJ168" s="256"/>
      <c r="FK168" s="256"/>
      <c r="FL168" s="256"/>
      <c r="FM168" s="256"/>
      <c r="FN168" s="256"/>
      <c r="FO168" s="256"/>
      <c r="FP168" s="256"/>
      <c r="FQ168" s="256"/>
      <c r="FR168" s="256"/>
      <c r="FS168" s="256"/>
      <c r="FT168" s="256"/>
      <c r="FU168" s="256"/>
      <c r="FV168" s="256"/>
      <c r="FW168" s="256"/>
      <c r="FX168" s="256"/>
      <c r="FY168" s="256"/>
      <c r="FZ168" s="256"/>
      <c r="GA168" s="256"/>
      <c r="GB168" s="256"/>
      <c r="GC168" s="256"/>
      <c r="GD168" s="256"/>
      <c r="GE168" s="256"/>
      <c r="GF168" s="256"/>
      <c r="GG168" s="256"/>
      <c r="GH168" s="256"/>
      <c r="GI168" s="256"/>
      <c r="GJ168" s="256"/>
      <c r="GK168" s="256"/>
      <c r="GL168" s="256"/>
      <c r="GM168" s="256"/>
      <c r="GN168" s="256"/>
      <c r="GO168" s="256"/>
      <c r="GP168" s="256"/>
      <c r="GQ168" s="256"/>
      <c r="GR168" s="256"/>
      <c r="GS168" s="256"/>
      <c r="GT168" s="256"/>
      <c r="GU168" s="256"/>
      <c r="GV168" s="256"/>
      <c r="GW168" s="256"/>
      <c r="GX168" s="256"/>
      <c r="GY168" s="256"/>
      <c r="GZ168" s="256"/>
      <c r="HA168" s="256"/>
      <c r="HB168" s="256"/>
      <c r="HC168" s="256"/>
      <c r="HD168" s="256"/>
      <c r="HE168" s="256"/>
      <c r="HF168" s="256"/>
      <c r="HG168" s="256"/>
      <c r="HH168" s="256"/>
      <c r="HI168" s="256"/>
      <c r="HJ168" s="256"/>
      <c r="HK168" s="256"/>
      <c r="HL168" s="256"/>
      <c r="HM168" s="256"/>
      <c r="HN168" s="256"/>
      <c r="HO168" s="256"/>
      <c r="HP168" s="256"/>
      <c r="HQ168" s="256"/>
      <c r="HR168" s="256"/>
      <c r="HS168" s="256"/>
      <c r="HT168" s="256"/>
      <c r="HU168" s="256"/>
      <c r="HV168" s="256"/>
      <c r="HW168" s="256"/>
      <c r="HX168" s="256"/>
      <c r="HY168" s="256"/>
      <c r="HZ168" s="256"/>
      <c r="IA168" s="256"/>
      <c r="IB168" s="256"/>
      <c r="IC168" s="256"/>
      <c r="ID168" s="256"/>
      <c r="IE168" s="256"/>
      <c r="IF168" s="256"/>
      <c r="IG168" s="256"/>
      <c r="IH168" s="256"/>
      <c r="II168" s="256"/>
      <c r="IJ168" s="256"/>
      <c r="IK168" s="256"/>
      <c r="IL168" s="256"/>
    </row>
    <row r="169" spans="1:246" s="122" customFormat="1" x14ac:dyDescent="0.35">
      <c r="A169" s="167" t="s">
        <v>752</v>
      </c>
      <c r="B169" s="122">
        <f>F126</f>
        <v>0</v>
      </c>
      <c r="C169" s="122">
        <f t="shared" ref="C169:AH169" si="36">G126</f>
        <v>0</v>
      </c>
      <c r="D169" s="122">
        <f t="shared" si="36"/>
        <v>0</v>
      </c>
      <c r="E169" s="122">
        <f t="shared" si="36"/>
        <v>23658198.830703687</v>
      </c>
      <c r="F169" s="122">
        <f t="shared" si="36"/>
        <v>23658198.830703687</v>
      </c>
      <c r="G169" s="122">
        <f t="shared" si="36"/>
        <v>23658198.830703687</v>
      </c>
      <c r="H169" s="122">
        <f t="shared" si="36"/>
        <v>23658198.830703687</v>
      </c>
      <c r="I169" s="122">
        <f t="shared" si="36"/>
        <v>23658198.830703687</v>
      </c>
      <c r="J169" s="122">
        <f t="shared" si="36"/>
        <v>23658198.830703687</v>
      </c>
      <c r="K169" s="122">
        <f t="shared" si="36"/>
        <v>23658198.830703687</v>
      </c>
      <c r="L169" s="122">
        <f t="shared" si="36"/>
        <v>23658198.830703687</v>
      </c>
      <c r="M169" s="122">
        <f t="shared" si="36"/>
        <v>23658198.830703687</v>
      </c>
      <c r="N169" s="122">
        <f t="shared" si="36"/>
        <v>23658198.830703687</v>
      </c>
      <c r="O169" s="122">
        <f t="shared" si="36"/>
        <v>0</v>
      </c>
      <c r="P169" s="122">
        <f t="shared" si="36"/>
        <v>0</v>
      </c>
      <c r="Q169" s="122">
        <f t="shared" si="36"/>
        <v>0</v>
      </c>
      <c r="R169" s="122">
        <f t="shared" si="36"/>
        <v>0</v>
      </c>
      <c r="S169" s="122">
        <f t="shared" si="36"/>
        <v>0</v>
      </c>
      <c r="T169" s="122">
        <f t="shared" si="36"/>
        <v>0</v>
      </c>
      <c r="U169" s="122">
        <f t="shared" si="36"/>
        <v>0</v>
      </c>
      <c r="V169" s="122">
        <f t="shared" si="36"/>
        <v>0</v>
      </c>
      <c r="W169" s="122">
        <f t="shared" si="36"/>
        <v>0</v>
      </c>
      <c r="X169" s="122">
        <f t="shared" si="36"/>
        <v>0</v>
      </c>
      <c r="Y169" s="122">
        <f t="shared" si="36"/>
        <v>0</v>
      </c>
      <c r="Z169" s="122">
        <f t="shared" si="36"/>
        <v>0</v>
      </c>
      <c r="AA169" s="122">
        <f t="shared" si="36"/>
        <v>0</v>
      </c>
      <c r="AB169" s="122">
        <f t="shared" si="36"/>
        <v>0</v>
      </c>
      <c r="AC169" s="122">
        <f t="shared" si="36"/>
        <v>0</v>
      </c>
      <c r="AD169" s="122">
        <f t="shared" si="36"/>
        <v>0</v>
      </c>
      <c r="AE169" s="122">
        <f t="shared" si="36"/>
        <v>0</v>
      </c>
      <c r="AF169" s="122">
        <f t="shared" si="36"/>
        <v>0</v>
      </c>
      <c r="AG169" s="122">
        <f t="shared" si="36"/>
        <v>0</v>
      </c>
      <c r="AH169" s="122">
        <f t="shared" si="36"/>
        <v>0</v>
      </c>
      <c r="AM169" s="159"/>
      <c r="AY169" s="256"/>
      <c r="AZ169" s="256"/>
      <c r="BA169" s="256"/>
      <c r="BB169" s="256"/>
      <c r="BC169" s="256"/>
      <c r="BD169" s="256"/>
      <c r="BE169" s="256"/>
      <c r="BF169" s="256"/>
      <c r="BG169" s="256"/>
      <c r="BH169" s="256"/>
      <c r="BI169" s="256"/>
      <c r="BJ169" s="256"/>
      <c r="BK169" s="256"/>
      <c r="BL169" s="256"/>
      <c r="BM169" s="256"/>
      <c r="BN169" s="256"/>
      <c r="BO169" s="256"/>
      <c r="BP169" s="256"/>
      <c r="BQ169" s="256"/>
      <c r="BR169" s="256"/>
      <c r="BS169" s="256"/>
      <c r="BT169" s="256"/>
      <c r="BU169" s="256"/>
      <c r="BV169" s="256"/>
      <c r="BW169" s="256"/>
      <c r="BX169" s="256"/>
      <c r="BY169" s="256"/>
      <c r="BZ169" s="256"/>
      <c r="CA169" s="256"/>
      <c r="CB169" s="256"/>
      <c r="CC169" s="256"/>
      <c r="CD169" s="256"/>
      <c r="CE169" s="256"/>
      <c r="CF169" s="256"/>
      <c r="CG169" s="256"/>
      <c r="CH169" s="256"/>
      <c r="CI169" s="256"/>
      <c r="CJ169" s="256"/>
      <c r="CK169" s="256"/>
      <c r="CL169" s="256"/>
      <c r="CM169" s="256"/>
      <c r="CN169" s="256"/>
      <c r="CO169" s="256"/>
      <c r="CP169" s="256"/>
      <c r="CQ169" s="256"/>
      <c r="CR169" s="256"/>
      <c r="CS169" s="256"/>
      <c r="CT169" s="256"/>
      <c r="CU169" s="256"/>
      <c r="CV169" s="256"/>
      <c r="CW169" s="256"/>
      <c r="CX169" s="256"/>
      <c r="CY169" s="256"/>
      <c r="CZ169" s="256"/>
      <c r="DA169" s="256"/>
      <c r="DB169" s="256"/>
      <c r="DC169" s="256"/>
      <c r="DD169" s="256"/>
      <c r="DE169" s="256"/>
      <c r="DF169" s="256"/>
      <c r="DG169" s="256"/>
      <c r="DH169" s="256"/>
      <c r="DI169" s="256"/>
      <c r="DJ169" s="256"/>
      <c r="DK169" s="256"/>
      <c r="DL169" s="256"/>
      <c r="DM169" s="256"/>
      <c r="DN169" s="256"/>
      <c r="DO169" s="256"/>
      <c r="DP169" s="256"/>
      <c r="DQ169" s="256"/>
      <c r="DR169" s="256"/>
      <c r="DS169" s="256"/>
      <c r="DT169" s="256"/>
      <c r="DU169" s="256"/>
      <c r="DV169" s="256"/>
      <c r="DW169" s="256"/>
      <c r="DX169" s="256"/>
      <c r="DY169" s="256"/>
      <c r="DZ169" s="256"/>
      <c r="EA169" s="256"/>
      <c r="EB169" s="256"/>
      <c r="EC169" s="256"/>
      <c r="ED169" s="256"/>
      <c r="EE169" s="256"/>
      <c r="EF169" s="256"/>
      <c r="EG169" s="256"/>
      <c r="EH169" s="256"/>
      <c r="EI169" s="256"/>
      <c r="EJ169" s="256"/>
      <c r="EK169" s="256"/>
      <c r="EL169" s="256"/>
      <c r="EM169" s="256"/>
      <c r="EN169" s="256"/>
      <c r="EO169" s="256"/>
      <c r="EP169" s="256"/>
      <c r="EQ169" s="256"/>
      <c r="ER169" s="256"/>
      <c r="ES169" s="256"/>
      <c r="ET169" s="256"/>
      <c r="EU169" s="256"/>
      <c r="EV169" s="256"/>
      <c r="EW169" s="256"/>
      <c r="EX169" s="256"/>
      <c r="EY169" s="256"/>
      <c r="EZ169" s="256"/>
      <c r="FA169" s="256"/>
      <c r="FB169" s="256"/>
      <c r="FC169" s="256"/>
      <c r="FD169" s="256"/>
      <c r="FE169" s="256"/>
      <c r="FF169" s="256"/>
      <c r="FG169" s="256"/>
      <c r="FH169" s="256"/>
      <c r="FI169" s="256"/>
      <c r="FJ169" s="256"/>
      <c r="FK169" s="256"/>
      <c r="FL169" s="256"/>
      <c r="FM169" s="256"/>
      <c r="FN169" s="256"/>
      <c r="FO169" s="256"/>
      <c r="FP169" s="256"/>
      <c r="FQ169" s="256"/>
      <c r="FR169" s="256"/>
      <c r="FS169" s="256"/>
      <c r="FT169" s="256"/>
      <c r="FU169" s="256"/>
      <c r="FV169" s="256"/>
      <c r="FW169" s="256"/>
      <c r="FX169" s="256"/>
      <c r="FY169" s="256"/>
      <c r="FZ169" s="256"/>
      <c r="GA169" s="256"/>
      <c r="GB169" s="256"/>
      <c r="GC169" s="256"/>
      <c r="GD169" s="256"/>
      <c r="GE169" s="256"/>
      <c r="GF169" s="256"/>
      <c r="GG169" s="256"/>
      <c r="GH169" s="256"/>
      <c r="GI169" s="256"/>
      <c r="GJ169" s="256"/>
      <c r="GK169" s="256"/>
      <c r="GL169" s="256"/>
      <c r="GM169" s="256"/>
      <c r="GN169" s="256"/>
      <c r="GO169" s="256"/>
      <c r="GP169" s="256"/>
      <c r="GQ169" s="256"/>
      <c r="GR169" s="256"/>
      <c r="GS169" s="256"/>
      <c r="GT169" s="256"/>
      <c r="GU169" s="256"/>
      <c r="GV169" s="256"/>
      <c r="GW169" s="256"/>
      <c r="GX169" s="256"/>
      <c r="GY169" s="256"/>
      <c r="GZ169" s="256"/>
      <c r="HA169" s="256"/>
      <c r="HB169" s="256"/>
      <c r="HC169" s="256"/>
      <c r="HD169" s="256"/>
      <c r="HE169" s="256"/>
      <c r="HF169" s="256"/>
      <c r="HG169" s="256"/>
      <c r="HH169" s="256"/>
      <c r="HI169" s="256"/>
      <c r="HJ169" s="256"/>
      <c r="HK169" s="256"/>
      <c r="HL169" s="256"/>
      <c r="HM169" s="256"/>
      <c r="HN169" s="256"/>
      <c r="HO169" s="256"/>
      <c r="HP169" s="256"/>
      <c r="HQ169" s="256"/>
      <c r="HR169" s="256"/>
      <c r="HS169" s="256"/>
      <c r="HT169" s="256"/>
      <c r="HU169" s="256"/>
      <c r="HV169" s="256"/>
      <c r="HW169" s="256"/>
      <c r="HX169" s="256"/>
      <c r="HY169" s="256"/>
      <c r="HZ169" s="256"/>
      <c r="IA169" s="256"/>
      <c r="IB169" s="256"/>
      <c r="IC169" s="256"/>
      <c r="ID169" s="256"/>
      <c r="IE169" s="256"/>
      <c r="IF169" s="256"/>
      <c r="IG169" s="256"/>
      <c r="IH169" s="256"/>
      <c r="II169" s="256"/>
      <c r="IJ169" s="256"/>
      <c r="IK169" s="256"/>
      <c r="IL169" s="256"/>
    </row>
    <row r="170" spans="1:246" s="122" customFormat="1" x14ac:dyDescent="0.35">
      <c r="A170" s="167" t="s">
        <v>941</v>
      </c>
      <c r="B170" s="122">
        <f>F134</f>
        <v>0</v>
      </c>
      <c r="C170" s="122">
        <f t="shared" ref="C170:AH170" si="37">G134</f>
        <v>0</v>
      </c>
      <c r="D170" s="122">
        <f t="shared" si="37"/>
        <v>0</v>
      </c>
      <c r="E170" s="122">
        <f t="shared" si="37"/>
        <v>49621896.23336032</v>
      </c>
      <c r="F170" s="122">
        <f t="shared" si="37"/>
        <v>56710738.552411795</v>
      </c>
      <c r="G170" s="122">
        <f t="shared" si="37"/>
        <v>56710738.552411795</v>
      </c>
      <c r="H170" s="122">
        <f t="shared" si="37"/>
        <v>56710738.552411795</v>
      </c>
      <c r="I170" s="122">
        <f t="shared" si="37"/>
        <v>56710738.552411795</v>
      </c>
      <c r="J170" s="122">
        <f t="shared" si="37"/>
        <v>56710738.552411795</v>
      </c>
      <c r="K170" s="122">
        <f t="shared" si="37"/>
        <v>56710738.552411795</v>
      </c>
      <c r="L170" s="122">
        <f t="shared" si="37"/>
        <v>56710738.552411795</v>
      </c>
      <c r="M170" s="122">
        <f t="shared" si="37"/>
        <v>56710738.552411795</v>
      </c>
      <c r="N170" s="122">
        <f t="shared" si="37"/>
        <v>56710738.552411795</v>
      </c>
      <c r="O170" s="122">
        <f t="shared" si="37"/>
        <v>56710738.552411795</v>
      </c>
      <c r="P170" s="122">
        <f t="shared" si="37"/>
        <v>56710738.552411795</v>
      </c>
      <c r="Q170" s="122">
        <f t="shared" si="37"/>
        <v>56710738.552411795</v>
      </c>
      <c r="R170" s="122">
        <f t="shared" si="37"/>
        <v>56710738.552411795</v>
      </c>
      <c r="S170" s="122">
        <f t="shared" si="37"/>
        <v>56710738.552411795</v>
      </c>
      <c r="T170" s="122">
        <f t="shared" si="37"/>
        <v>56710738.552411795</v>
      </c>
      <c r="U170" s="122">
        <f t="shared" si="37"/>
        <v>56710738.552411795</v>
      </c>
      <c r="V170" s="122">
        <f t="shared" si="37"/>
        <v>56710738.552411795</v>
      </c>
      <c r="W170" s="122">
        <f t="shared" si="37"/>
        <v>56710738.552411795</v>
      </c>
      <c r="X170" s="122">
        <f t="shared" si="37"/>
        <v>56710738.552411795</v>
      </c>
      <c r="Y170" s="122">
        <f t="shared" si="37"/>
        <v>56710738.552411795</v>
      </c>
      <c r="Z170" s="122">
        <f t="shared" si="37"/>
        <v>56710738.552411795</v>
      </c>
      <c r="AA170" s="122">
        <f t="shared" si="37"/>
        <v>56710738.552411795</v>
      </c>
      <c r="AB170" s="122">
        <f t="shared" si="37"/>
        <v>56710738.552411795</v>
      </c>
      <c r="AC170" s="122">
        <f t="shared" si="37"/>
        <v>56710738.552411795</v>
      </c>
      <c r="AD170" s="122">
        <f t="shared" si="37"/>
        <v>56710738.552411795</v>
      </c>
      <c r="AE170" s="122">
        <f t="shared" si="37"/>
        <v>56710738.552411795</v>
      </c>
      <c r="AF170" s="122">
        <f t="shared" si="37"/>
        <v>56710738.552411795</v>
      </c>
      <c r="AG170" s="122">
        <f t="shared" si="37"/>
        <v>56710738.552411795</v>
      </c>
      <c r="AH170" s="122">
        <f t="shared" si="37"/>
        <v>56710738.552411795</v>
      </c>
      <c r="AM170" s="159"/>
      <c r="AY170" s="256"/>
      <c r="AZ170" s="256"/>
      <c r="BA170" s="256"/>
      <c r="BB170" s="256"/>
      <c r="BC170" s="256"/>
      <c r="BD170" s="256"/>
      <c r="BE170" s="256"/>
      <c r="BF170" s="256"/>
      <c r="BG170" s="256"/>
      <c r="BH170" s="256"/>
      <c r="BI170" s="256"/>
      <c r="BJ170" s="256"/>
      <c r="BK170" s="256"/>
      <c r="BL170" s="256"/>
      <c r="BM170" s="256"/>
      <c r="BN170" s="256"/>
      <c r="BO170" s="256"/>
      <c r="BP170" s="256"/>
      <c r="BQ170" s="256"/>
      <c r="BR170" s="256"/>
      <c r="BS170" s="256"/>
      <c r="BT170" s="256"/>
      <c r="BU170" s="256"/>
      <c r="BV170" s="256"/>
      <c r="BW170" s="256"/>
      <c r="BX170" s="256"/>
      <c r="BY170" s="256"/>
      <c r="BZ170" s="256"/>
      <c r="CA170" s="256"/>
      <c r="CB170" s="256"/>
      <c r="CC170" s="256"/>
      <c r="CD170" s="256"/>
      <c r="CE170" s="256"/>
      <c r="CF170" s="256"/>
      <c r="CG170" s="256"/>
      <c r="CH170" s="256"/>
      <c r="CI170" s="256"/>
      <c r="CJ170" s="256"/>
      <c r="CK170" s="256"/>
      <c r="CL170" s="256"/>
      <c r="CM170" s="256"/>
      <c r="CN170" s="256"/>
      <c r="CO170" s="256"/>
      <c r="CP170" s="256"/>
      <c r="CQ170" s="256"/>
      <c r="CR170" s="256"/>
      <c r="CS170" s="256"/>
      <c r="CT170" s="256"/>
      <c r="CU170" s="256"/>
      <c r="CV170" s="256"/>
      <c r="CW170" s="256"/>
      <c r="CX170" s="256"/>
      <c r="CY170" s="256"/>
      <c r="CZ170" s="256"/>
      <c r="DA170" s="256"/>
      <c r="DB170" s="256"/>
      <c r="DC170" s="256"/>
      <c r="DD170" s="256"/>
      <c r="DE170" s="256"/>
      <c r="DF170" s="256"/>
      <c r="DG170" s="256"/>
      <c r="DH170" s="256"/>
      <c r="DI170" s="256"/>
      <c r="DJ170" s="256"/>
      <c r="DK170" s="256"/>
      <c r="DL170" s="256"/>
      <c r="DM170" s="256"/>
      <c r="DN170" s="256"/>
      <c r="DO170" s="256"/>
      <c r="DP170" s="256"/>
      <c r="DQ170" s="256"/>
      <c r="DR170" s="256"/>
      <c r="DS170" s="256"/>
      <c r="DT170" s="256"/>
      <c r="DU170" s="256"/>
      <c r="DV170" s="256"/>
      <c r="DW170" s="256"/>
      <c r="DX170" s="256"/>
      <c r="DY170" s="256"/>
      <c r="DZ170" s="256"/>
      <c r="EA170" s="256"/>
      <c r="EB170" s="256"/>
      <c r="EC170" s="256"/>
      <c r="ED170" s="256"/>
      <c r="EE170" s="256"/>
      <c r="EF170" s="256"/>
      <c r="EG170" s="256"/>
      <c r="EH170" s="256"/>
      <c r="EI170" s="256"/>
      <c r="EJ170" s="256"/>
      <c r="EK170" s="256"/>
      <c r="EL170" s="256"/>
      <c r="EM170" s="256"/>
      <c r="EN170" s="256"/>
      <c r="EO170" s="256"/>
      <c r="EP170" s="256"/>
      <c r="EQ170" s="256"/>
      <c r="ER170" s="256"/>
      <c r="ES170" s="256"/>
      <c r="ET170" s="256"/>
      <c r="EU170" s="256"/>
      <c r="EV170" s="256"/>
      <c r="EW170" s="256"/>
      <c r="EX170" s="256"/>
      <c r="EY170" s="256"/>
      <c r="EZ170" s="256"/>
      <c r="FA170" s="256"/>
      <c r="FB170" s="256"/>
      <c r="FC170" s="256"/>
      <c r="FD170" s="256"/>
      <c r="FE170" s="256"/>
      <c r="FF170" s="256"/>
      <c r="FG170" s="256"/>
      <c r="FH170" s="256"/>
      <c r="FI170" s="256"/>
      <c r="FJ170" s="256"/>
      <c r="FK170" s="256"/>
      <c r="FL170" s="256"/>
      <c r="FM170" s="256"/>
      <c r="FN170" s="256"/>
      <c r="FO170" s="256"/>
      <c r="FP170" s="256"/>
      <c r="FQ170" s="256"/>
      <c r="FR170" s="256"/>
      <c r="FS170" s="256"/>
      <c r="FT170" s="256"/>
      <c r="FU170" s="256"/>
      <c r="FV170" s="256"/>
      <c r="FW170" s="256"/>
      <c r="FX170" s="256"/>
      <c r="FY170" s="256"/>
      <c r="FZ170" s="256"/>
      <c r="GA170" s="256"/>
      <c r="GB170" s="256"/>
      <c r="GC170" s="256"/>
      <c r="GD170" s="256"/>
      <c r="GE170" s="256"/>
      <c r="GF170" s="256"/>
      <c r="GG170" s="256"/>
      <c r="GH170" s="256"/>
      <c r="GI170" s="256"/>
      <c r="GJ170" s="256"/>
      <c r="GK170" s="256"/>
      <c r="GL170" s="256"/>
      <c r="GM170" s="256"/>
      <c r="GN170" s="256"/>
      <c r="GO170" s="256"/>
      <c r="GP170" s="256"/>
      <c r="GQ170" s="256"/>
      <c r="GR170" s="256"/>
      <c r="GS170" s="256"/>
      <c r="GT170" s="256"/>
      <c r="GU170" s="256"/>
      <c r="GV170" s="256"/>
      <c r="GW170" s="256"/>
      <c r="GX170" s="256"/>
      <c r="GY170" s="256"/>
      <c r="GZ170" s="256"/>
      <c r="HA170" s="256"/>
      <c r="HB170" s="256"/>
      <c r="HC170" s="256"/>
      <c r="HD170" s="256"/>
      <c r="HE170" s="256"/>
      <c r="HF170" s="256"/>
      <c r="HG170" s="256"/>
      <c r="HH170" s="256"/>
      <c r="HI170" s="256"/>
      <c r="HJ170" s="256"/>
      <c r="HK170" s="256"/>
      <c r="HL170" s="256"/>
      <c r="HM170" s="256"/>
      <c r="HN170" s="256"/>
      <c r="HO170" s="256"/>
      <c r="HP170" s="256"/>
      <c r="HQ170" s="256"/>
      <c r="HR170" s="256"/>
      <c r="HS170" s="256"/>
      <c r="HT170" s="256"/>
      <c r="HU170" s="256"/>
      <c r="HV170" s="256"/>
      <c r="HW170" s="256"/>
      <c r="HX170" s="256"/>
      <c r="HY170" s="256"/>
      <c r="HZ170" s="256"/>
      <c r="IA170" s="256"/>
      <c r="IB170" s="256"/>
      <c r="IC170" s="256"/>
      <c r="ID170" s="256"/>
      <c r="IE170" s="256"/>
      <c r="IF170" s="256"/>
      <c r="IG170" s="256"/>
      <c r="IH170" s="256"/>
      <c r="II170" s="256"/>
      <c r="IJ170" s="256"/>
      <c r="IK170" s="256"/>
      <c r="IL170" s="256"/>
    </row>
    <row r="171" spans="1:246" s="122" customFormat="1" x14ac:dyDescent="0.35">
      <c r="A171" s="167" t="s">
        <v>942</v>
      </c>
      <c r="B171" s="122">
        <f>F138</f>
        <v>0</v>
      </c>
      <c r="C171" s="122">
        <f t="shared" ref="C171:AH171" si="38">G138</f>
        <v>0</v>
      </c>
      <c r="D171" s="122">
        <f t="shared" si="38"/>
        <v>0</v>
      </c>
      <c r="E171" s="122">
        <f t="shared" si="38"/>
        <v>31603990.050778091</v>
      </c>
      <c r="F171" s="122">
        <f t="shared" si="38"/>
        <v>54162471.402628094</v>
      </c>
      <c r="G171" s="122">
        <f t="shared" si="38"/>
        <v>38681160.670966327</v>
      </c>
      <c r="H171" s="122">
        <f t="shared" si="38"/>
        <v>27623081.576922208</v>
      </c>
      <c r="I171" s="122">
        <f t="shared" si="38"/>
        <v>19749729.261962797</v>
      </c>
      <c r="J171" s="122">
        <f t="shared" si="38"/>
        <v>19727613.103774708</v>
      </c>
      <c r="K171" s="122">
        <f t="shared" si="38"/>
        <v>19749729.261962797</v>
      </c>
      <c r="L171" s="122">
        <f t="shared" si="38"/>
        <v>9863806.5518873539</v>
      </c>
      <c r="M171" s="122">
        <f t="shared" si="38"/>
        <v>0</v>
      </c>
      <c r="N171" s="122">
        <f t="shared" si="38"/>
        <v>0</v>
      </c>
      <c r="O171" s="122">
        <f t="shared" si="38"/>
        <v>0</v>
      </c>
      <c r="P171" s="122">
        <f t="shared" si="38"/>
        <v>0</v>
      </c>
      <c r="Q171" s="122">
        <f t="shared" si="38"/>
        <v>0</v>
      </c>
      <c r="R171" s="122">
        <f t="shared" si="38"/>
        <v>0</v>
      </c>
      <c r="S171" s="122">
        <f t="shared" si="38"/>
        <v>0</v>
      </c>
      <c r="T171" s="122">
        <f t="shared" si="38"/>
        <v>0</v>
      </c>
      <c r="U171" s="122">
        <f t="shared" si="38"/>
        <v>0</v>
      </c>
      <c r="V171" s="122">
        <f t="shared" si="38"/>
        <v>0</v>
      </c>
      <c r="W171" s="122">
        <f t="shared" si="38"/>
        <v>0</v>
      </c>
      <c r="X171" s="122">
        <f t="shared" si="38"/>
        <v>0</v>
      </c>
      <c r="Y171" s="122">
        <f t="shared" si="38"/>
        <v>0</v>
      </c>
      <c r="Z171" s="122">
        <f t="shared" si="38"/>
        <v>0</v>
      </c>
      <c r="AA171" s="122">
        <f t="shared" si="38"/>
        <v>0</v>
      </c>
      <c r="AB171" s="122">
        <f t="shared" si="38"/>
        <v>0</v>
      </c>
      <c r="AC171" s="122">
        <f t="shared" si="38"/>
        <v>0</v>
      </c>
      <c r="AD171" s="122">
        <f t="shared" si="38"/>
        <v>0</v>
      </c>
      <c r="AE171" s="122">
        <f t="shared" si="38"/>
        <v>0</v>
      </c>
      <c r="AF171" s="122">
        <f t="shared" si="38"/>
        <v>0</v>
      </c>
      <c r="AG171" s="122">
        <f t="shared" si="38"/>
        <v>0</v>
      </c>
      <c r="AH171" s="122">
        <f t="shared" si="38"/>
        <v>0</v>
      </c>
      <c r="AM171" s="159"/>
      <c r="AY171" s="256"/>
      <c r="AZ171" s="256"/>
      <c r="BA171" s="256"/>
      <c r="BB171" s="256"/>
      <c r="BC171" s="256"/>
      <c r="BD171" s="256"/>
      <c r="BE171" s="256"/>
      <c r="BF171" s="256"/>
      <c r="BG171" s="256"/>
      <c r="BH171" s="256"/>
      <c r="BI171" s="256"/>
      <c r="BJ171" s="256"/>
      <c r="BK171" s="256"/>
      <c r="BL171" s="256"/>
      <c r="BM171" s="256"/>
      <c r="BN171" s="256"/>
      <c r="BO171" s="256"/>
      <c r="BP171" s="256"/>
      <c r="BQ171" s="256"/>
      <c r="BR171" s="256"/>
      <c r="BS171" s="256"/>
      <c r="BT171" s="256"/>
      <c r="BU171" s="256"/>
      <c r="BV171" s="256"/>
      <c r="BW171" s="256"/>
      <c r="BX171" s="256"/>
      <c r="BY171" s="256"/>
      <c r="BZ171" s="256"/>
      <c r="CA171" s="256"/>
      <c r="CB171" s="256"/>
      <c r="CC171" s="256"/>
      <c r="CD171" s="256"/>
      <c r="CE171" s="256"/>
      <c r="CF171" s="256"/>
      <c r="CG171" s="256"/>
      <c r="CH171" s="256"/>
      <c r="CI171" s="256"/>
      <c r="CJ171" s="256"/>
      <c r="CK171" s="256"/>
      <c r="CL171" s="256"/>
      <c r="CM171" s="256"/>
      <c r="CN171" s="256"/>
      <c r="CO171" s="256"/>
      <c r="CP171" s="256"/>
      <c r="CQ171" s="256"/>
      <c r="CR171" s="256"/>
      <c r="CS171" s="256"/>
      <c r="CT171" s="256"/>
      <c r="CU171" s="256"/>
      <c r="CV171" s="256"/>
      <c r="CW171" s="256"/>
      <c r="CX171" s="256"/>
      <c r="CY171" s="256"/>
      <c r="CZ171" s="256"/>
      <c r="DA171" s="256"/>
      <c r="DB171" s="256"/>
      <c r="DC171" s="256"/>
      <c r="DD171" s="256"/>
      <c r="DE171" s="256"/>
      <c r="DF171" s="256"/>
      <c r="DG171" s="256"/>
      <c r="DH171" s="256"/>
      <c r="DI171" s="256"/>
      <c r="DJ171" s="256"/>
      <c r="DK171" s="256"/>
      <c r="DL171" s="256"/>
      <c r="DM171" s="256"/>
      <c r="DN171" s="256"/>
      <c r="DO171" s="256"/>
      <c r="DP171" s="256"/>
      <c r="DQ171" s="256"/>
      <c r="DR171" s="256"/>
      <c r="DS171" s="256"/>
      <c r="DT171" s="256"/>
      <c r="DU171" s="256"/>
      <c r="DV171" s="256"/>
      <c r="DW171" s="256"/>
      <c r="DX171" s="256"/>
      <c r="DY171" s="256"/>
      <c r="DZ171" s="256"/>
      <c r="EA171" s="256"/>
      <c r="EB171" s="256"/>
      <c r="EC171" s="256"/>
      <c r="ED171" s="256"/>
      <c r="EE171" s="256"/>
      <c r="EF171" s="256"/>
      <c r="EG171" s="256"/>
      <c r="EH171" s="256"/>
      <c r="EI171" s="256"/>
      <c r="EJ171" s="256"/>
      <c r="EK171" s="256"/>
      <c r="EL171" s="256"/>
      <c r="EM171" s="256"/>
      <c r="EN171" s="256"/>
      <c r="EO171" s="256"/>
      <c r="EP171" s="256"/>
      <c r="EQ171" s="256"/>
      <c r="ER171" s="256"/>
      <c r="ES171" s="256"/>
      <c r="ET171" s="256"/>
      <c r="EU171" s="256"/>
      <c r="EV171" s="256"/>
      <c r="EW171" s="256"/>
      <c r="EX171" s="256"/>
      <c r="EY171" s="256"/>
      <c r="EZ171" s="256"/>
      <c r="FA171" s="256"/>
      <c r="FB171" s="256"/>
      <c r="FC171" s="256"/>
      <c r="FD171" s="256"/>
      <c r="FE171" s="256"/>
      <c r="FF171" s="256"/>
      <c r="FG171" s="256"/>
      <c r="FH171" s="256"/>
      <c r="FI171" s="256"/>
      <c r="FJ171" s="256"/>
      <c r="FK171" s="256"/>
      <c r="FL171" s="256"/>
      <c r="FM171" s="256"/>
      <c r="FN171" s="256"/>
      <c r="FO171" s="256"/>
      <c r="FP171" s="256"/>
      <c r="FQ171" s="256"/>
      <c r="FR171" s="256"/>
      <c r="FS171" s="256"/>
      <c r="FT171" s="256"/>
      <c r="FU171" s="256"/>
      <c r="FV171" s="256"/>
      <c r="FW171" s="256"/>
      <c r="FX171" s="256"/>
      <c r="FY171" s="256"/>
      <c r="FZ171" s="256"/>
      <c r="GA171" s="256"/>
      <c r="GB171" s="256"/>
      <c r="GC171" s="256"/>
      <c r="GD171" s="256"/>
      <c r="GE171" s="256"/>
      <c r="GF171" s="256"/>
      <c r="GG171" s="256"/>
      <c r="GH171" s="256"/>
      <c r="GI171" s="256"/>
      <c r="GJ171" s="256"/>
      <c r="GK171" s="256"/>
      <c r="GL171" s="256"/>
      <c r="GM171" s="256"/>
      <c r="GN171" s="256"/>
      <c r="GO171" s="256"/>
      <c r="GP171" s="256"/>
      <c r="GQ171" s="256"/>
      <c r="GR171" s="256"/>
      <c r="GS171" s="256"/>
      <c r="GT171" s="256"/>
      <c r="GU171" s="256"/>
      <c r="GV171" s="256"/>
      <c r="GW171" s="256"/>
      <c r="GX171" s="256"/>
      <c r="GY171" s="256"/>
      <c r="GZ171" s="256"/>
      <c r="HA171" s="256"/>
      <c r="HB171" s="256"/>
      <c r="HC171" s="256"/>
      <c r="HD171" s="256"/>
      <c r="HE171" s="256"/>
      <c r="HF171" s="256"/>
      <c r="HG171" s="256"/>
      <c r="HH171" s="256"/>
      <c r="HI171" s="256"/>
      <c r="HJ171" s="256"/>
      <c r="HK171" s="256"/>
      <c r="HL171" s="256"/>
      <c r="HM171" s="256"/>
      <c r="HN171" s="256"/>
      <c r="HO171" s="256"/>
      <c r="HP171" s="256"/>
      <c r="HQ171" s="256"/>
      <c r="HR171" s="256"/>
      <c r="HS171" s="256"/>
      <c r="HT171" s="256"/>
      <c r="HU171" s="256"/>
      <c r="HV171" s="256"/>
      <c r="HW171" s="256"/>
      <c r="HX171" s="256"/>
      <c r="HY171" s="256"/>
      <c r="HZ171" s="256"/>
      <c r="IA171" s="256"/>
      <c r="IB171" s="256"/>
      <c r="IC171" s="256"/>
      <c r="ID171" s="256"/>
      <c r="IE171" s="256"/>
      <c r="IF171" s="256"/>
      <c r="IG171" s="256"/>
      <c r="IH171" s="256"/>
      <c r="II171" s="256"/>
      <c r="IJ171" s="256"/>
      <c r="IK171" s="256"/>
      <c r="IL171" s="256"/>
    </row>
    <row r="172" spans="1:246" s="122" customFormat="1" x14ac:dyDescent="0.35">
      <c r="A172" s="167" t="s">
        <v>943</v>
      </c>
      <c r="B172" s="122">
        <f>F141</f>
        <v>0</v>
      </c>
      <c r="C172" s="122">
        <f t="shared" ref="C172:AH172" si="39">G141</f>
        <v>0</v>
      </c>
      <c r="D172" s="122">
        <f t="shared" si="39"/>
        <v>0</v>
      </c>
      <c r="E172" s="122">
        <f t="shared" si="39"/>
        <v>1628218.1736146023</v>
      </c>
      <c r="F172" s="122">
        <f t="shared" si="39"/>
        <v>3134428.5320863505</v>
      </c>
      <c r="G172" s="122">
        <f t="shared" si="39"/>
        <v>2899096.7320599197</v>
      </c>
      <c r="H172" s="122">
        <f t="shared" si="39"/>
        <v>2682000.9755779728</v>
      </c>
      <c r="I172" s="122">
        <f t="shared" si="39"/>
        <v>2480536.113562726</v>
      </c>
      <c r="J172" s="122">
        <f t="shared" si="39"/>
        <v>2294702.1460141796</v>
      </c>
      <c r="K172" s="122">
        <f t="shared" si="39"/>
        <v>2122328.1153675136</v>
      </c>
      <c r="L172" s="122">
        <f t="shared" si="39"/>
        <v>1963414.0216227286</v>
      </c>
      <c r="M172" s="122">
        <f t="shared" si="39"/>
        <v>1937362.5308448947</v>
      </c>
      <c r="N172" s="122">
        <f t="shared" si="39"/>
        <v>1936928.3393319307</v>
      </c>
      <c r="O172" s="122">
        <f t="shared" si="39"/>
        <v>1937362.5308448947</v>
      </c>
      <c r="P172" s="122">
        <f t="shared" si="39"/>
        <v>1936928.3393319307</v>
      </c>
      <c r="Q172" s="122">
        <f t="shared" si="39"/>
        <v>1937362.5308448947</v>
      </c>
      <c r="R172" s="122">
        <f t="shared" si="39"/>
        <v>1936928.3393319307</v>
      </c>
      <c r="S172" s="122">
        <f t="shared" si="39"/>
        <v>1937362.5308448947</v>
      </c>
      <c r="T172" s="122">
        <f t="shared" si="39"/>
        <v>1936928.3393319307</v>
      </c>
      <c r="U172" s="122">
        <f t="shared" si="39"/>
        <v>1937362.5308448947</v>
      </c>
      <c r="V172" s="122">
        <f t="shared" si="39"/>
        <v>1936928.3393319307</v>
      </c>
      <c r="W172" s="122">
        <f t="shared" si="39"/>
        <v>1937362.5308448947</v>
      </c>
      <c r="X172" s="122">
        <f t="shared" si="39"/>
        <v>1936928.3393319307</v>
      </c>
      <c r="Y172" s="122">
        <f t="shared" si="39"/>
        <v>968681.26542244735</v>
      </c>
      <c r="Z172" s="122">
        <f t="shared" si="39"/>
        <v>0</v>
      </c>
      <c r="AA172" s="122">
        <f t="shared" si="39"/>
        <v>0</v>
      </c>
      <c r="AB172" s="122">
        <f t="shared" si="39"/>
        <v>0</v>
      </c>
      <c r="AC172" s="122">
        <f t="shared" si="39"/>
        <v>0</v>
      </c>
      <c r="AD172" s="122">
        <f t="shared" si="39"/>
        <v>0</v>
      </c>
      <c r="AE172" s="122">
        <f t="shared" si="39"/>
        <v>0</v>
      </c>
      <c r="AF172" s="122">
        <f t="shared" si="39"/>
        <v>0</v>
      </c>
      <c r="AG172" s="122">
        <f t="shared" si="39"/>
        <v>0</v>
      </c>
      <c r="AH172" s="122">
        <f t="shared" si="39"/>
        <v>0</v>
      </c>
      <c r="AM172" s="159"/>
      <c r="AY172" s="256"/>
      <c r="AZ172" s="256"/>
      <c r="BA172" s="256"/>
      <c r="BB172" s="256"/>
      <c r="BC172" s="256"/>
      <c r="BD172" s="256"/>
      <c r="BE172" s="256"/>
      <c r="BF172" s="256"/>
      <c r="BG172" s="256"/>
      <c r="BH172" s="256"/>
      <c r="BI172" s="256"/>
      <c r="BJ172" s="256"/>
      <c r="BK172" s="256"/>
      <c r="BL172" s="256"/>
      <c r="BM172" s="256"/>
      <c r="BN172" s="256"/>
      <c r="BO172" s="256"/>
      <c r="BP172" s="256"/>
      <c r="BQ172" s="256"/>
      <c r="BR172" s="256"/>
      <c r="BS172" s="256"/>
      <c r="BT172" s="256"/>
      <c r="BU172" s="256"/>
      <c r="BV172" s="256"/>
      <c r="BW172" s="256"/>
      <c r="BX172" s="256"/>
      <c r="BY172" s="256"/>
      <c r="BZ172" s="256"/>
      <c r="CA172" s="256"/>
      <c r="CB172" s="256"/>
      <c r="CC172" s="256"/>
      <c r="CD172" s="256"/>
      <c r="CE172" s="256"/>
      <c r="CF172" s="256"/>
      <c r="CG172" s="256"/>
      <c r="CH172" s="256"/>
      <c r="CI172" s="256"/>
      <c r="CJ172" s="256"/>
      <c r="CK172" s="256"/>
      <c r="CL172" s="256"/>
      <c r="CM172" s="256"/>
      <c r="CN172" s="256"/>
      <c r="CO172" s="256"/>
      <c r="CP172" s="256"/>
      <c r="CQ172" s="256"/>
      <c r="CR172" s="256"/>
      <c r="CS172" s="256"/>
      <c r="CT172" s="256"/>
      <c r="CU172" s="256"/>
      <c r="CV172" s="256"/>
      <c r="CW172" s="256"/>
      <c r="CX172" s="256"/>
      <c r="CY172" s="256"/>
      <c r="CZ172" s="256"/>
      <c r="DA172" s="256"/>
      <c r="DB172" s="256"/>
      <c r="DC172" s="256"/>
      <c r="DD172" s="256"/>
      <c r="DE172" s="256"/>
      <c r="DF172" s="256"/>
      <c r="DG172" s="256"/>
      <c r="DH172" s="256"/>
      <c r="DI172" s="256"/>
      <c r="DJ172" s="256"/>
      <c r="DK172" s="256"/>
      <c r="DL172" s="256"/>
      <c r="DM172" s="256"/>
      <c r="DN172" s="256"/>
      <c r="DO172" s="256"/>
      <c r="DP172" s="256"/>
      <c r="DQ172" s="256"/>
      <c r="DR172" s="256"/>
      <c r="DS172" s="256"/>
      <c r="DT172" s="256"/>
      <c r="DU172" s="256"/>
      <c r="DV172" s="256"/>
      <c r="DW172" s="256"/>
      <c r="DX172" s="256"/>
      <c r="DY172" s="256"/>
      <c r="DZ172" s="256"/>
      <c r="EA172" s="256"/>
      <c r="EB172" s="256"/>
      <c r="EC172" s="256"/>
      <c r="ED172" s="256"/>
      <c r="EE172" s="256"/>
      <c r="EF172" s="256"/>
      <c r="EG172" s="256"/>
      <c r="EH172" s="256"/>
      <c r="EI172" s="256"/>
      <c r="EJ172" s="256"/>
      <c r="EK172" s="256"/>
      <c r="EL172" s="256"/>
      <c r="EM172" s="256"/>
      <c r="EN172" s="256"/>
      <c r="EO172" s="256"/>
      <c r="EP172" s="256"/>
      <c r="EQ172" s="256"/>
      <c r="ER172" s="256"/>
      <c r="ES172" s="256"/>
      <c r="ET172" s="256"/>
      <c r="EU172" s="256"/>
      <c r="EV172" s="256"/>
      <c r="EW172" s="256"/>
      <c r="EX172" s="256"/>
      <c r="EY172" s="256"/>
      <c r="EZ172" s="256"/>
      <c r="FA172" s="256"/>
      <c r="FB172" s="256"/>
      <c r="FC172" s="256"/>
      <c r="FD172" s="256"/>
      <c r="FE172" s="256"/>
      <c r="FF172" s="256"/>
      <c r="FG172" s="256"/>
      <c r="FH172" s="256"/>
      <c r="FI172" s="256"/>
      <c r="FJ172" s="256"/>
      <c r="FK172" s="256"/>
      <c r="FL172" s="256"/>
      <c r="FM172" s="256"/>
      <c r="FN172" s="256"/>
      <c r="FO172" s="256"/>
      <c r="FP172" s="256"/>
      <c r="FQ172" s="256"/>
      <c r="FR172" s="256"/>
      <c r="FS172" s="256"/>
      <c r="FT172" s="256"/>
      <c r="FU172" s="256"/>
      <c r="FV172" s="256"/>
      <c r="FW172" s="256"/>
      <c r="FX172" s="256"/>
      <c r="FY172" s="256"/>
      <c r="FZ172" s="256"/>
      <c r="GA172" s="256"/>
      <c r="GB172" s="256"/>
      <c r="GC172" s="256"/>
      <c r="GD172" s="256"/>
      <c r="GE172" s="256"/>
      <c r="GF172" s="256"/>
      <c r="GG172" s="256"/>
      <c r="GH172" s="256"/>
      <c r="GI172" s="256"/>
      <c r="GJ172" s="256"/>
      <c r="GK172" s="256"/>
      <c r="GL172" s="256"/>
      <c r="GM172" s="256"/>
      <c r="GN172" s="256"/>
      <c r="GO172" s="256"/>
      <c r="GP172" s="256"/>
      <c r="GQ172" s="256"/>
      <c r="GR172" s="256"/>
      <c r="GS172" s="256"/>
      <c r="GT172" s="256"/>
      <c r="GU172" s="256"/>
      <c r="GV172" s="256"/>
      <c r="GW172" s="256"/>
      <c r="GX172" s="256"/>
      <c r="GY172" s="256"/>
      <c r="GZ172" s="256"/>
      <c r="HA172" s="256"/>
      <c r="HB172" s="256"/>
      <c r="HC172" s="256"/>
      <c r="HD172" s="256"/>
      <c r="HE172" s="256"/>
      <c r="HF172" s="256"/>
      <c r="HG172" s="256"/>
      <c r="HH172" s="256"/>
      <c r="HI172" s="256"/>
      <c r="HJ172" s="256"/>
      <c r="HK172" s="256"/>
      <c r="HL172" s="256"/>
      <c r="HM172" s="256"/>
      <c r="HN172" s="256"/>
      <c r="HO172" s="256"/>
      <c r="HP172" s="256"/>
      <c r="HQ172" s="256"/>
      <c r="HR172" s="256"/>
      <c r="HS172" s="256"/>
      <c r="HT172" s="256"/>
      <c r="HU172" s="256"/>
      <c r="HV172" s="256"/>
      <c r="HW172" s="256"/>
      <c r="HX172" s="256"/>
      <c r="HY172" s="256"/>
      <c r="HZ172" s="256"/>
      <c r="IA172" s="256"/>
      <c r="IB172" s="256"/>
      <c r="IC172" s="256"/>
      <c r="ID172" s="256"/>
      <c r="IE172" s="256"/>
      <c r="IF172" s="256"/>
      <c r="IG172" s="256"/>
      <c r="IH172" s="256"/>
      <c r="II172" s="256"/>
      <c r="IJ172" s="256"/>
      <c r="IK172" s="256"/>
      <c r="IL172" s="256"/>
    </row>
    <row r="173" spans="1:246" s="122" customFormat="1" x14ac:dyDescent="0.35">
      <c r="A173" s="167" t="s">
        <v>944</v>
      </c>
      <c r="B173" s="122">
        <f t="shared" ref="B173:AH173" si="40">((B168-B169-B170+((Tax_Rate)*(B168-B169-B170-B171-B172))))</f>
        <v>0</v>
      </c>
      <c r="C173" s="122">
        <f t="shared" si="40"/>
        <v>0</v>
      </c>
      <c r="D173" s="122">
        <f t="shared" si="40"/>
        <v>0</v>
      </c>
      <c r="E173" s="122">
        <f t="shared" si="40"/>
        <v>-106676634.23689885</v>
      </c>
      <c r="F173" s="122">
        <f t="shared" si="40"/>
        <v>-124114532.46935597</v>
      </c>
      <c r="G173" s="122">
        <f t="shared" si="40"/>
        <v>-118613707.5832651</v>
      </c>
      <c r="H173" s="122">
        <f t="shared" si="40"/>
        <v>-114667396.38558096</v>
      </c>
      <c r="I173" s="122">
        <f t="shared" si="40"/>
        <v>-111841210.37363984</v>
      </c>
      <c r="J173" s="122">
        <f t="shared" si="40"/>
        <v>-111768427.82963201</v>
      </c>
      <c r="K173" s="122">
        <f t="shared" si="40"/>
        <v>-111715837.57427152</v>
      </c>
      <c r="L173" s="122">
        <f t="shared" si="40"/>
        <v>-108200144.69293442</v>
      </c>
      <c r="M173" s="122">
        <f t="shared" si="40"/>
        <v>-104738694.37800162</v>
      </c>
      <c r="N173" s="122">
        <f t="shared" si="40"/>
        <v>-104738542.41097207</v>
      </c>
      <c r="O173" s="122">
        <f t="shared" si="40"/>
        <v>-72800125.956551641</v>
      </c>
      <c r="P173" s="122">
        <f t="shared" si="40"/>
        <v>-72799973.989522099</v>
      </c>
      <c r="Q173" s="122">
        <f t="shared" si="40"/>
        <v>-72800125.956551641</v>
      </c>
      <c r="R173" s="122">
        <f t="shared" si="40"/>
        <v>-72799973.989522099</v>
      </c>
      <c r="S173" s="122">
        <f t="shared" si="40"/>
        <v>-72800125.956551641</v>
      </c>
      <c r="T173" s="122">
        <f t="shared" si="40"/>
        <v>-72799973.989522099</v>
      </c>
      <c r="U173" s="122">
        <f t="shared" si="40"/>
        <v>-72800125.956551641</v>
      </c>
      <c r="V173" s="122">
        <f t="shared" si="40"/>
        <v>-72799973.989522099</v>
      </c>
      <c r="W173" s="122">
        <f t="shared" si="40"/>
        <v>-72800125.956551641</v>
      </c>
      <c r="X173" s="122">
        <f t="shared" si="40"/>
        <v>-72799973.989522099</v>
      </c>
      <c r="Y173" s="122">
        <f t="shared" si="40"/>
        <v>-72461087.513653785</v>
      </c>
      <c r="Z173" s="122">
        <f t="shared" si="40"/>
        <v>-72122049.070755929</v>
      </c>
      <c r="AA173" s="122">
        <f t="shared" si="40"/>
        <v>-72122049.070755929</v>
      </c>
      <c r="AB173" s="122">
        <f t="shared" si="40"/>
        <v>-72122049.070755929</v>
      </c>
      <c r="AC173" s="122">
        <f t="shared" si="40"/>
        <v>-72122049.070755929</v>
      </c>
      <c r="AD173" s="122">
        <f t="shared" si="40"/>
        <v>-72122049.070755929</v>
      </c>
      <c r="AE173" s="122">
        <f t="shared" si="40"/>
        <v>-72122049.070755929</v>
      </c>
      <c r="AF173" s="122">
        <f t="shared" si="40"/>
        <v>-72122049.070755929</v>
      </c>
      <c r="AG173" s="122">
        <f t="shared" si="40"/>
        <v>-72122049.070755929</v>
      </c>
      <c r="AH173" s="122">
        <f t="shared" si="40"/>
        <v>-72122049.070755929</v>
      </c>
      <c r="AM173" s="159"/>
      <c r="AY173" s="256"/>
      <c r="AZ173" s="256"/>
      <c r="BA173" s="256"/>
      <c r="BB173" s="256"/>
      <c r="BC173" s="256"/>
      <c r="BD173" s="256"/>
      <c r="BE173" s="256"/>
      <c r="BF173" s="256"/>
      <c r="BG173" s="256"/>
      <c r="BH173" s="256"/>
      <c r="BI173" s="256"/>
      <c r="BJ173" s="256"/>
      <c r="BK173" s="256"/>
      <c r="BL173" s="256"/>
      <c r="BM173" s="256"/>
      <c r="BN173" s="256"/>
      <c r="BO173" s="256"/>
      <c r="BP173" s="256"/>
      <c r="BQ173" s="256"/>
      <c r="BR173" s="256"/>
      <c r="BS173" s="256"/>
      <c r="BT173" s="256"/>
      <c r="BU173" s="256"/>
      <c r="BV173" s="256"/>
      <c r="BW173" s="256"/>
      <c r="BX173" s="256"/>
      <c r="BY173" s="256"/>
      <c r="BZ173" s="256"/>
      <c r="CA173" s="256"/>
      <c r="CB173" s="256"/>
      <c r="CC173" s="256"/>
      <c r="CD173" s="256"/>
      <c r="CE173" s="256"/>
      <c r="CF173" s="256"/>
      <c r="CG173" s="256"/>
      <c r="CH173" s="256"/>
      <c r="CI173" s="256"/>
      <c r="CJ173" s="256"/>
      <c r="CK173" s="256"/>
      <c r="CL173" s="256"/>
      <c r="CM173" s="256"/>
      <c r="CN173" s="256"/>
      <c r="CO173" s="256"/>
      <c r="CP173" s="256"/>
      <c r="CQ173" s="256"/>
      <c r="CR173" s="256"/>
      <c r="CS173" s="256"/>
      <c r="CT173" s="256"/>
      <c r="CU173" s="256"/>
      <c r="CV173" s="256"/>
      <c r="CW173" s="256"/>
      <c r="CX173" s="256"/>
      <c r="CY173" s="256"/>
      <c r="CZ173" s="256"/>
      <c r="DA173" s="256"/>
      <c r="DB173" s="256"/>
      <c r="DC173" s="256"/>
      <c r="DD173" s="256"/>
      <c r="DE173" s="256"/>
      <c r="DF173" s="256"/>
      <c r="DG173" s="256"/>
      <c r="DH173" s="256"/>
      <c r="DI173" s="256"/>
      <c r="DJ173" s="256"/>
      <c r="DK173" s="256"/>
      <c r="DL173" s="256"/>
      <c r="DM173" s="256"/>
      <c r="DN173" s="256"/>
      <c r="DO173" s="256"/>
      <c r="DP173" s="256"/>
      <c r="DQ173" s="256"/>
      <c r="DR173" s="256"/>
      <c r="DS173" s="256"/>
      <c r="DT173" s="256"/>
      <c r="DU173" s="256"/>
      <c r="DV173" s="256"/>
      <c r="DW173" s="256"/>
      <c r="DX173" s="256"/>
      <c r="DY173" s="256"/>
      <c r="DZ173" s="256"/>
      <c r="EA173" s="256"/>
      <c r="EB173" s="256"/>
      <c r="EC173" s="256"/>
      <c r="ED173" s="256"/>
      <c r="EE173" s="256"/>
      <c r="EF173" s="256"/>
      <c r="EG173" s="256"/>
      <c r="EH173" s="256"/>
      <c r="EI173" s="256"/>
      <c r="EJ173" s="256"/>
      <c r="EK173" s="256"/>
      <c r="EL173" s="256"/>
      <c r="EM173" s="256"/>
      <c r="EN173" s="256"/>
      <c r="EO173" s="256"/>
      <c r="EP173" s="256"/>
      <c r="EQ173" s="256"/>
      <c r="ER173" s="256"/>
      <c r="ES173" s="256"/>
      <c r="ET173" s="256"/>
      <c r="EU173" s="256"/>
      <c r="EV173" s="256"/>
      <c r="EW173" s="256"/>
      <c r="EX173" s="256"/>
      <c r="EY173" s="256"/>
      <c r="EZ173" s="256"/>
      <c r="FA173" s="256"/>
      <c r="FB173" s="256"/>
      <c r="FC173" s="256"/>
      <c r="FD173" s="256"/>
      <c r="FE173" s="256"/>
      <c r="FF173" s="256"/>
      <c r="FG173" s="256"/>
      <c r="FH173" s="256"/>
      <c r="FI173" s="256"/>
      <c r="FJ173" s="256"/>
      <c r="FK173" s="256"/>
      <c r="FL173" s="256"/>
      <c r="FM173" s="256"/>
      <c r="FN173" s="256"/>
      <c r="FO173" s="256"/>
      <c r="FP173" s="256"/>
      <c r="FQ173" s="256"/>
      <c r="FR173" s="256"/>
      <c r="FS173" s="256"/>
      <c r="FT173" s="256"/>
      <c r="FU173" s="256"/>
      <c r="FV173" s="256"/>
      <c r="FW173" s="256"/>
      <c r="FX173" s="256"/>
      <c r="FY173" s="256"/>
      <c r="FZ173" s="256"/>
      <c r="GA173" s="256"/>
      <c r="GB173" s="256"/>
      <c r="GC173" s="256"/>
      <c r="GD173" s="256"/>
      <c r="GE173" s="256"/>
      <c r="GF173" s="256"/>
      <c r="GG173" s="256"/>
      <c r="GH173" s="256"/>
      <c r="GI173" s="256"/>
      <c r="GJ173" s="256"/>
      <c r="GK173" s="256"/>
      <c r="GL173" s="256"/>
      <c r="GM173" s="256"/>
      <c r="GN173" s="256"/>
      <c r="GO173" s="256"/>
      <c r="GP173" s="256"/>
      <c r="GQ173" s="256"/>
      <c r="GR173" s="256"/>
      <c r="GS173" s="256"/>
      <c r="GT173" s="256"/>
      <c r="GU173" s="256"/>
      <c r="GV173" s="256"/>
      <c r="GW173" s="256"/>
      <c r="GX173" s="256"/>
      <c r="GY173" s="256"/>
      <c r="GZ173" s="256"/>
      <c r="HA173" s="256"/>
      <c r="HB173" s="256"/>
      <c r="HC173" s="256"/>
      <c r="HD173" s="256"/>
      <c r="HE173" s="256"/>
      <c r="HF173" s="256"/>
      <c r="HG173" s="256"/>
      <c r="HH173" s="256"/>
      <c r="HI173" s="256"/>
      <c r="HJ173" s="256"/>
      <c r="HK173" s="256"/>
      <c r="HL173" s="256"/>
      <c r="HM173" s="256"/>
      <c r="HN173" s="256"/>
      <c r="HO173" s="256"/>
      <c r="HP173" s="256"/>
      <c r="HQ173" s="256"/>
      <c r="HR173" s="256"/>
      <c r="HS173" s="256"/>
      <c r="HT173" s="256"/>
      <c r="HU173" s="256"/>
      <c r="HV173" s="256"/>
      <c r="HW173" s="256"/>
      <c r="HX173" s="256"/>
      <c r="HY173" s="256"/>
      <c r="HZ173" s="256"/>
      <c r="IA173" s="256"/>
      <c r="IB173" s="256"/>
      <c r="IC173" s="256"/>
      <c r="ID173" s="256"/>
      <c r="IE173" s="256"/>
      <c r="IF173" s="256"/>
      <c r="IG173" s="256"/>
      <c r="IH173" s="256"/>
      <c r="II173" s="256"/>
      <c r="IJ173" s="256"/>
      <c r="IK173" s="256"/>
      <c r="IL173" s="256"/>
    </row>
    <row r="174" spans="1:246" s="122" customFormat="1" x14ac:dyDescent="0.35">
      <c r="A174" s="167" t="s">
        <v>945</v>
      </c>
      <c r="B174" s="122">
        <f>B173*B163</f>
        <v>0</v>
      </c>
      <c r="C174" s="122">
        <f t="shared" ref="C174:AH174" si="41">C173*C163</f>
        <v>0</v>
      </c>
      <c r="D174" s="122">
        <f t="shared" si="41"/>
        <v>0</v>
      </c>
      <c r="E174" s="122">
        <f t="shared" si="41"/>
        <v>-96978758.397180781</v>
      </c>
      <c r="F174" s="122">
        <f t="shared" si="41"/>
        <v>-102573993.77632724</v>
      </c>
      <c r="G174" s="122">
        <f t="shared" si="41"/>
        <v>-89116234.09711875</v>
      </c>
      <c r="H174" s="122">
        <f t="shared" si="41"/>
        <v>-78319374.623031855</v>
      </c>
      <c r="I174" s="122">
        <f t="shared" si="41"/>
        <v>-69444592.317737728</v>
      </c>
      <c r="J174" s="122">
        <f t="shared" si="41"/>
        <v>-63090363.712924346</v>
      </c>
      <c r="K174" s="122">
        <f t="shared" si="41"/>
        <v>-57327888.986180417</v>
      </c>
      <c r="L174" s="122">
        <f t="shared" si="41"/>
        <v>-50476166.039014898</v>
      </c>
      <c r="M174" s="122">
        <f t="shared" si="41"/>
        <v>-44419430.837154031</v>
      </c>
      <c r="N174" s="122">
        <f t="shared" si="41"/>
        <v>-40381242.171180665</v>
      </c>
      <c r="O174" s="122">
        <f t="shared" si="41"/>
        <v>-25516000.029248301</v>
      </c>
      <c r="P174" s="122">
        <f t="shared" si="41"/>
        <v>-23196315.241574116</v>
      </c>
      <c r="Q174" s="122">
        <f t="shared" si="41"/>
        <v>-21087603.329957277</v>
      </c>
      <c r="R174" s="122">
        <f t="shared" si="41"/>
        <v>-19170508.464110833</v>
      </c>
      <c r="S174" s="122">
        <f t="shared" si="41"/>
        <v>-17427771.347072124</v>
      </c>
      <c r="T174" s="122">
        <f t="shared" si="41"/>
        <v>-15843395.424884986</v>
      </c>
      <c r="U174" s="122">
        <f t="shared" si="41"/>
        <v>-14403116.815762086</v>
      </c>
      <c r="V174" s="122">
        <f t="shared" si="41"/>
        <v>-13093715.227177672</v>
      </c>
      <c r="W174" s="122">
        <f t="shared" si="41"/>
        <v>-11903402.3270761</v>
      </c>
      <c r="X174" s="122">
        <f t="shared" si="41"/>
        <v>-10821252.253865844</v>
      </c>
      <c r="Y174" s="122">
        <f t="shared" si="41"/>
        <v>-9791708.1260040551</v>
      </c>
      <c r="Z174" s="122">
        <f t="shared" si="41"/>
        <v>-8859903.3342251778</v>
      </c>
      <c r="AA174" s="122">
        <f t="shared" si="41"/>
        <v>-8054457.5765683427</v>
      </c>
      <c r="AB174" s="122">
        <f t="shared" si="41"/>
        <v>-7322234.1605166765</v>
      </c>
      <c r="AC174" s="122">
        <f t="shared" si="41"/>
        <v>-6656576.509560613</v>
      </c>
      <c r="AD174" s="122">
        <f t="shared" si="41"/>
        <v>-6051433.1905096481</v>
      </c>
      <c r="AE174" s="122">
        <f t="shared" si="41"/>
        <v>-5501302.9004633157</v>
      </c>
      <c r="AF174" s="122">
        <f t="shared" si="41"/>
        <v>-5001184.4549666503</v>
      </c>
      <c r="AG174" s="122">
        <f t="shared" si="41"/>
        <v>-4546531.3226969549</v>
      </c>
      <c r="AH174" s="122">
        <f t="shared" si="41"/>
        <v>-4133210.2933608675</v>
      </c>
      <c r="AM174" s="159"/>
      <c r="AY174" s="256"/>
      <c r="AZ174" s="256"/>
      <c r="BA174" s="256"/>
      <c r="BB174" s="256"/>
      <c r="BC174" s="256"/>
      <c r="BD174" s="256"/>
      <c r="BE174" s="256"/>
      <c r="BF174" s="256"/>
      <c r="BG174" s="256"/>
      <c r="BH174" s="256"/>
      <c r="BI174" s="256"/>
      <c r="BJ174" s="256"/>
      <c r="BK174" s="256"/>
      <c r="BL174" s="256"/>
      <c r="BM174" s="256"/>
      <c r="BN174" s="256"/>
      <c r="BO174" s="256"/>
      <c r="BP174" s="256"/>
      <c r="BQ174" s="256"/>
      <c r="BR174" s="256"/>
      <c r="BS174" s="256"/>
      <c r="BT174" s="256"/>
      <c r="BU174" s="256"/>
      <c r="BV174" s="256"/>
      <c r="BW174" s="256"/>
      <c r="BX174" s="256"/>
      <c r="BY174" s="256"/>
      <c r="BZ174" s="256"/>
      <c r="CA174" s="256"/>
      <c r="CB174" s="256"/>
      <c r="CC174" s="256"/>
      <c r="CD174" s="256"/>
      <c r="CE174" s="256"/>
      <c r="CF174" s="256"/>
      <c r="CG174" s="256"/>
      <c r="CH174" s="256"/>
      <c r="CI174" s="256"/>
      <c r="CJ174" s="256"/>
      <c r="CK174" s="256"/>
      <c r="CL174" s="256"/>
      <c r="CM174" s="256"/>
      <c r="CN174" s="256"/>
      <c r="CO174" s="256"/>
      <c r="CP174" s="256"/>
      <c r="CQ174" s="256"/>
      <c r="CR174" s="256"/>
      <c r="CS174" s="256"/>
      <c r="CT174" s="256"/>
      <c r="CU174" s="256"/>
      <c r="CV174" s="256"/>
      <c r="CW174" s="256"/>
      <c r="CX174" s="256"/>
      <c r="CY174" s="256"/>
      <c r="CZ174" s="256"/>
      <c r="DA174" s="256"/>
      <c r="DB174" s="256"/>
      <c r="DC174" s="256"/>
      <c r="DD174" s="256"/>
      <c r="DE174" s="256"/>
      <c r="DF174" s="256"/>
      <c r="DG174" s="256"/>
      <c r="DH174" s="256"/>
      <c r="DI174" s="256"/>
      <c r="DJ174" s="256"/>
      <c r="DK174" s="256"/>
      <c r="DL174" s="256"/>
      <c r="DM174" s="256"/>
      <c r="DN174" s="256"/>
      <c r="DO174" s="256"/>
      <c r="DP174" s="256"/>
      <c r="DQ174" s="256"/>
      <c r="DR174" s="256"/>
      <c r="DS174" s="256"/>
      <c r="DT174" s="256"/>
      <c r="DU174" s="256"/>
      <c r="DV174" s="256"/>
      <c r="DW174" s="256"/>
      <c r="DX174" s="256"/>
      <c r="DY174" s="256"/>
      <c r="DZ174" s="256"/>
      <c r="EA174" s="256"/>
      <c r="EB174" s="256"/>
      <c r="EC174" s="256"/>
      <c r="ED174" s="256"/>
      <c r="EE174" s="256"/>
      <c r="EF174" s="256"/>
      <c r="EG174" s="256"/>
      <c r="EH174" s="256"/>
      <c r="EI174" s="256"/>
      <c r="EJ174" s="256"/>
      <c r="EK174" s="256"/>
      <c r="EL174" s="256"/>
      <c r="EM174" s="256"/>
      <c r="EN174" s="256"/>
      <c r="EO174" s="256"/>
      <c r="EP174" s="256"/>
      <c r="EQ174" s="256"/>
      <c r="ER174" s="256"/>
      <c r="ES174" s="256"/>
      <c r="ET174" s="256"/>
      <c r="EU174" s="256"/>
      <c r="EV174" s="256"/>
      <c r="EW174" s="256"/>
      <c r="EX174" s="256"/>
      <c r="EY174" s="256"/>
      <c r="EZ174" s="256"/>
      <c r="FA174" s="256"/>
      <c r="FB174" s="256"/>
      <c r="FC174" s="256"/>
      <c r="FD174" s="256"/>
      <c r="FE174" s="256"/>
      <c r="FF174" s="256"/>
      <c r="FG174" s="256"/>
      <c r="FH174" s="256"/>
      <c r="FI174" s="256"/>
      <c r="FJ174" s="256"/>
      <c r="FK174" s="256"/>
      <c r="FL174" s="256"/>
      <c r="FM174" s="256"/>
      <c r="FN174" s="256"/>
      <c r="FO174" s="256"/>
      <c r="FP174" s="256"/>
      <c r="FQ174" s="256"/>
      <c r="FR174" s="256"/>
      <c r="FS174" s="256"/>
      <c r="FT174" s="256"/>
      <c r="FU174" s="256"/>
      <c r="FV174" s="256"/>
      <c r="FW174" s="256"/>
      <c r="FX174" s="256"/>
      <c r="FY174" s="256"/>
      <c r="FZ174" s="256"/>
      <c r="GA174" s="256"/>
      <c r="GB174" s="256"/>
      <c r="GC174" s="256"/>
      <c r="GD174" s="256"/>
      <c r="GE174" s="256"/>
      <c r="GF174" s="256"/>
      <c r="GG174" s="256"/>
      <c r="GH174" s="256"/>
      <c r="GI174" s="256"/>
      <c r="GJ174" s="256"/>
      <c r="GK174" s="256"/>
      <c r="GL174" s="256"/>
      <c r="GM174" s="256"/>
      <c r="GN174" s="256"/>
      <c r="GO174" s="256"/>
      <c r="GP174" s="256"/>
      <c r="GQ174" s="256"/>
      <c r="GR174" s="256"/>
      <c r="GS174" s="256"/>
      <c r="GT174" s="256"/>
      <c r="GU174" s="256"/>
      <c r="GV174" s="256"/>
      <c r="GW174" s="256"/>
      <c r="GX174" s="256"/>
      <c r="GY174" s="256"/>
      <c r="GZ174" s="256"/>
      <c r="HA174" s="256"/>
      <c r="HB174" s="256"/>
      <c r="HC174" s="256"/>
      <c r="HD174" s="256"/>
      <c r="HE174" s="256"/>
      <c r="HF174" s="256"/>
      <c r="HG174" s="256"/>
      <c r="HH174" s="256"/>
      <c r="HI174" s="256"/>
      <c r="HJ174" s="256"/>
      <c r="HK174" s="256"/>
      <c r="HL174" s="256"/>
      <c r="HM174" s="256"/>
      <c r="HN174" s="256"/>
      <c r="HO174" s="256"/>
      <c r="HP174" s="256"/>
      <c r="HQ174" s="256"/>
      <c r="HR174" s="256"/>
      <c r="HS174" s="256"/>
      <c r="HT174" s="256"/>
      <c r="HU174" s="256"/>
      <c r="HV174" s="256"/>
      <c r="HW174" s="256"/>
      <c r="HX174" s="256"/>
      <c r="HY174" s="256"/>
      <c r="HZ174" s="256"/>
      <c r="IA174" s="256"/>
      <c r="IB174" s="256"/>
      <c r="IC174" s="256"/>
      <c r="ID174" s="256"/>
      <c r="IE174" s="256"/>
      <c r="IF174" s="256"/>
      <c r="IG174" s="256"/>
      <c r="IH174" s="256"/>
      <c r="II174" s="256"/>
      <c r="IJ174" s="256"/>
      <c r="IK174" s="256"/>
      <c r="IL174" s="256"/>
    </row>
    <row r="175" spans="1:246" s="122" customFormat="1" x14ac:dyDescent="0.35">
      <c r="A175" s="167" t="s">
        <v>946</v>
      </c>
      <c r="B175" s="122">
        <f>SUM(B174:AH174)</f>
        <v>-930509667.28745234</v>
      </c>
      <c r="AM175" s="159"/>
      <c r="AY175" s="256"/>
      <c r="AZ175" s="256"/>
      <c r="BA175" s="256"/>
      <c r="BB175" s="256"/>
      <c r="BC175" s="256"/>
      <c r="BD175" s="256"/>
      <c r="BE175" s="256"/>
      <c r="BF175" s="256"/>
      <c r="BG175" s="256"/>
      <c r="BH175" s="256"/>
      <c r="BI175" s="256"/>
      <c r="BJ175" s="256"/>
      <c r="BK175" s="256"/>
      <c r="BL175" s="256"/>
      <c r="BM175" s="256"/>
      <c r="BN175" s="256"/>
      <c r="BO175" s="256"/>
      <c r="BP175" s="256"/>
      <c r="BQ175" s="256"/>
      <c r="BR175" s="256"/>
      <c r="BS175" s="256"/>
      <c r="BT175" s="256"/>
      <c r="BU175" s="256"/>
      <c r="BV175" s="256"/>
      <c r="BW175" s="256"/>
      <c r="BX175" s="256"/>
      <c r="BY175" s="256"/>
      <c r="BZ175" s="256"/>
      <c r="CA175" s="256"/>
      <c r="CB175" s="256"/>
      <c r="CC175" s="256"/>
      <c r="CD175" s="256"/>
      <c r="CE175" s="256"/>
      <c r="CF175" s="256"/>
      <c r="CG175" s="256"/>
      <c r="CH175" s="256"/>
      <c r="CI175" s="256"/>
      <c r="CJ175" s="256"/>
      <c r="CK175" s="256"/>
      <c r="CL175" s="256"/>
      <c r="CM175" s="256"/>
      <c r="CN175" s="256"/>
      <c r="CO175" s="256"/>
      <c r="CP175" s="256"/>
      <c r="CQ175" s="256"/>
      <c r="CR175" s="256"/>
      <c r="CS175" s="256"/>
      <c r="CT175" s="256"/>
      <c r="CU175" s="256"/>
      <c r="CV175" s="256"/>
      <c r="CW175" s="256"/>
      <c r="CX175" s="256"/>
      <c r="CY175" s="256"/>
      <c r="CZ175" s="256"/>
      <c r="DA175" s="256"/>
      <c r="DB175" s="256"/>
      <c r="DC175" s="256"/>
      <c r="DD175" s="256"/>
      <c r="DE175" s="256"/>
      <c r="DF175" s="256"/>
      <c r="DG175" s="256"/>
      <c r="DH175" s="256"/>
      <c r="DI175" s="256"/>
      <c r="DJ175" s="256"/>
      <c r="DK175" s="256"/>
      <c r="DL175" s="256"/>
      <c r="DM175" s="256"/>
      <c r="DN175" s="256"/>
      <c r="DO175" s="256"/>
      <c r="DP175" s="256"/>
      <c r="DQ175" s="256"/>
      <c r="DR175" s="256"/>
      <c r="DS175" s="256"/>
      <c r="DT175" s="256"/>
      <c r="DU175" s="256"/>
      <c r="DV175" s="256"/>
      <c r="DW175" s="256"/>
      <c r="DX175" s="256"/>
      <c r="DY175" s="256"/>
      <c r="DZ175" s="256"/>
      <c r="EA175" s="256"/>
      <c r="EB175" s="256"/>
      <c r="EC175" s="256"/>
      <c r="ED175" s="256"/>
      <c r="EE175" s="256"/>
      <c r="EF175" s="256"/>
      <c r="EG175" s="256"/>
      <c r="EH175" s="256"/>
      <c r="EI175" s="256"/>
      <c r="EJ175" s="256"/>
      <c r="EK175" s="256"/>
      <c r="EL175" s="256"/>
      <c r="EM175" s="256"/>
      <c r="EN175" s="256"/>
      <c r="EO175" s="256"/>
      <c r="EP175" s="256"/>
      <c r="EQ175" s="256"/>
      <c r="ER175" s="256"/>
      <c r="ES175" s="256"/>
      <c r="ET175" s="256"/>
      <c r="EU175" s="256"/>
      <c r="EV175" s="256"/>
      <c r="EW175" s="256"/>
      <c r="EX175" s="256"/>
      <c r="EY175" s="256"/>
      <c r="EZ175" s="256"/>
      <c r="FA175" s="256"/>
      <c r="FB175" s="256"/>
      <c r="FC175" s="256"/>
      <c r="FD175" s="256"/>
      <c r="FE175" s="256"/>
      <c r="FF175" s="256"/>
      <c r="FG175" s="256"/>
      <c r="FH175" s="256"/>
      <c r="FI175" s="256"/>
      <c r="FJ175" s="256"/>
      <c r="FK175" s="256"/>
      <c r="FL175" s="256"/>
      <c r="FM175" s="256"/>
      <c r="FN175" s="256"/>
      <c r="FO175" s="256"/>
      <c r="FP175" s="256"/>
      <c r="FQ175" s="256"/>
      <c r="FR175" s="256"/>
      <c r="FS175" s="256"/>
      <c r="FT175" s="256"/>
      <c r="FU175" s="256"/>
      <c r="FV175" s="256"/>
      <c r="FW175" s="256"/>
      <c r="FX175" s="256"/>
      <c r="FY175" s="256"/>
      <c r="FZ175" s="256"/>
      <c r="GA175" s="256"/>
      <c r="GB175" s="256"/>
      <c r="GC175" s="256"/>
      <c r="GD175" s="256"/>
      <c r="GE175" s="256"/>
      <c r="GF175" s="256"/>
      <c r="GG175" s="256"/>
      <c r="GH175" s="256"/>
      <c r="GI175" s="256"/>
      <c r="GJ175" s="256"/>
      <c r="GK175" s="256"/>
      <c r="GL175" s="256"/>
      <c r="GM175" s="256"/>
      <c r="GN175" s="256"/>
      <c r="GO175" s="256"/>
      <c r="GP175" s="256"/>
      <c r="GQ175" s="256"/>
      <c r="GR175" s="256"/>
      <c r="GS175" s="256"/>
      <c r="GT175" s="256"/>
      <c r="GU175" s="256"/>
      <c r="GV175" s="256"/>
      <c r="GW175" s="256"/>
      <c r="GX175" s="256"/>
      <c r="GY175" s="256"/>
      <c r="GZ175" s="256"/>
      <c r="HA175" s="256"/>
      <c r="HB175" s="256"/>
      <c r="HC175" s="256"/>
      <c r="HD175" s="256"/>
      <c r="HE175" s="256"/>
      <c r="HF175" s="256"/>
      <c r="HG175" s="256"/>
      <c r="HH175" s="256"/>
      <c r="HI175" s="256"/>
      <c r="HJ175" s="256"/>
      <c r="HK175" s="256"/>
      <c r="HL175" s="256"/>
      <c r="HM175" s="256"/>
      <c r="HN175" s="256"/>
      <c r="HO175" s="256"/>
      <c r="HP175" s="256"/>
      <c r="HQ175" s="256"/>
      <c r="HR175" s="256"/>
      <c r="HS175" s="256"/>
      <c r="HT175" s="256"/>
      <c r="HU175" s="256"/>
      <c r="HV175" s="256"/>
      <c r="HW175" s="256"/>
      <c r="HX175" s="256"/>
      <c r="HY175" s="256"/>
      <c r="HZ175" s="256"/>
      <c r="IA175" s="256"/>
      <c r="IB175" s="256"/>
      <c r="IC175" s="256"/>
      <c r="ID175" s="256"/>
      <c r="IE175" s="256"/>
      <c r="IF175" s="256"/>
      <c r="IG175" s="256"/>
      <c r="IH175" s="256"/>
      <c r="II175" s="256"/>
      <c r="IJ175" s="256"/>
      <c r="IK175" s="256"/>
      <c r="IL175" s="256"/>
    </row>
    <row r="176" spans="1:246" x14ac:dyDescent="0.35">
      <c r="E176" s="123"/>
      <c r="F176" s="123"/>
      <c r="G176" s="123"/>
      <c r="H176" s="12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c r="DA176" s="3"/>
      <c r="DB176" s="3"/>
      <c r="DC176" s="3"/>
      <c r="DD176" s="3"/>
      <c r="DE176" s="3"/>
      <c r="DF176" s="3"/>
      <c r="DG176" s="3"/>
      <c r="DH176" s="3"/>
      <c r="DI176" s="3"/>
      <c r="DJ176" s="3"/>
      <c r="DK176" s="3"/>
      <c r="DL176" s="3"/>
      <c r="DM176" s="3"/>
      <c r="DN176" s="3"/>
      <c r="DO176" s="3"/>
      <c r="DP176" s="3"/>
      <c r="DQ176" s="3"/>
      <c r="DR176" s="3"/>
      <c r="DS176" s="3"/>
      <c r="DT176" s="3"/>
      <c r="DU176" s="3"/>
      <c r="DV176" s="3"/>
      <c r="DW176" s="3"/>
      <c r="DX176" s="3"/>
      <c r="DY176" s="3"/>
      <c r="DZ176" s="3"/>
      <c r="EA176" s="3"/>
      <c r="EB176" s="3"/>
      <c r="EC176" s="3"/>
      <c r="ED176" s="3"/>
      <c r="EE176" s="3"/>
      <c r="EF176" s="3"/>
      <c r="EG176" s="3"/>
      <c r="EH176" s="3"/>
      <c r="EI176" s="3"/>
      <c r="EJ176" s="3"/>
      <c r="EK176" s="3"/>
      <c r="EL176" s="3"/>
      <c r="EM176" s="3"/>
      <c r="EN176" s="3"/>
      <c r="EO176" s="3"/>
      <c r="EP176" s="3"/>
      <c r="EQ176" s="3"/>
      <c r="ER176" s="3"/>
      <c r="ES176" s="3"/>
      <c r="ET176" s="3"/>
      <c r="EU176" s="3"/>
      <c r="EV176" s="3"/>
      <c r="EW176" s="3"/>
      <c r="EX176" s="3"/>
      <c r="EY176" s="3"/>
      <c r="EZ176" s="3"/>
      <c r="FA176" s="3"/>
      <c r="FB176" s="3"/>
      <c r="FC176" s="3"/>
      <c r="FD176" s="3"/>
      <c r="FE176" s="3"/>
      <c r="FF176" s="3"/>
      <c r="FG176" s="3"/>
      <c r="FH176" s="3"/>
      <c r="FI176" s="3"/>
      <c r="FJ176" s="3"/>
      <c r="FK176" s="3"/>
      <c r="FL176" s="3"/>
      <c r="FM176" s="3"/>
      <c r="FN176" s="3"/>
      <c r="FO176" s="3"/>
      <c r="FP176" s="3"/>
      <c r="FQ176" s="3"/>
      <c r="FR176" s="3"/>
      <c r="FS176" s="3"/>
      <c r="FT176" s="3"/>
      <c r="FU176" s="3"/>
      <c r="FV176" s="3"/>
      <c r="FW176" s="3"/>
      <c r="FX176" s="3"/>
      <c r="FY176" s="3"/>
      <c r="FZ176" s="3"/>
      <c r="GA176" s="3"/>
      <c r="GB176" s="3"/>
      <c r="GC176" s="3"/>
      <c r="GD176" s="3"/>
      <c r="GE176" s="3"/>
      <c r="GF176" s="3"/>
      <c r="GG176" s="3"/>
      <c r="GH176" s="3"/>
      <c r="GI176" s="3"/>
      <c r="GJ176" s="3"/>
      <c r="GK176" s="3"/>
      <c r="GL176" s="3"/>
      <c r="GM176" s="3"/>
      <c r="GN176" s="3"/>
      <c r="GO176" s="3"/>
      <c r="GP176" s="3"/>
      <c r="GQ176" s="3"/>
      <c r="GR176" s="3"/>
      <c r="GS176" s="3"/>
      <c r="GT176" s="3"/>
      <c r="GU176" s="3"/>
      <c r="GV176" s="3"/>
      <c r="GW176" s="3"/>
      <c r="GX176" s="3"/>
      <c r="GY176" s="3"/>
      <c r="GZ176" s="3"/>
      <c r="HA176" s="3"/>
      <c r="HB176" s="3"/>
      <c r="HC176" s="3"/>
      <c r="HD176" s="3"/>
      <c r="HE176" s="3"/>
      <c r="HF176" s="3"/>
      <c r="HG176" s="3"/>
      <c r="HH176" s="3"/>
      <c r="HI176" s="3"/>
      <c r="HJ176" s="3"/>
      <c r="HK176" s="3"/>
      <c r="HL176" s="3"/>
      <c r="HM176" s="3"/>
      <c r="HN176" s="3"/>
      <c r="HO176" s="3"/>
      <c r="HP176" s="3"/>
      <c r="HQ176" s="3"/>
      <c r="HR176" s="3"/>
      <c r="HS176" s="3"/>
      <c r="HT176" s="3"/>
      <c r="HU176" s="3"/>
      <c r="HV176" s="3"/>
      <c r="HW176" s="3"/>
      <c r="HX176" s="3"/>
      <c r="HY176" s="3"/>
      <c r="HZ176" s="3"/>
      <c r="IA176" s="3"/>
      <c r="IB176" s="3"/>
      <c r="IC176" s="3"/>
      <c r="ID176" s="3"/>
      <c r="IE176" s="3"/>
      <c r="IF176" s="3"/>
      <c r="IG176" s="3"/>
      <c r="IH176" s="3"/>
      <c r="II176" s="3"/>
      <c r="IJ176" s="3"/>
      <c r="IK176" s="3"/>
      <c r="IL176" s="3"/>
    </row>
    <row r="177" spans="1:246" x14ac:dyDescent="0.35">
      <c r="A177" s="248" t="s">
        <v>939</v>
      </c>
      <c r="B177" s="123">
        <f>SUM(F152:H152)</f>
        <v>152854059.80811879</v>
      </c>
      <c r="E177" s="123"/>
      <c r="F177" s="123"/>
      <c r="G177" s="123"/>
      <c r="H177" s="12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c r="DA177" s="3"/>
      <c r="DB177" s="3"/>
      <c r="DC177" s="3"/>
      <c r="DD177" s="3"/>
      <c r="DE177" s="3"/>
      <c r="DF177" s="3"/>
      <c r="DG177" s="3"/>
      <c r="DH177" s="3"/>
      <c r="DI177" s="3"/>
      <c r="DJ177" s="3"/>
      <c r="DK177" s="3"/>
      <c r="DL177" s="3"/>
      <c r="DM177" s="3"/>
      <c r="DN177" s="3"/>
      <c r="DO177" s="3"/>
      <c r="DP177" s="3"/>
      <c r="DQ177" s="3"/>
      <c r="DR177" s="3"/>
      <c r="DS177" s="3"/>
      <c r="DT177" s="3"/>
      <c r="DU177" s="3"/>
      <c r="DV177" s="3"/>
      <c r="DW177" s="3"/>
      <c r="DX177" s="3"/>
      <c r="DY177" s="3"/>
      <c r="DZ177" s="3"/>
      <c r="EA177" s="3"/>
      <c r="EB177" s="3"/>
      <c r="EC177" s="3"/>
      <c r="ED177" s="3"/>
      <c r="EE177" s="3"/>
      <c r="EF177" s="3"/>
      <c r="EG177" s="3"/>
      <c r="EH177" s="3"/>
      <c r="EI177" s="3"/>
      <c r="EJ177" s="3"/>
      <c r="EK177" s="3"/>
      <c r="EL177" s="3"/>
      <c r="EM177" s="3"/>
      <c r="EN177" s="3"/>
      <c r="EO177" s="3"/>
      <c r="EP177" s="3"/>
      <c r="EQ177" s="3"/>
      <c r="ER177" s="3"/>
      <c r="ES177" s="3"/>
      <c r="ET177" s="3"/>
      <c r="EU177" s="3"/>
      <c r="EV177" s="3"/>
      <c r="EW177" s="3"/>
      <c r="EX177" s="3"/>
      <c r="EY177" s="3"/>
      <c r="EZ177" s="3"/>
      <c r="FA177" s="3"/>
      <c r="FB177" s="3"/>
      <c r="FC177" s="3"/>
      <c r="FD177" s="3"/>
      <c r="FE177" s="3"/>
      <c r="FF177" s="3"/>
      <c r="FG177" s="3"/>
      <c r="FH177" s="3"/>
      <c r="FI177" s="3"/>
      <c r="FJ177" s="3"/>
      <c r="FK177" s="3"/>
      <c r="FL177" s="3"/>
      <c r="FM177" s="3"/>
      <c r="FN177" s="3"/>
      <c r="FO177" s="3"/>
      <c r="FP177" s="3"/>
      <c r="FQ177" s="3"/>
      <c r="FR177" s="3"/>
      <c r="FS177" s="3"/>
      <c r="FT177" s="3"/>
      <c r="FU177" s="3"/>
      <c r="FV177" s="3"/>
      <c r="FW177" s="3"/>
      <c r="FX177" s="3"/>
      <c r="FY177" s="3"/>
      <c r="FZ177" s="3"/>
      <c r="GA177" s="3"/>
      <c r="GB177" s="3"/>
      <c r="GC177" s="3"/>
      <c r="GD177" s="3"/>
      <c r="GE177" s="3"/>
      <c r="GF177" s="3"/>
      <c r="GG177" s="3"/>
      <c r="GH177" s="3"/>
      <c r="GI177" s="3"/>
      <c r="GJ177" s="3"/>
      <c r="GK177" s="3"/>
      <c r="GL177" s="3"/>
      <c r="GM177" s="3"/>
      <c r="GN177" s="3"/>
      <c r="GO177" s="3"/>
      <c r="GP177" s="3"/>
      <c r="GQ177" s="3"/>
      <c r="GR177" s="3"/>
      <c r="GS177" s="3"/>
      <c r="GT177" s="3"/>
      <c r="GU177" s="3"/>
      <c r="GV177" s="3"/>
      <c r="GW177" s="3"/>
      <c r="GX177" s="3"/>
      <c r="GY177" s="3"/>
      <c r="GZ177" s="3"/>
      <c r="HA177" s="3"/>
      <c r="HB177" s="3"/>
      <c r="HC177" s="3"/>
      <c r="HD177" s="3"/>
      <c r="HE177" s="3"/>
      <c r="HF177" s="3"/>
      <c r="HG177" s="3"/>
      <c r="HH177" s="3"/>
      <c r="HI177" s="3"/>
      <c r="HJ177" s="3"/>
      <c r="HK177" s="3"/>
      <c r="HL177" s="3"/>
      <c r="HM177" s="3"/>
      <c r="HN177" s="3"/>
      <c r="HO177" s="3"/>
      <c r="HP177" s="3"/>
      <c r="HQ177" s="3"/>
      <c r="HR177" s="3"/>
      <c r="HS177" s="3"/>
      <c r="HT177" s="3"/>
      <c r="HU177" s="3"/>
      <c r="HV177" s="3"/>
      <c r="HW177" s="3"/>
      <c r="HX177" s="3"/>
      <c r="HY177" s="3"/>
      <c r="HZ177" s="3"/>
      <c r="IA177" s="3"/>
      <c r="IB177" s="3"/>
      <c r="IC177" s="3"/>
      <c r="ID177" s="3"/>
      <c r="IE177" s="3"/>
      <c r="IF177" s="3"/>
      <c r="IG177" s="3"/>
      <c r="IH177" s="3"/>
      <c r="II177" s="3"/>
      <c r="IJ177" s="3"/>
      <c r="IK177" s="3"/>
      <c r="IL177" s="3"/>
    </row>
    <row r="178" spans="1:246" x14ac:dyDescent="0.35">
      <c r="A178" s="253"/>
      <c r="B178" s="123"/>
      <c r="E178" s="123"/>
      <c r="F178" s="123"/>
      <c r="G178" s="123"/>
      <c r="H178" s="12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c r="DA178" s="3"/>
      <c r="DB178" s="3"/>
      <c r="DC178" s="3"/>
      <c r="DD178" s="3"/>
      <c r="DE178" s="3"/>
      <c r="DF178" s="3"/>
      <c r="DG178" s="3"/>
      <c r="DH178" s="3"/>
      <c r="DI178" s="3"/>
      <c r="DJ178" s="3"/>
      <c r="DK178" s="3"/>
      <c r="DL178" s="3"/>
      <c r="DM178" s="3"/>
      <c r="DN178" s="3"/>
      <c r="DO178" s="3"/>
      <c r="DP178" s="3"/>
      <c r="DQ178" s="3"/>
      <c r="DR178" s="3"/>
      <c r="DS178" s="3"/>
      <c r="DT178" s="3"/>
      <c r="DU178" s="3"/>
      <c r="DV178" s="3"/>
      <c r="DW178" s="3"/>
      <c r="DX178" s="3"/>
      <c r="DY178" s="3"/>
      <c r="DZ178" s="3"/>
      <c r="EA178" s="3"/>
      <c r="EB178" s="3"/>
      <c r="EC178" s="3"/>
      <c r="ED178" s="3"/>
      <c r="EE178" s="3"/>
      <c r="EF178" s="3"/>
      <c r="EG178" s="3"/>
      <c r="EH178" s="3"/>
      <c r="EI178" s="3"/>
      <c r="EJ178" s="3"/>
      <c r="EK178" s="3"/>
      <c r="EL178" s="3"/>
      <c r="EM178" s="3"/>
      <c r="EN178" s="3"/>
      <c r="EO178" s="3"/>
      <c r="EP178" s="3"/>
      <c r="EQ178" s="3"/>
      <c r="ER178" s="3"/>
      <c r="ES178" s="3"/>
      <c r="ET178" s="3"/>
      <c r="EU178" s="3"/>
      <c r="EV178" s="3"/>
      <c r="EW178" s="3"/>
      <c r="EX178" s="3"/>
      <c r="EY178" s="3"/>
      <c r="EZ178" s="3"/>
      <c r="FA178" s="3"/>
      <c r="FB178" s="3"/>
      <c r="FC178" s="3"/>
      <c r="FD178" s="3"/>
      <c r="FE178" s="3"/>
      <c r="FF178" s="3"/>
      <c r="FG178" s="3"/>
      <c r="FH178" s="3"/>
      <c r="FI178" s="3"/>
      <c r="FJ178" s="3"/>
      <c r="FK178" s="3"/>
      <c r="FL178" s="3"/>
      <c r="FM178" s="3"/>
      <c r="FN178" s="3"/>
      <c r="FO178" s="3"/>
      <c r="FP178" s="3"/>
      <c r="FQ178" s="3"/>
      <c r="FR178" s="3"/>
      <c r="FS178" s="3"/>
      <c r="FT178" s="3"/>
      <c r="FU178" s="3"/>
      <c r="FV178" s="3"/>
      <c r="FW178" s="3"/>
      <c r="FX178" s="3"/>
      <c r="FY178" s="3"/>
      <c r="FZ178" s="3"/>
      <c r="GA178" s="3"/>
      <c r="GB178" s="3"/>
      <c r="GC178" s="3"/>
      <c r="GD178" s="3"/>
      <c r="GE178" s="3"/>
      <c r="GF178" s="3"/>
      <c r="GG178" s="3"/>
      <c r="GH178" s="3"/>
      <c r="GI178" s="3"/>
      <c r="GJ178" s="3"/>
      <c r="GK178" s="3"/>
      <c r="GL178" s="3"/>
      <c r="GM178" s="3"/>
      <c r="GN178" s="3"/>
      <c r="GO178" s="3"/>
      <c r="GP178" s="3"/>
      <c r="GQ178" s="3"/>
      <c r="GR178" s="3"/>
      <c r="GS178" s="3"/>
      <c r="GT178" s="3"/>
      <c r="GU178" s="3"/>
      <c r="GV178" s="3"/>
      <c r="GW178" s="3"/>
      <c r="GX178" s="3"/>
      <c r="GY178" s="3"/>
      <c r="GZ178" s="3"/>
      <c r="HA178" s="3"/>
      <c r="HB178" s="3"/>
      <c r="HC178" s="3"/>
      <c r="HD178" s="3"/>
      <c r="HE178" s="3"/>
      <c r="HF178" s="3"/>
      <c r="HG178" s="3"/>
      <c r="HH178" s="3"/>
      <c r="HI178" s="3"/>
      <c r="HJ178" s="3"/>
      <c r="HK178" s="3"/>
      <c r="HL178" s="3"/>
      <c r="HM178" s="3"/>
      <c r="HN178" s="3"/>
      <c r="HO178" s="3"/>
      <c r="HP178" s="3"/>
      <c r="HQ178" s="3"/>
      <c r="HR178" s="3"/>
      <c r="HS178" s="3"/>
      <c r="HT178" s="3"/>
      <c r="HU178" s="3"/>
      <c r="HV178" s="3"/>
      <c r="HW178" s="3"/>
      <c r="HX178" s="3"/>
      <c r="HY178" s="3"/>
      <c r="HZ178" s="3"/>
      <c r="IA178" s="3"/>
      <c r="IB178" s="3"/>
      <c r="IC178" s="3"/>
      <c r="ID178" s="3"/>
      <c r="IE178" s="3"/>
      <c r="IF178" s="3"/>
      <c r="IG178" s="3"/>
      <c r="IH178" s="3"/>
      <c r="II178" s="3"/>
      <c r="IJ178" s="3"/>
      <c r="IK178" s="3"/>
      <c r="IL178" s="3"/>
    </row>
    <row r="179" spans="1:246" x14ac:dyDescent="0.35">
      <c r="A179" s="253"/>
      <c r="B179" s="123"/>
      <c r="E179" s="123"/>
      <c r="F179" s="123"/>
      <c r="G179" s="123"/>
      <c r="H179" s="12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c r="DA179" s="3"/>
      <c r="DB179" s="3"/>
      <c r="DC179" s="3"/>
      <c r="DD179" s="3"/>
      <c r="DE179" s="3"/>
      <c r="DF179" s="3"/>
      <c r="DG179" s="3"/>
      <c r="DH179" s="3"/>
      <c r="DI179" s="3"/>
      <c r="DJ179" s="3"/>
      <c r="DK179" s="3"/>
      <c r="DL179" s="3"/>
      <c r="DM179" s="3"/>
      <c r="DN179" s="3"/>
      <c r="DO179" s="3"/>
      <c r="DP179" s="3"/>
      <c r="DQ179" s="3"/>
      <c r="DR179" s="3"/>
      <c r="DS179" s="3"/>
      <c r="DT179" s="3"/>
      <c r="DU179" s="3"/>
      <c r="DV179" s="3"/>
      <c r="DW179" s="3"/>
      <c r="DX179" s="3"/>
      <c r="DY179" s="3"/>
      <c r="DZ179" s="3"/>
      <c r="EA179" s="3"/>
      <c r="EB179" s="3"/>
      <c r="EC179" s="3"/>
      <c r="ED179" s="3"/>
      <c r="EE179" s="3"/>
      <c r="EF179" s="3"/>
      <c r="EG179" s="3"/>
      <c r="EH179" s="3"/>
      <c r="EI179" s="3"/>
      <c r="EJ179" s="3"/>
      <c r="EK179" s="3"/>
      <c r="EL179" s="3"/>
      <c r="EM179" s="3"/>
      <c r="EN179" s="3"/>
      <c r="EO179" s="3"/>
      <c r="EP179" s="3"/>
      <c r="EQ179" s="3"/>
      <c r="ER179" s="3"/>
      <c r="ES179" s="3"/>
      <c r="ET179" s="3"/>
      <c r="EU179" s="3"/>
      <c r="EV179" s="3"/>
      <c r="EW179" s="3"/>
      <c r="EX179" s="3"/>
      <c r="EY179" s="3"/>
      <c r="EZ179" s="3"/>
      <c r="FA179" s="3"/>
      <c r="FB179" s="3"/>
      <c r="FC179" s="3"/>
      <c r="FD179" s="3"/>
      <c r="FE179" s="3"/>
      <c r="FF179" s="3"/>
      <c r="FG179" s="3"/>
      <c r="FH179" s="3"/>
      <c r="FI179" s="3"/>
      <c r="FJ179" s="3"/>
      <c r="FK179" s="3"/>
      <c r="FL179" s="3"/>
      <c r="FM179" s="3"/>
      <c r="FN179" s="3"/>
      <c r="FO179" s="3"/>
      <c r="FP179" s="3"/>
      <c r="FQ179" s="3"/>
      <c r="FR179" s="3"/>
      <c r="FS179" s="3"/>
      <c r="FT179" s="3"/>
      <c r="FU179" s="3"/>
      <c r="FV179" s="3"/>
      <c r="FW179" s="3"/>
      <c r="FX179" s="3"/>
      <c r="FY179" s="3"/>
      <c r="FZ179" s="3"/>
      <c r="GA179" s="3"/>
      <c r="GB179" s="3"/>
      <c r="GC179" s="3"/>
      <c r="GD179" s="3"/>
      <c r="GE179" s="3"/>
      <c r="GF179" s="3"/>
      <c r="GG179" s="3"/>
      <c r="GH179" s="3"/>
      <c r="GI179" s="3"/>
      <c r="GJ179" s="3"/>
      <c r="GK179" s="3"/>
      <c r="GL179" s="3"/>
      <c r="GM179" s="3"/>
      <c r="GN179" s="3"/>
      <c r="GO179" s="3"/>
      <c r="GP179" s="3"/>
      <c r="GQ179" s="3"/>
      <c r="GR179" s="3"/>
      <c r="GS179" s="3"/>
      <c r="GT179" s="3"/>
      <c r="GU179" s="3"/>
      <c r="GV179" s="3"/>
      <c r="GW179" s="3"/>
      <c r="GX179" s="3"/>
      <c r="GY179" s="3"/>
      <c r="GZ179" s="3"/>
      <c r="HA179" s="3"/>
      <c r="HB179" s="3"/>
      <c r="HC179" s="3"/>
      <c r="HD179" s="3"/>
      <c r="HE179" s="3"/>
      <c r="HF179" s="3"/>
      <c r="HG179" s="3"/>
      <c r="HH179" s="3"/>
      <c r="HI179" s="3"/>
      <c r="HJ179" s="3"/>
      <c r="HK179" s="3"/>
      <c r="HL179" s="3"/>
      <c r="HM179" s="3"/>
      <c r="HN179" s="3"/>
      <c r="HO179" s="3"/>
      <c r="HP179" s="3"/>
      <c r="HQ179" s="3"/>
      <c r="HR179" s="3"/>
      <c r="HS179" s="3"/>
      <c r="HT179" s="3"/>
      <c r="HU179" s="3"/>
      <c r="HV179" s="3"/>
      <c r="HW179" s="3"/>
      <c r="HX179" s="3"/>
      <c r="HY179" s="3"/>
      <c r="HZ179" s="3"/>
      <c r="IA179" s="3"/>
      <c r="IB179" s="3"/>
      <c r="IC179" s="3"/>
      <c r="ID179" s="3"/>
      <c r="IE179" s="3"/>
      <c r="IF179" s="3"/>
      <c r="IG179" s="3"/>
      <c r="IH179" s="3"/>
      <c r="II179" s="3"/>
      <c r="IJ179" s="3"/>
      <c r="IK179" s="3"/>
      <c r="IL179" s="3"/>
    </row>
    <row r="180" spans="1:246" x14ac:dyDescent="0.35">
      <c r="A180" s="4" t="s">
        <v>770</v>
      </c>
      <c r="B180" s="123">
        <f>(1/((1-Tax_Rate)*Full_Prod_Rate))*(B177-B175)</f>
        <v>54.623121742257361</v>
      </c>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c r="DA180" s="3"/>
      <c r="DB180" s="3"/>
      <c r="DC180" s="3"/>
      <c r="DD180" s="3"/>
      <c r="DE180" s="3"/>
      <c r="DF180" s="3"/>
      <c r="DG180" s="3"/>
      <c r="DH180" s="3"/>
      <c r="DI180" s="3"/>
      <c r="DJ180" s="3"/>
      <c r="DK180" s="3"/>
      <c r="DL180" s="3"/>
      <c r="DM180" s="3"/>
      <c r="DN180" s="3"/>
      <c r="DO180" s="3"/>
      <c r="DP180" s="3"/>
      <c r="DQ180" s="3"/>
      <c r="DR180" s="3"/>
      <c r="DS180" s="3"/>
      <c r="DT180" s="3"/>
      <c r="DU180" s="3"/>
      <c r="DV180" s="3"/>
      <c r="DW180" s="3"/>
      <c r="DX180" s="3"/>
      <c r="DY180" s="3"/>
      <c r="DZ180" s="3"/>
      <c r="EA180" s="3"/>
      <c r="EB180" s="3"/>
      <c r="EC180" s="3"/>
      <c r="ED180" s="3"/>
      <c r="EE180" s="3"/>
      <c r="EF180" s="3"/>
      <c r="EG180" s="3"/>
      <c r="EH180" s="3"/>
      <c r="EI180" s="3"/>
      <c r="EJ180" s="3"/>
      <c r="EK180" s="3"/>
      <c r="EL180" s="3"/>
      <c r="EM180" s="3"/>
      <c r="EN180" s="3"/>
      <c r="EO180" s="3"/>
      <c r="EP180" s="3"/>
      <c r="EQ180" s="3"/>
      <c r="ER180" s="3"/>
      <c r="ES180" s="3"/>
      <c r="ET180" s="3"/>
      <c r="EU180" s="3"/>
      <c r="EV180" s="3"/>
      <c r="EW180" s="3"/>
      <c r="EX180" s="3"/>
      <c r="EY180" s="3"/>
      <c r="EZ180" s="3"/>
      <c r="FA180" s="3"/>
      <c r="FB180" s="3"/>
      <c r="FC180" s="3"/>
      <c r="FD180" s="3"/>
      <c r="FE180" s="3"/>
      <c r="FF180" s="3"/>
      <c r="FG180" s="3"/>
      <c r="FH180" s="3"/>
      <c r="FI180" s="3"/>
      <c r="FJ180" s="3"/>
      <c r="FK180" s="3"/>
      <c r="FL180" s="3"/>
      <c r="FM180" s="3"/>
      <c r="FN180" s="3"/>
      <c r="FO180" s="3"/>
      <c r="FP180" s="3"/>
      <c r="FQ180" s="3"/>
      <c r="FR180" s="3"/>
      <c r="FS180" s="3"/>
      <c r="FT180" s="3"/>
      <c r="FU180" s="3"/>
      <c r="FV180" s="3"/>
      <c r="FW180" s="3"/>
      <c r="FX180" s="3"/>
      <c r="FY180" s="3"/>
      <c r="FZ180" s="3"/>
      <c r="GA180" s="3"/>
      <c r="GB180" s="3"/>
      <c r="GC180" s="3"/>
      <c r="GD180" s="3"/>
      <c r="GE180" s="3"/>
      <c r="GF180" s="3"/>
      <c r="GG180" s="3"/>
      <c r="GH180" s="3"/>
      <c r="GI180" s="3"/>
      <c r="GJ180" s="3"/>
      <c r="GK180" s="3"/>
      <c r="GL180" s="3"/>
      <c r="GM180" s="3"/>
      <c r="GN180" s="3"/>
      <c r="GO180" s="3"/>
      <c r="GP180" s="3"/>
      <c r="GQ180" s="3"/>
      <c r="GR180" s="3"/>
      <c r="GS180" s="3"/>
      <c r="GT180" s="3"/>
      <c r="GU180" s="3"/>
      <c r="GV180" s="3"/>
      <c r="GW180" s="3"/>
      <c r="GX180" s="3"/>
      <c r="GY180" s="3"/>
      <c r="GZ180" s="3"/>
      <c r="HA180" s="3"/>
      <c r="HB180" s="3"/>
      <c r="HC180" s="3"/>
      <c r="HD180" s="3"/>
      <c r="HE180" s="3"/>
      <c r="HF180" s="3"/>
      <c r="HG180" s="3"/>
      <c r="HH180" s="3"/>
      <c r="HI180" s="3"/>
      <c r="HJ180" s="3"/>
      <c r="HK180" s="3"/>
      <c r="HL180" s="3"/>
      <c r="HM180" s="3"/>
      <c r="HN180" s="3"/>
      <c r="HO180" s="3"/>
      <c r="HP180" s="3"/>
      <c r="HQ180" s="3"/>
      <c r="HR180" s="3"/>
      <c r="HS180" s="3"/>
      <c r="HT180" s="3"/>
      <c r="HU180" s="3"/>
      <c r="HV180" s="3"/>
      <c r="HW180" s="3"/>
      <c r="HX180" s="3"/>
      <c r="HY180" s="3"/>
      <c r="HZ180" s="3"/>
      <c r="IA180" s="3"/>
      <c r="IB180" s="3"/>
      <c r="IC180" s="3"/>
      <c r="ID180" s="3"/>
      <c r="IE180" s="3"/>
      <c r="IF180" s="3"/>
      <c r="IG180" s="3"/>
      <c r="IH180" s="3"/>
      <c r="II180" s="3"/>
      <c r="IJ180" s="3"/>
      <c r="IK180" s="3"/>
      <c r="IL180" s="3"/>
    </row>
    <row r="181" spans="1:246" x14ac:dyDescent="0.35">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c r="DA181" s="3"/>
      <c r="DB181" s="3"/>
      <c r="DC181" s="3"/>
      <c r="DD181" s="3"/>
      <c r="DE181" s="3"/>
      <c r="DF181" s="3"/>
      <c r="DG181" s="3"/>
      <c r="DH181" s="3"/>
      <c r="DI181" s="3"/>
      <c r="DJ181" s="3"/>
      <c r="DK181" s="3"/>
      <c r="DL181" s="3"/>
      <c r="DM181" s="3"/>
      <c r="DN181" s="3"/>
      <c r="DO181" s="3"/>
      <c r="DP181" s="3"/>
      <c r="DQ181" s="3"/>
      <c r="DR181" s="3"/>
      <c r="DS181" s="3"/>
      <c r="DT181" s="3"/>
      <c r="DU181" s="3"/>
      <c r="DV181" s="3"/>
      <c r="DW181" s="3"/>
      <c r="DX181" s="3"/>
      <c r="DY181" s="3"/>
      <c r="DZ181" s="3"/>
      <c r="EA181" s="3"/>
      <c r="EB181" s="3"/>
      <c r="EC181" s="3"/>
      <c r="ED181" s="3"/>
      <c r="EE181" s="3"/>
      <c r="EF181" s="3"/>
      <c r="EG181" s="3"/>
      <c r="EH181" s="3"/>
      <c r="EI181" s="3"/>
      <c r="EJ181" s="3"/>
      <c r="EK181" s="3"/>
      <c r="EL181" s="3"/>
      <c r="EM181" s="3"/>
      <c r="EN181" s="3"/>
      <c r="EO181" s="3"/>
      <c r="EP181" s="3"/>
      <c r="EQ181" s="3"/>
      <c r="ER181" s="3"/>
      <c r="ES181" s="3"/>
      <c r="ET181" s="3"/>
      <c r="EU181" s="3"/>
      <c r="EV181" s="3"/>
      <c r="EW181" s="3"/>
      <c r="EX181" s="3"/>
      <c r="EY181" s="3"/>
      <c r="EZ181" s="3"/>
      <c r="FA181" s="3"/>
      <c r="FB181" s="3"/>
      <c r="FC181" s="3"/>
      <c r="FD181" s="3"/>
      <c r="FE181" s="3"/>
      <c r="FF181" s="3"/>
      <c r="FG181" s="3"/>
      <c r="FH181" s="3"/>
      <c r="FI181" s="3"/>
      <c r="FJ181" s="3"/>
      <c r="FK181" s="3"/>
      <c r="FL181" s="3"/>
      <c r="FM181" s="3"/>
      <c r="FN181" s="3"/>
      <c r="FO181" s="3"/>
      <c r="FP181" s="3"/>
      <c r="FQ181" s="3"/>
      <c r="FR181" s="3"/>
      <c r="FS181" s="3"/>
      <c r="FT181" s="3"/>
      <c r="FU181" s="3"/>
      <c r="FV181" s="3"/>
      <c r="FW181" s="3"/>
      <c r="FX181" s="3"/>
      <c r="FY181" s="3"/>
      <c r="FZ181" s="3"/>
      <c r="GA181" s="3"/>
      <c r="GB181" s="3"/>
      <c r="GC181" s="3"/>
      <c r="GD181" s="3"/>
      <c r="GE181" s="3"/>
      <c r="GF181" s="3"/>
      <c r="GG181" s="3"/>
      <c r="GH181" s="3"/>
      <c r="GI181" s="3"/>
      <c r="GJ181" s="3"/>
      <c r="GK181" s="3"/>
      <c r="GL181" s="3"/>
      <c r="GM181" s="3"/>
      <c r="GN181" s="3"/>
      <c r="GO181" s="3"/>
      <c r="GP181" s="3"/>
      <c r="GQ181" s="3"/>
      <c r="GR181" s="3"/>
      <c r="GS181" s="3"/>
      <c r="GT181" s="3"/>
      <c r="GU181" s="3"/>
      <c r="GV181" s="3"/>
      <c r="GW181" s="3"/>
      <c r="GX181" s="3"/>
      <c r="GY181" s="3"/>
      <c r="GZ181" s="3"/>
      <c r="HA181" s="3"/>
      <c r="HB181" s="3"/>
      <c r="HC181" s="3"/>
      <c r="HD181" s="3"/>
      <c r="HE181" s="3"/>
      <c r="HF181" s="3"/>
      <c r="HG181" s="3"/>
      <c r="HH181" s="3"/>
      <c r="HI181" s="3"/>
      <c r="HJ181" s="3"/>
      <c r="HK181" s="3"/>
      <c r="HL181" s="3"/>
      <c r="HM181" s="3"/>
      <c r="HN181" s="3"/>
      <c r="HO181" s="3"/>
      <c r="HP181" s="3"/>
      <c r="HQ181" s="3"/>
      <c r="HR181" s="3"/>
      <c r="HS181" s="3"/>
      <c r="HT181" s="3"/>
      <c r="HU181" s="3"/>
      <c r="HV181" s="3"/>
      <c r="HW181" s="3"/>
      <c r="HX181" s="3"/>
      <c r="HY181" s="3"/>
      <c r="HZ181" s="3"/>
      <c r="IA181" s="3"/>
      <c r="IB181" s="3"/>
      <c r="IC181" s="3"/>
      <c r="ID181" s="3"/>
      <c r="IE181" s="3"/>
      <c r="IF181" s="3"/>
      <c r="IG181" s="3"/>
      <c r="IH181" s="3"/>
      <c r="II181" s="3"/>
      <c r="IJ181" s="3"/>
      <c r="IK181" s="3"/>
      <c r="IL181" s="3"/>
    </row>
    <row r="182" spans="1:246" ht="15" thickBot="1" x14ac:dyDescent="0.4">
      <c r="A182" s="4" t="s">
        <v>778</v>
      </c>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c r="DA182" s="3"/>
      <c r="DB182" s="3"/>
      <c r="DC182" s="3"/>
      <c r="DD182" s="3"/>
      <c r="DE182" s="3"/>
      <c r="DF182" s="3"/>
      <c r="DG182" s="3"/>
      <c r="DH182" s="3"/>
      <c r="DI182" s="3"/>
      <c r="DJ182" s="3"/>
      <c r="DK182" s="3"/>
      <c r="DL182" s="3"/>
      <c r="DM182" s="3"/>
      <c r="DN182" s="3"/>
      <c r="DO182" s="3"/>
      <c r="DP182" s="3"/>
      <c r="DQ182" s="3"/>
      <c r="DR182" s="3"/>
      <c r="DS182" s="3"/>
      <c r="DT182" s="3"/>
      <c r="DU182" s="3"/>
      <c r="DV182" s="3"/>
      <c r="DW182" s="3"/>
      <c r="DX182" s="3"/>
      <c r="DY182" s="3"/>
      <c r="DZ182" s="3"/>
      <c r="EA182" s="3"/>
      <c r="EB182" s="3"/>
      <c r="EC182" s="3"/>
      <c r="ED182" s="3"/>
      <c r="EE182" s="3"/>
      <c r="EF182" s="3"/>
      <c r="EG182" s="3"/>
      <c r="EH182" s="3"/>
      <c r="EI182" s="3"/>
      <c r="EJ182" s="3"/>
      <c r="EK182" s="3"/>
      <c r="EL182" s="3"/>
      <c r="EM182" s="3"/>
      <c r="EN182" s="3"/>
      <c r="EO182" s="3"/>
      <c r="EP182" s="3"/>
      <c r="EQ182" s="3"/>
      <c r="ER182" s="3"/>
      <c r="ES182" s="3"/>
      <c r="ET182" s="3"/>
      <c r="EU182" s="3"/>
      <c r="EV182" s="3"/>
      <c r="EW182" s="3"/>
      <c r="EX182" s="3"/>
      <c r="EY182" s="3"/>
      <c r="EZ182" s="3"/>
      <c r="FA182" s="3"/>
      <c r="FB182" s="3"/>
      <c r="FC182" s="3"/>
      <c r="FD182" s="3"/>
      <c r="FE182" s="3"/>
      <c r="FF182" s="3"/>
      <c r="FG182" s="3"/>
      <c r="FH182" s="3"/>
      <c r="FI182" s="3"/>
      <c r="FJ182" s="3"/>
      <c r="FK182" s="3"/>
      <c r="FL182" s="3"/>
      <c r="FM182" s="3"/>
      <c r="FN182" s="3"/>
      <c r="FO182" s="3"/>
      <c r="FP182" s="3"/>
      <c r="FQ182" s="3"/>
      <c r="FR182" s="3"/>
      <c r="FS182" s="3"/>
      <c r="FT182" s="3"/>
      <c r="FU182" s="3"/>
      <c r="FV182" s="3"/>
      <c r="FW182" s="3"/>
      <c r="FX182" s="3"/>
      <c r="FY182" s="3"/>
      <c r="FZ182" s="3"/>
      <c r="GA182" s="3"/>
      <c r="GB182" s="3"/>
      <c r="GC182" s="3"/>
      <c r="GD182" s="3"/>
      <c r="GE182" s="3"/>
      <c r="GF182" s="3"/>
      <c r="GG182" s="3"/>
      <c r="GH182" s="3"/>
      <c r="GI182" s="3"/>
      <c r="GJ182" s="3"/>
      <c r="GK182" s="3"/>
      <c r="GL182" s="3"/>
      <c r="GM182" s="3"/>
      <c r="GN182" s="3"/>
      <c r="GO182" s="3"/>
      <c r="GP182" s="3"/>
      <c r="GQ182" s="3"/>
      <c r="GR182" s="3"/>
      <c r="GS182" s="3"/>
      <c r="GT182" s="3"/>
      <c r="GU182" s="3"/>
      <c r="GV182" s="3"/>
      <c r="GW182" s="3"/>
      <c r="GX182" s="3"/>
      <c r="GY182" s="3"/>
      <c r="GZ182" s="3"/>
      <c r="HA182" s="3"/>
      <c r="HB182" s="3"/>
      <c r="HC182" s="3"/>
      <c r="HD182" s="3"/>
      <c r="HE182" s="3"/>
      <c r="HF182" s="3"/>
      <c r="HG182" s="3"/>
      <c r="HH182" s="3"/>
      <c r="HI182" s="3"/>
      <c r="HJ182" s="3"/>
      <c r="HK182" s="3"/>
      <c r="HL182" s="3"/>
      <c r="HM182" s="3"/>
      <c r="HN182" s="3"/>
      <c r="HO182" s="3"/>
      <c r="HP182" s="3"/>
      <c r="HQ182" s="3"/>
      <c r="HR182" s="3"/>
      <c r="HS182" s="3"/>
      <c r="HT182" s="3"/>
      <c r="HU182" s="3"/>
      <c r="HV182" s="3"/>
      <c r="HW182" s="3"/>
      <c r="HX182" s="3"/>
      <c r="HY182" s="3"/>
      <c r="HZ182" s="3"/>
      <c r="IA182" s="3"/>
      <c r="IB182" s="3"/>
      <c r="IC182" s="3"/>
      <c r="ID182" s="3"/>
      <c r="IE182" s="3"/>
      <c r="IF182" s="3"/>
      <c r="IG182" s="3"/>
      <c r="IH182" s="3"/>
      <c r="II182" s="3"/>
      <c r="IJ182" s="3"/>
      <c r="IK182" s="3"/>
      <c r="IL182" s="3"/>
    </row>
    <row r="183" spans="1:246" x14ac:dyDescent="0.35">
      <c r="A183" s="4" t="s">
        <v>748</v>
      </c>
      <c r="B183" s="169">
        <v>-2</v>
      </c>
      <c r="C183" s="169">
        <v>-1</v>
      </c>
      <c r="D183" s="169">
        <v>0</v>
      </c>
      <c r="E183" s="169">
        <v>1</v>
      </c>
      <c r="F183" s="169">
        <v>2</v>
      </c>
      <c r="G183" s="169">
        <v>3</v>
      </c>
      <c r="H183" s="169">
        <v>4</v>
      </c>
      <c r="I183" s="169">
        <v>5</v>
      </c>
      <c r="J183" s="169">
        <v>6</v>
      </c>
      <c r="K183" s="169">
        <v>7</v>
      </c>
      <c r="L183" s="169">
        <v>8</v>
      </c>
      <c r="M183" s="169">
        <v>9</v>
      </c>
      <c r="N183" s="169">
        <v>10</v>
      </c>
      <c r="O183" s="169">
        <v>11</v>
      </c>
      <c r="P183" s="169">
        <v>12</v>
      </c>
      <c r="Q183" s="169">
        <v>13</v>
      </c>
      <c r="R183" s="169">
        <v>14</v>
      </c>
      <c r="S183" s="169">
        <v>15</v>
      </c>
      <c r="T183" s="169">
        <v>16</v>
      </c>
      <c r="U183" s="169">
        <v>17</v>
      </c>
      <c r="V183" s="169">
        <v>18</v>
      </c>
      <c r="W183" s="169">
        <v>19</v>
      </c>
      <c r="X183" s="169">
        <v>20</v>
      </c>
      <c r="Y183" s="169">
        <v>21</v>
      </c>
      <c r="Z183" s="169">
        <v>22</v>
      </c>
      <c r="AA183" s="169">
        <v>23</v>
      </c>
      <c r="AB183" s="169">
        <v>24</v>
      </c>
      <c r="AC183" s="169">
        <v>25</v>
      </c>
      <c r="AD183" s="169">
        <v>26</v>
      </c>
      <c r="AE183" s="169">
        <v>27</v>
      </c>
      <c r="AF183" s="169">
        <v>28</v>
      </c>
      <c r="AG183" s="169">
        <v>29</v>
      </c>
      <c r="AH183" s="170">
        <v>30</v>
      </c>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c r="DA183" s="3"/>
      <c r="DB183" s="3"/>
      <c r="DC183" s="3"/>
      <c r="DD183" s="3"/>
      <c r="DE183" s="3"/>
      <c r="DF183" s="3"/>
      <c r="DG183" s="3"/>
      <c r="DH183" s="3"/>
      <c r="DI183" s="3"/>
      <c r="DJ183" s="3"/>
      <c r="DK183" s="3"/>
      <c r="DL183" s="3"/>
      <c r="DM183" s="3"/>
      <c r="DN183" s="3"/>
      <c r="DO183" s="3"/>
      <c r="DP183" s="3"/>
      <c r="DQ183" s="3"/>
      <c r="DR183" s="3"/>
      <c r="DS183" s="3"/>
      <c r="DT183" s="3"/>
      <c r="DU183" s="3"/>
      <c r="DV183" s="3"/>
      <c r="DW183" s="3"/>
      <c r="DX183" s="3"/>
      <c r="DY183" s="3"/>
      <c r="DZ183" s="3"/>
      <c r="EA183" s="3"/>
      <c r="EB183" s="3"/>
      <c r="EC183" s="3"/>
      <c r="ED183" s="3"/>
      <c r="EE183" s="3"/>
      <c r="EF183" s="3"/>
      <c r="EG183" s="3"/>
      <c r="EH183" s="3"/>
      <c r="EI183" s="3"/>
      <c r="EJ183" s="3"/>
      <c r="EK183" s="3"/>
      <c r="EL183" s="3"/>
      <c r="EM183" s="3"/>
      <c r="EN183" s="3"/>
      <c r="EO183" s="3"/>
      <c r="EP183" s="3"/>
      <c r="EQ183" s="3"/>
      <c r="ER183" s="3"/>
      <c r="ES183" s="3"/>
      <c r="ET183" s="3"/>
      <c r="EU183" s="3"/>
      <c r="EV183" s="3"/>
      <c r="EW183" s="3"/>
      <c r="EX183" s="3"/>
      <c r="EY183" s="3"/>
      <c r="EZ183" s="3"/>
      <c r="FA183" s="3"/>
      <c r="FB183" s="3"/>
      <c r="FC183" s="3"/>
      <c r="FD183" s="3"/>
      <c r="FE183" s="3"/>
      <c r="FF183" s="3"/>
      <c r="FG183" s="3"/>
      <c r="FH183" s="3"/>
      <c r="FI183" s="3"/>
      <c r="FJ183" s="3"/>
      <c r="FK183" s="3"/>
      <c r="FL183" s="3"/>
      <c r="FM183" s="3"/>
      <c r="FN183" s="3"/>
      <c r="FO183" s="3"/>
      <c r="FP183" s="3"/>
      <c r="FQ183" s="3"/>
      <c r="FR183" s="3"/>
      <c r="FS183" s="3"/>
      <c r="FT183" s="3"/>
      <c r="FU183" s="3"/>
      <c r="FV183" s="3"/>
      <c r="FW183" s="3"/>
      <c r="FX183" s="3"/>
      <c r="FY183" s="3"/>
      <c r="FZ183" s="3"/>
      <c r="GA183" s="3"/>
      <c r="GB183" s="3"/>
      <c r="GC183" s="3"/>
      <c r="GD183" s="3"/>
      <c r="GE183" s="3"/>
      <c r="GF183" s="3"/>
      <c r="GG183" s="3"/>
      <c r="GH183" s="3"/>
      <c r="GI183" s="3"/>
      <c r="GJ183" s="3"/>
      <c r="GK183" s="3"/>
      <c r="GL183" s="3"/>
      <c r="GM183" s="3"/>
      <c r="GN183" s="3"/>
      <c r="GO183" s="3"/>
      <c r="GP183" s="3"/>
      <c r="GQ183" s="3"/>
      <c r="GR183" s="3"/>
      <c r="GS183" s="3"/>
      <c r="GT183" s="3"/>
      <c r="GU183" s="3"/>
      <c r="GV183" s="3"/>
      <c r="GW183" s="3"/>
      <c r="GX183" s="3"/>
      <c r="GY183" s="3"/>
      <c r="GZ183" s="3"/>
      <c r="HA183" s="3"/>
      <c r="HB183" s="3"/>
      <c r="HC183" s="3"/>
      <c r="HD183" s="3"/>
      <c r="HE183" s="3"/>
      <c r="HF183" s="3"/>
      <c r="HG183" s="3"/>
      <c r="HH183" s="3"/>
      <c r="HI183" s="3"/>
      <c r="HJ183" s="3"/>
      <c r="HK183" s="3"/>
      <c r="HL183" s="3"/>
      <c r="HM183" s="3"/>
      <c r="HN183" s="3"/>
      <c r="HO183" s="3"/>
      <c r="HP183" s="3"/>
      <c r="HQ183" s="3"/>
      <c r="HR183" s="3"/>
      <c r="HS183" s="3"/>
      <c r="HT183" s="3"/>
      <c r="HU183" s="3"/>
      <c r="HV183" s="3"/>
      <c r="HW183" s="3"/>
      <c r="HX183" s="3"/>
      <c r="HY183" s="3"/>
      <c r="HZ183" s="3"/>
      <c r="IA183" s="3"/>
      <c r="IB183" s="3"/>
      <c r="IC183" s="3"/>
      <c r="ID183" s="3"/>
      <c r="IE183" s="3"/>
      <c r="IF183" s="3"/>
      <c r="IG183" s="3"/>
      <c r="IH183" s="3"/>
      <c r="II183" s="3"/>
      <c r="IJ183" s="3"/>
      <c r="IK183" s="3"/>
      <c r="IL183" s="3"/>
    </row>
    <row r="184" spans="1:246" x14ac:dyDescent="0.35">
      <c r="A184" s="171" t="s">
        <v>749</v>
      </c>
      <c r="B184" s="123">
        <f>-F157</f>
        <v>-10244565.988623967</v>
      </c>
      <c r="C184" s="208">
        <f>-G157</f>
        <v>-69849313.558799759</v>
      </c>
      <c r="D184" s="123">
        <f>-H157</f>
        <v>-33866333.846690796</v>
      </c>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c r="DA184" s="3"/>
      <c r="DB184" s="3"/>
      <c r="DC184" s="3"/>
      <c r="DD184" s="3"/>
      <c r="DE184" s="3"/>
      <c r="DF184" s="3"/>
      <c r="DG184" s="3"/>
      <c r="DH184" s="3"/>
      <c r="DI184" s="3"/>
      <c r="DJ184" s="3"/>
      <c r="DK184" s="3"/>
      <c r="DL184" s="3"/>
      <c r="DM184" s="3"/>
      <c r="DN184" s="3"/>
      <c r="DO184" s="3"/>
      <c r="DP184" s="3"/>
      <c r="DQ184" s="3"/>
      <c r="DR184" s="3"/>
      <c r="DS184" s="3"/>
      <c r="DT184" s="3"/>
      <c r="DU184" s="3"/>
      <c r="DV184" s="3"/>
      <c r="DW184" s="3"/>
      <c r="DX184" s="3"/>
      <c r="DY184" s="3"/>
      <c r="DZ184" s="3"/>
      <c r="EA184" s="3"/>
      <c r="EB184" s="3"/>
      <c r="EC184" s="3"/>
      <c r="ED184" s="3"/>
      <c r="EE184" s="3"/>
      <c r="EF184" s="3"/>
      <c r="EG184" s="3"/>
      <c r="EH184" s="3"/>
      <c r="EI184" s="3"/>
      <c r="EJ184" s="3"/>
      <c r="EK184" s="3"/>
      <c r="EL184" s="3"/>
      <c r="EM184" s="3"/>
      <c r="EN184" s="3"/>
      <c r="EO184" s="3"/>
      <c r="EP184" s="3"/>
      <c r="EQ184" s="3"/>
      <c r="ER184" s="3"/>
      <c r="ES184" s="3"/>
      <c r="ET184" s="3"/>
      <c r="EU184" s="3"/>
      <c r="EV184" s="3"/>
      <c r="EW184" s="3"/>
      <c r="EX184" s="3"/>
      <c r="EY184" s="3"/>
      <c r="EZ184" s="3"/>
      <c r="FA184" s="3"/>
      <c r="FB184" s="3"/>
      <c r="FC184" s="3"/>
      <c r="FD184" s="3"/>
      <c r="FE184" s="3"/>
      <c r="FF184" s="3"/>
      <c r="FG184" s="3"/>
      <c r="FH184" s="3"/>
      <c r="FI184" s="3"/>
      <c r="FJ184" s="3"/>
      <c r="FK184" s="3"/>
      <c r="FL184" s="3"/>
      <c r="FM184" s="3"/>
      <c r="FN184" s="3"/>
      <c r="FO184" s="3"/>
      <c r="FP184" s="3"/>
      <c r="FQ184" s="3"/>
      <c r="FR184" s="3"/>
      <c r="FS184" s="3"/>
      <c r="FT184" s="3"/>
      <c r="FU184" s="3"/>
      <c r="FV184" s="3"/>
      <c r="FW184" s="3"/>
      <c r="FX184" s="3"/>
      <c r="FY184" s="3"/>
      <c r="FZ184" s="3"/>
      <c r="GA184" s="3"/>
      <c r="GB184" s="3"/>
      <c r="GC184" s="3"/>
      <c r="GD184" s="3"/>
      <c r="GE184" s="3"/>
      <c r="GF184" s="3"/>
      <c r="GG184" s="3"/>
      <c r="GH184" s="3"/>
      <c r="GI184" s="3"/>
      <c r="GJ184" s="3"/>
      <c r="GK184" s="3"/>
      <c r="GL184" s="3"/>
      <c r="GM184" s="3"/>
      <c r="GN184" s="3"/>
      <c r="GO184" s="3"/>
      <c r="GP184" s="3"/>
      <c r="GQ184" s="3"/>
      <c r="GR184" s="3"/>
      <c r="GS184" s="3"/>
      <c r="GT184" s="3"/>
      <c r="GU184" s="3"/>
      <c r="GV184" s="3"/>
      <c r="GW184" s="3"/>
      <c r="GX184" s="3"/>
      <c r="GY184" s="3"/>
      <c r="GZ184" s="3"/>
      <c r="HA184" s="3"/>
      <c r="HB184" s="3"/>
      <c r="HC184" s="3"/>
      <c r="HD184" s="3"/>
      <c r="HE184" s="3"/>
      <c r="HF184" s="3"/>
      <c r="HG184" s="3"/>
      <c r="HH184" s="3"/>
      <c r="HI184" s="3"/>
      <c r="HJ184" s="3"/>
      <c r="HK184" s="3"/>
      <c r="HL184" s="3"/>
      <c r="HM184" s="3"/>
      <c r="HN184" s="3"/>
      <c r="HO184" s="3"/>
      <c r="HP184" s="3"/>
      <c r="HQ184" s="3"/>
      <c r="HR184" s="3"/>
      <c r="HS184" s="3"/>
      <c r="HT184" s="3"/>
      <c r="HU184" s="3"/>
      <c r="HV184" s="3"/>
      <c r="HW184" s="3"/>
      <c r="HX184" s="3"/>
      <c r="HY184" s="3"/>
      <c r="HZ184" s="3"/>
      <c r="IA184" s="3"/>
      <c r="IB184" s="3"/>
      <c r="IC184" s="3"/>
      <c r="ID184" s="3"/>
      <c r="IE184" s="3"/>
      <c r="IF184" s="3"/>
      <c r="IG184" s="3"/>
      <c r="IH184" s="3"/>
      <c r="II184" s="3"/>
      <c r="IJ184" s="3"/>
      <c r="IK184" s="3"/>
      <c r="IL184" s="3"/>
    </row>
    <row r="185" spans="1:246" x14ac:dyDescent="0.35">
      <c r="A185" s="171" t="s">
        <v>750</v>
      </c>
      <c r="B185" s="123">
        <f>-F158</f>
        <v>-2236080.0000000005</v>
      </c>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c r="DA185" s="3"/>
      <c r="DB185" s="3"/>
      <c r="DC185" s="3"/>
      <c r="DD185" s="3"/>
      <c r="DE185" s="3"/>
      <c r="DF185" s="3"/>
      <c r="DG185" s="3"/>
      <c r="DH185" s="3"/>
      <c r="DI185" s="3"/>
      <c r="DJ185" s="3"/>
      <c r="DK185" s="3"/>
      <c r="DL185" s="3"/>
      <c r="DM185" s="3"/>
      <c r="DN185" s="3"/>
      <c r="DO185" s="3"/>
      <c r="DP185" s="3"/>
      <c r="DQ185" s="3"/>
      <c r="DR185" s="3"/>
      <c r="DS185" s="3"/>
      <c r="DT185" s="3"/>
      <c r="DU185" s="3"/>
      <c r="DV185" s="3"/>
      <c r="DW185" s="3"/>
      <c r="DX185" s="3"/>
      <c r="DY185" s="3"/>
      <c r="DZ185" s="3"/>
      <c r="EA185" s="3"/>
      <c r="EB185" s="3"/>
      <c r="EC185" s="3"/>
      <c r="ED185" s="3"/>
      <c r="EE185" s="3"/>
      <c r="EF185" s="3"/>
      <c r="EG185" s="3"/>
      <c r="EH185" s="3"/>
      <c r="EI185" s="3"/>
      <c r="EJ185" s="3"/>
      <c r="EK185" s="3"/>
      <c r="EL185" s="3"/>
      <c r="EM185" s="3"/>
      <c r="EN185" s="3"/>
      <c r="EO185" s="3"/>
      <c r="EP185" s="3"/>
      <c r="EQ185" s="3"/>
      <c r="ER185" s="3"/>
      <c r="ES185" s="3"/>
      <c r="ET185" s="3"/>
      <c r="EU185" s="3"/>
      <c r="EV185" s="3"/>
      <c r="EW185" s="3"/>
      <c r="EX185" s="3"/>
      <c r="EY185" s="3"/>
      <c r="EZ185" s="3"/>
      <c r="FA185" s="3"/>
      <c r="FB185" s="3"/>
      <c r="FC185" s="3"/>
      <c r="FD185" s="3"/>
      <c r="FE185" s="3"/>
      <c r="FF185" s="3"/>
      <c r="FG185" s="3"/>
      <c r="FH185" s="3"/>
      <c r="FI185" s="3"/>
      <c r="FJ185" s="3"/>
      <c r="FK185" s="3"/>
      <c r="FL185" s="3"/>
      <c r="FM185" s="3"/>
      <c r="FN185" s="3"/>
      <c r="FO185" s="3"/>
      <c r="FP185" s="3"/>
      <c r="FQ185" s="3"/>
      <c r="FR185" s="3"/>
      <c r="FS185" s="3"/>
      <c r="FT185" s="3"/>
      <c r="FU185" s="3"/>
      <c r="FV185" s="3"/>
      <c r="FW185" s="3"/>
      <c r="FX185" s="3"/>
      <c r="FY185" s="3"/>
      <c r="FZ185" s="3"/>
      <c r="GA185" s="3"/>
      <c r="GB185" s="3"/>
      <c r="GC185" s="3"/>
      <c r="GD185" s="3"/>
      <c r="GE185" s="3"/>
      <c r="GF185" s="3"/>
      <c r="GG185" s="3"/>
      <c r="GH185" s="3"/>
      <c r="GI185" s="3"/>
      <c r="GJ185" s="3"/>
      <c r="GK185" s="3"/>
      <c r="GL185" s="3"/>
      <c r="GM185" s="3"/>
      <c r="GN185" s="3"/>
      <c r="GO185" s="3"/>
      <c r="GP185" s="3"/>
      <c r="GQ185" s="3"/>
      <c r="GR185" s="3"/>
      <c r="GS185" s="3"/>
      <c r="GT185" s="3"/>
      <c r="GU185" s="3"/>
      <c r="GV185" s="3"/>
      <c r="GW185" s="3"/>
      <c r="GX185" s="3"/>
      <c r="GY185" s="3"/>
      <c r="GZ185" s="3"/>
      <c r="HA185" s="3"/>
      <c r="HB185" s="3"/>
      <c r="HC185" s="3"/>
      <c r="HD185" s="3"/>
      <c r="HE185" s="3"/>
      <c r="HF185" s="3"/>
      <c r="HG185" s="3"/>
      <c r="HH185" s="3"/>
      <c r="HI185" s="3"/>
      <c r="HJ185" s="3"/>
      <c r="HK185" s="3"/>
      <c r="HL185" s="3"/>
      <c r="HM185" s="3"/>
      <c r="HN185" s="3"/>
      <c r="HO185" s="3"/>
      <c r="HP185" s="3"/>
      <c r="HQ185" s="3"/>
      <c r="HR185" s="3"/>
      <c r="HS185" s="3"/>
      <c r="HT185" s="3"/>
      <c r="HU185" s="3"/>
      <c r="HV185" s="3"/>
      <c r="HW185" s="3"/>
      <c r="HX185" s="3"/>
      <c r="HY185" s="3"/>
      <c r="HZ185" s="3"/>
      <c r="IA185" s="3"/>
      <c r="IB185" s="3"/>
      <c r="IC185" s="3"/>
      <c r="ID185" s="3"/>
      <c r="IE185" s="3"/>
      <c r="IF185" s="3"/>
      <c r="IG185" s="3"/>
      <c r="IH185" s="3"/>
      <c r="II185" s="3"/>
      <c r="IJ185" s="3"/>
      <c r="IK185" s="3"/>
      <c r="IL185" s="3"/>
    </row>
    <row r="186" spans="1:246" x14ac:dyDescent="0.35">
      <c r="A186" s="171" t="s">
        <v>751</v>
      </c>
      <c r="D186" s="123">
        <f>-H124</f>
        <v>-13229036.658863591</v>
      </c>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c r="DA186" s="3"/>
      <c r="DB186" s="3"/>
      <c r="DC186" s="3"/>
      <c r="DD186" s="3"/>
      <c r="DE186" s="3"/>
      <c r="DF186" s="3"/>
      <c r="DG186" s="3"/>
      <c r="DH186" s="3"/>
      <c r="DI186" s="3"/>
      <c r="DJ186" s="3"/>
      <c r="DK186" s="3"/>
      <c r="DL186" s="3"/>
      <c r="DM186" s="3"/>
      <c r="DN186" s="3"/>
      <c r="DO186" s="3"/>
      <c r="DP186" s="3"/>
      <c r="DQ186" s="3"/>
      <c r="DR186" s="3"/>
      <c r="DS186" s="3"/>
      <c r="DT186" s="3"/>
      <c r="DU186" s="3"/>
      <c r="DV186" s="3"/>
      <c r="DW186" s="3"/>
      <c r="DX186" s="3"/>
      <c r="DY186" s="3"/>
      <c r="DZ186" s="3"/>
      <c r="EA186" s="3"/>
      <c r="EB186" s="3"/>
      <c r="EC186" s="3"/>
      <c r="ED186" s="3"/>
      <c r="EE186" s="3"/>
      <c r="EF186" s="3"/>
      <c r="EG186" s="3"/>
      <c r="EH186" s="3"/>
      <c r="EI186" s="3"/>
      <c r="EJ186" s="3"/>
      <c r="EK186" s="3"/>
      <c r="EL186" s="3"/>
      <c r="EM186" s="3"/>
      <c r="EN186" s="3"/>
      <c r="EO186" s="3"/>
      <c r="EP186" s="3"/>
      <c r="EQ186" s="3"/>
      <c r="ER186" s="3"/>
      <c r="ES186" s="3"/>
      <c r="ET186" s="3"/>
      <c r="EU186" s="3"/>
      <c r="EV186" s="3"/>
      <c r="EW186" s="3"/>
      <c r="EX186" s="3"/>
      <c r="EY186" s="3"/>
      <c r="EZ186" s="3"/>
      <c r="FA186" s="3"/>
      <c r="FB186" s="3"/>
      <c r="FC186" s="3"/>
      <c r="FD186" s="3"/>
      <c r="FE186" s="3"/>
      <c r="FF186" s="3"/>
      <c r="FG186" s="3"/>
      <c r="FH186" s="3"/>
      <c r="FI186" s="3"/>
      <c r="FJ186" s="3"/>
      <c r="FK186" s="3"/>
      <c r="FL186" s="3"/>
      <c r="FM186" s="3"/>
      <c r="FN186" s="3"/>
      <c r="FO186" s="3"/>
      <c r="FP186" s="3"/>
      <c r="FQ186" s="3"/>
      <c r="FR186" s="3"/>
      <c r="FS186" s="3"/>
      <c r="FT186" s="3"/>
      <c r="FU186" s="3"/>
      <c r="FV186" s="3"/>
      <c r="FW186" s="3"/>
      <c r="FX186" s="3"/>
      <c r="FY186" s="3"/>
      <c r="FZ186" s="3"/>
      <c r="GA186" s="3"/>
      <c r="GB186" s="3"/>
      <c r="GC186" s="3"/>
      <c r="GD186" s="3"/>
      <c r="GE186" s="3"/>
      <c r="GF186" s="3"/>
      <c r="GG186" s="3"/>
      <c r="GH186" s="3"/>
      <c r="GI186" s="3"/>
      <c r="GJ186" s="3"/>
      <c r="GK186" s="3"/>
      <c r="GL186" s="3"/>
      <c r="GM186" s="3"/>
      <c r="GN186" s="3"/>
      <c r="GO186" s="3"/>
      <c r="GP186" s="3"/>
      <c r="GQ186" s="3"/>
      <c r="GR186" s="3"/>
      <c r="GS186" s="3"/>
      <c r="GT186" s="3"/>
      <c r="GU186" s="3"/>
      <c r="GV186" s="3"/>
      <c r="GW186" s="3"/>
      <c r="GX186" s="3"/>
      <c r="GY186" s="3"/>
      <c r="GZ186" s="3"/>
      <c r="HA186" s="3"/>
      <c r="HB186" s="3"/>
      <c r="HC186" s="3"/>
      <c r="HD186" s="3"/>
      <c r="HE186" s="3"/>
      <c r="HF186" s="3"/>
      <c r="HG186" s="3"/>
      <c r="HH186" s="3"/>
      <c r="HI186" s="3"/>
      <c r="HJ186" s="3"/>
      <c r="HK186" s="3"/>
      <c r="HL186" s="3"/>
      <c r="HM186" s="3"/>
      <c r="HN186" s="3"/>
      <c r="HO186" s="3"/>
      <c r="HP186" s="3"/>
      <c r="HQ186" s="3"/>
      <c r="HR186" s="3"/>
      <c r="HS186" s="3"/>
      <c r="HT186" s="3"/>
      <c r="HU186" s="3"/>
      <c r="HV186" s="3"/>
      <c r="HW186" s="3"/>
      <c r="HX186" s="3"/>
      <c r="HY186" s="3"/>
      <c r="HZ186" s="3"/>
      <c r="IA186" s="3"/>
      <c r="IB186" s="3"/>
      <c r="IC186" s="3"/>
      <c r="ID186" s="3"/>
      <c r="IE186" s="3"/>
      <c r="IF186" s="3"/>
      <c r="IG186" s="3"/>
      <c r="IH186" s="3"/>
      <c r="II186" s="3"/>
      <c r="IJ186" s="3"/>
      <c r="IK186" s="3"/>
      <c r="IL186" s="3"/>
    </row>
    <row r="187" spans="1:246" x14ac:dyDescent="0.35">
      <c r="A187" s="4" t="s">
        <v>752</v>
      </c>
      <c r="B187" s="123">
        <f>-F126*F150</f>
        <v>0</v>
      </c>
      <c r="C187" s="123">
        <f>-G126*G150</f>
        <v>0</v>
      </c>
      <c r="D187" s="123">
        <f>-H126*H150</f>
        <v>0</v>
      </c>
      <c r="E187" s="123">
        <f>-I126*I150</f>
        <v>-21507453.482457895</v>
      </c>
      <c r="F187" s="123">
        <f t="shared" ref="F187:AH187" si="42">-J126*J150</f>
        <v>-19552230.438598085</v>
      </c>
      <c r="G187" s="123">
        <f t="shared" si="42"/>
        <v>-17774754.944180075</v>
      </c>
      <c r="H187" s="123">
        <f t="shared" si="42"/>
        <v>-16158868.131072797</v>
      </c>
      <c r="I187" s="123">
        <f t="shared" si="42"/>
        <v>-14689880.119157085</v>
      </c>
      <c r="J187" s="123">
        <f t="shared" si="42"/>
        <v>-13354436.471960986</v>
      </c>
      <c r="K187" s="123">
        <f t="shared" si="42"/>
        <v>-12140396.792691804</v>
      </c>
      <c r="L187" s="123">
        <f t="shared" si="42"/>
        <v>-11036724.356992548</v>
      </c>
      <c r="M187" s="123">
        <f t="shared" si="42"/>
        <v>-10033385.779084135</v>
      </c>
      <c r="N187" s="123">
        <f t="shared" si="42"/>
        <v>-9121259.7991673946</v>
      </c>
      <c r="O187" s="123">
        <f t="shared" si="42"/>
        <v>0</v>
      </c>
      <c r="P187" s="123">
        <f t="shared" si="42"/>
        <v>0</v>
      </c>
      <c r="Q187" s="123">
        <f t="shared" si="42"/>
        <v>0</v>
      </c>
      <c r="R187" s="123">
        <f t="shared" si="42"/>
        <v>0</v>
      </c>
      <c r="S187" s="123">
        <f t="shared" si="42"/>
        <v>0</v>
      </c>
      <c r="T187" s="123">
        <f t="shared" si="42"/>
        <v>0</v>
      </c>
      <c r="U187" s="123">
        <f t="shared" si="42"/>
        <v>0</v>
      </c>
      <c r="V187" s="123">
        <f t="shared" si="42"/>
        <v>0</v>
      </c>
      <c r="W187" s="123">
        <f t="shared" si="42"/>
        <v>0</v>
      </c>
      <c r="X187" s="123">
        <f t="shared" si="42"/>
        <v>0</v>
      </c>
      <c r="Y187" s="123">
        <f t="shared" si="42"/>
        <v>0</v>
      </c>
      <c r="Z187" s="123">
        <f t="shared" si="42"/>
        <v>0</v>
      </c>
      <c r="AA187" s="123">
        <f t="shared" si="42"/>
        <v>0</v>
      </c>
      <c r="AB187" s="123">
        <f t="shared" si="42"/>
        <v>0</v>
      </c>
      <c r="AC187" s="123">
        <f t="shared" si="42"/>
        <v>0</v>
      </c>
      <c r="AD187" s="123">
        <f t="shared" si="42"/>
        <v>0</v>
      </c>
      <c r="AE187" s="123">
        <f t="shared" si="42"/>
        <v>0</v>
      </c>
      <c r="AF187" s="123">
        <f t="shared" si="42"/>
        <v>0</v>
      </c>
      <c r="AG187" s="123">
        <f t="shared" si="42"/>
        <v>0</v>
      </c>
      <c r="AH187" s="123">
        <f t="shared" si="42"/>
        <v>0</v>
      </c>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c r="DA187" s="3"/>
      <c r="DB187" s="3"/>
      <c r="DC187" s="3"/>
      <c r="DD187" s="3"/>
      <c r="DE187" s="3"/>
      <c r="DF187" s="3"/>
      <c r="DG187" s="3"/>
      <c r="DH187" s="3"/>
      <c r="DI187" s="3"/>
      <c r="DJ187" s="3"/>
      <c r="DK187" s="3"/>
      <c r="DL187" s="3"/>
      <c r="DM187" s="3"/>
      <c r="DN187" s="3"/>
      <c r="DO187" s="3"/>
      <c r="DP187" s="3"/>
      <c r="DQ187" s="3"/>
      <c r="DR187" s="3"/>
      <c r="DS187" s="3"/>
      <c r="DT187" s="3"/>
      <c r="DU187" s="3"/>
      <c r="DV187" s="3"/>
      <c r="DW187" s="3"/>
      <c r="DX187" s="3"/>
      <c r="DY187" s="3"/>
      <c r="DZ187" s="3"/>
      <c r="EA187" s="3"/>
      <c r="EB187" s="3"/>
      <c r="EC187" s="3"/>
      <c r="ED187" s="3"/>
      <c r="EE187" s="3"/>
      <c r="EF187" s="3"/>
      <c r="EG187" s="3"/>
      <c r="EH187" s="3"/>
      <c r="EI187" s="3"/>
      <c r="EJ187" s="3"/>
      <c r="EK187" s="3"/>
      <c r="EL187" s="3"/>
      <c r="EM187" s="3"/>
      <c r="EN187" s="3"/>
      <c r="EO187" s="3"/>
      <c r="EP187" s="3"/>
      <c r="EQ187" s="3"/>
      <c r="ER187" s="3"/>
      <c r="ES187" s="3"/>
      <c r="ET187" s="3"/>
      <c r="EU187" s="3"/>
      <c r="EV187" s="3"/>
      <c r="EW187" s="3"/>
      <c r="EX187" s="3"/>
      <c r="EY187" s="3"/>
      <c r="EZ187" s="3"/>
      <c r="FA187" s="3"/>
      <c r="FB187" s="3"/>
      <c r="FC187" s="3"/>
      <c r="FD187" s="3"/>
      <c r="FE187" s="3"/>
      <c r="FF187" s="3"/>
      <c r="FG187" s="3"/>
      <c r="FH187" s="3"/>
      <c r="FI187" s="3"/>
      <c r="FJ187" s="3"/>
      <c r="FK187" s="3"/>
      <c r="FL187" s="3"/>
      <c r="FM187" s="3"/>
      <c r="FN187" s="3"/>
      <c r="FO187" s="3"/>
      <c r="FP187" s="3"/>
      <c r="FQ187" s="3"/>
      <c r="FR187" s="3"/>
      <c r="FS187" s="3"/>
      <c r="FT187" s="3"/>
      <c r="FU187" s="3"/>
      <c r="FV187" s="3"/>
      <c r="FW187" s="3"/>
      <c r="FX187" s="3"/>
      <c r="FY187" s="3"/>
      <c r="FZ187" s="3"/>
      <c r="GA187" s="3"/>
      <c r="GB187" s="3"/>
      <c r="GC187" s="3"/>
      <c r="GD187" s="3"/>
      <c r="GE187" s="3"/>
      <c r="GF187" s="3"/>
      <c r="GG187" s="3"/>
      <c r="GH187" s="3"/>
      <c r="GI187" s="3"/>
      <c r="GJ187" s="3"/>
      <c r="GK187" s="3"/>
      <c r="GL187" s="3"/>
      <c r="GM187" s="3"/>
      <c r="GN187" s="3"/>
      <c r="GO187" s="3"/>
      <c r="GP187" s="3"/>
      <c r="GQ187" s="3"/>
      <c r="GR187" s="3"/>
      <c r="GS187" s="3"/>
      <c r="GT187" s="3"/>
      <c r="GU187" s="3"/>
      <c r="GV187" s="3"/>
      <c r="GW187" s="3"/>
      <c r="GX187" s="3"/>
      <c r="GY187" s="3"/>
      <c r="GZ187" s="3"/>
      <c r="HA187" s="3"/>
      <c r="HB187" s="3"/>
      <c r="HC187" s="3"/>
      <c r="HD187" s="3"/>
      <c r="HE187" s="3"/>
      <c r="HF187" s="3"/>
      <c r="HG187" s="3"/>
      <c r="HH187" s="3"/>
      <c r="HI187" s="3"/>
      <c r="HJ187" s="3"/>
      <c r="HK187" s="3"/>
      <c r="HL187" s="3"/>
      <c r="HM187" s="3"/>
      <c r="HN187" s="3"/>
      <c r="HO187" s="3"/>
      <c r="HP187" s="3"/>
      <c r="HQ187" s="3"/>
      <c r="HR187" s="3"/>
      <c r="HS187" s="3"/>
      <c r="HT187" s="3"/>
      <c r="HU187" s="3"/>
      <c r="HV187" s="3"/>
      <c r="HW187" s="3"/>
      <c r="HX187" s="3"/>
      <c r="HY187" s="3"/>
      <c r="HZ187" s="3"/>
      <c r="IA187" s="3"/>
      <c r="IB187" s="3"/>
      <c r="IC187" s="3"/>
      <c r="ID187" s="3"/>
      <c r="IE187" s="3"/>
      <c r="IF187" s="3"/>
      <c r="IG187" s="3"/>
      <c r="IH187" s="3"/>
      <c r="II187" s="3"/>
      <c r="IJ187" s="3"/>
      <c r="IK187" s="3"/>
      <c r="IL187" s="3"/>
    </row>
    <row r="188" spans="1:246" x14ac:dyDescent="0.35">
      <c r="A188" s="4" t="s">
        <v>886</v>
      </c>
      <c r="B188" s="123">
        <f>F155</f>
        <v>0</v>
      </c>
      <c r="C188" s="123">
        <f>G155</f>
        <v>0</v>
      </c>
      <c r="D188" s="123">
        <f>H155</f>
        <v>0</v>
      </c>
      <c r="E188" s="123">
        <f>I155</f>
        <v>61614082.615637816</v>
      </c>
      <c r="F188" s="123">
        <f t="shared" ref="F188:AH188" si="43">J155</f>
        <v>64014631.288974352</v>
      </c>
      <c r="G188" s="123">
        <f t="shared" si="43"/>
        <v>58195119.353613034</v>
      </c>
      <c r="H188" s="123">
        <f t="shared" si="43"/>
        <v>52904653.957830034</v>
      </c>
      <c r="I188" s="123">
        <f t="shared" si="43"/>
        <v>48095139.961663663</v>
      </c>
      <c r="J188" s="123">
        <f t="shared" si="43"/>
        <v>43722854.510603331</v>
      </c>
      <c r="K188" s="123">
        <f t="shared" si="43"/>
        <v>39748049.555093929</v>
      </c>
      <c r="L188" s="123">
        <f t="shared" si="43"/>
        <v>36134590.504630841</v>
      </c>
      <c r="M188" s="123">
        <f t="shared" si="43"/>
        <v>32849627.731482584</v>
      </c>
      <c r="N188" s="123">
        <f t="shared" si="43"/>
        <v>29863297.937711436</v>
      </c>
      <c r="O188" s="123">
        <f t="shared" si="43"/>
        <v>27148452.670646757</v>
      </c>
      <c r="P188" s="123">
        <f t="shared" si="43"/>
        <v>24680411.518769778</v>
      </c>
      <c r="Q188" s="123">
        <f t="shared" si="43"/>
        <v>22436737.744336165</v>
      </c>
      <c r="R188" s="123">
        <f t="shared" si="43"/>
        <v>20397034.313032869</v>
      </c>
      <c r="S188" s="123">
        <f t="shared" si="43"/>
        <v>18542758.466393519</v>
      </c>
      <c r="T188" s="123">
        <f t="shared" si="43"/>
        <v>16857053.151266836</v>
      </c>
      <c r="U188" s="123">
        <f t="shared" si="43"/>
        <v>15324593.773878939</v>
      </c>
      <c r="V188" s="123">
        <f t="shared" si="43"/>
        <v>13931448.885344489</v>
      </c>
      <c r="W188" s="123">
        <f t="shared" si="43"/>
        <v>12664953.532131352</v>
      </c>
      <c r="X188" s="123">
        <f t="shared" si="43"/>
        <v>11513594.120119411</v>
      </c>
      <c r="Y188" s="123">
        <f t="shared" si="43"/>
        <v>10466903.745563101</v>
      </c>
      <c r="Z188" s="123">
        <f t="shared" si="43"/>
        <v>9515367.0414209981</v>
      </c>
      <c r="AA188" s="123">
        <f t="shared" si="43"/>
        <v>8650333.674019089</v>
      </c>
      <c r="AB188" s="123">
        <f t="shared" si="43"/>
        <v>7863939.7036537183</v>
      </c>
      <c r="AC188" s="123">
        <f t="shared" si="43"/>
        <v>7149036.0942306509</v>
      </c>
      <c r="AD188" s="123">
        <f t="shared" si="43"/>
        <v>6499123.7220278643</v>
      </c>
      <c r="AE188" s="123">
        <f t="shared" si="43"/>
        <v>5908294.292752604</v>
      </c>
      <c r="AF188" s="123">
        <f t="shared" si="43"/>
        <v>5371176.6297750939</v>
      </c>
      <c r="AG188" s="123">
        <f t="shared" si="43"/>
        <v>4882887.845250085</v>
      </c>
      <c r="AH188" s="123">
        <f t="shared" si="43"/>
        <v>4438988.95022735</v>
      </c>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c r="DA188" s="3"/>
      <c r="DB188" s="3"/>
      <c r="DC188" s="3"/>
      <c r="DD188" s="3"/>
      <c r="DE188" s="3"/>
      <c r="DF188" s="3"/>
      <c r="DG188" s="3"/>
      <c r="DH188" s="3"/>
      <c r="DI188" s="3"/>
      <c r="DJ188" s="3"/>
      <c r="DK188" s="3"/>
      <c r="DL188" s="3"/>
      <c r="DM188" s="3"/>
      <c r="DN188" s="3"/>
      <c r="DO188" s="3"/>
      <c r="DP188" s="3"/>
      <c r="DQ188" s="3"/>
      <c r="DR188" s="3"/>
      <c r="DS188" s="3"/>
      <c r="DT188" s="3"/>
      <c r="DU188" s="3"/>
      <c r="DV188" s="3"/>
      <c r="DW188" s="3"/>
      <c r="DX188" s="3"/>
      <c r="DY188" s="3"/>
      <c r="DZ188" s="3"/>
      <c r="EA188" s="3"/>
      <c r="EB188" s="3"/>
      <c r="EC188" s="3"/>
      <c r="ED188" s="3"/>
      <c r="EE188" s="3"/>
      <c r="EF188" s="3"/>
      <c r="EG188" s="3"/>
      <c r="EH188" s="3"/>
      <c r="EI188" s="3"/>
      <c r="EJ188" s="3"/>
      <c r="EK188" s="3"/>
      <c r="EL188" s="3"/>
      <c r="EM188" s="3"/>
      <c r="EN188" s="3"/>
      <c r="EO188" s="3"/>
      <c r="EP188" s="3"/>
      <c r="EQ188" s="3"/>
      <c r="ER188" s="3"/>
      <c r="ES188" s="3"/>
      <c r="ET188" s="3"/>
      <c r="EU188" s="3"/>
      <c r="EV188" s="3"/>
      <c r="EW188" s="3"/>
      <c r="EX188" s="3"/>
      <c r="EY188" s="3"/>
      <c r="EZ188" s="3"/>
      <c r="FA188" s="3"/>
      <c r="FB188" s="3"/>
      <c r="FC188" s="3"/>
      <c r="FD188" s="3"/>
      <c r="FE188" s="3"/>
      <c r="FF188" s="3"/>
      <c r="FG188" s="3"/>
      <c r="FH188" s="3"/>
      <c r="FI188" s="3"/>
      <c r="FJ188" s="3"/>
      <c r="FK188" s="3"/>
      <c r="FL188" s="3"/>
      <c r="FM188" s="3"/>
      <c r="FN188" s="3"/>
      <c r="FO188" s="3"/>
      <c r="FP188" s="3"/>
      <c r="FQ188" s="3"/>
      <c r="FR188" s="3"/>
      <c r="FS188" s="3"/>
      <c r="FT188" s="3"/>
      <c r="FU188" s="3"/>
      <c r="FV188" s="3"/>
      <c r="FW188" s="3"/>
      <c r="FX188" s="3"/>
      <c r="FY188" s="3"/>
      <c r="FZ188" s="3"/>
      <c r="GA188" s="3"/>
      <c r="GB188" s="3"/>
      <c r="GC188" s="3"/>
      <c r="GD188" s="3"/>
      <c r="GE188" s="3"/>
      <c r="GF188" s="3"/>
      <c r="GG188" s="3"/>
      <c r="GH188" s="3"/>
      <c r="GI188" s="3"/>
      <c r="GJ188" s="3"/>
      <c r="GK188" s="3"/>
      <c r="GL188" s="3"/>
      <c r="GM188" s="3"/>
      <c r="GN188" s="3"/>
      <c r="GO188" s="3"/>
      <c r="GP188" s="3"/>
      <c r="GQ188" s="3"/>
      <c r="GR188" s="3"/>
      <c r="GS188" s="3"/>
      <c r="GT188" s="3"/>
      <c r="GU188" s="3"/>
      <c r="GV188" s="3"/>
      <c r="GW188" s="3"/>
      <c r="GX188" s="3"/>
      <c r="GY188" s="3"/>
      <c r="GZ188" s="3"/>
      <c r="HA188" s="3"/>
      <c r="HB188" s="3"/>
      <c r="HC188" s="3"/>
      <c r="HD188" s="3"/>
      <c r="HE188" s="3"/>
      <c r="HF188" s="3"/>
      <c r="HG188" s="3"/>
      <c r="HH188" s="3"/>
      <c r="HI188" s="3"/>
      <c r="HJ188" s="3"/>
      <c r="HK188" s="3"/>
      <c r="HL188" s="3"/>
      <c r="HM188" s="3"/>
      <c r="HN188" s="3"/>
      <c r="HO188" s="3"/>
      <c r="HP188" s="3"/>
      <c r="HQ188" s="3"/>
      <c r="HR188" s="3"/>
      <c r="HS188" s="3"/>
      <c r="HT188" s="3"/>
      <c r="HU188" s="3"/>
      <c r="HV188" s="3"/>
      <c r="HW188" s="3"/>
      <c r="HX188" s="3"/>
      <c r="HY188" s="3"/>
      <c r="HZ188" s="3"/>
      <c r="IA188" s="3"/>
      <c r="IB188" s="3"/>
      <c r="IC188" s="3"/>
      <c r="ID188" s="3"/>
      <c r="IE188" s="3"/>
      <c r="IF188" s="3"/>
      <c r="IG188" s="3"/>
      <c r="IH188" s="3"/>
      <c r="II188" s="3"/>
      <c r="IJ188" s="3"/>
      <c r="IK188" s="3"/>
      <c r="IL188" s="3"/>
    </row>
    <row r="189" spans="1:246" x14ac:dyDescent="0.35">
      <c r="A189" s="4" t="s">
        <v>779</v>
      </c>
      <c r="B189" s="123">
        <f>-F156</f>
        <v>0</v>
      </c>
      <c r="C189" s="123">
        <f>-G156</f>
        <v>0</v>
      </c>
      <c r="D189" s="123">
        <f>-H156</f>
        <v>0</v>
      </c>
      <c r="E189" s="123">
        <f>-I156</f>
        <v>-45110814.757600293</v>
      </c>
      <c r="F189" s="123">
        <f t="shared" ref="F189:AH189" si="44">-J156</f>
        <v>-46868378.968935363</v>
      </c>
      <c r="G189" s="123">
        <f t="shared" si="44"/>
        <v>-42607617.244486682</v>
      </c>
      <c r="H189" s="123">
        <f t="shared" si="44"/>
        <v>-38734197.494987898</v>
      </c>
      <c r="I189" s="123">
        <f t="shared" si="44"/>
        <v>-35212906.813625358</v>
      </c>
      <c r="J189" s="123">
        <f t="shared" si="44"/>
        <v>-32011733.466932144</v>
      </c>
      <c r="K189" s="123">
        <f t="shared" si="44"/>
        <v>-29101575.879029214</v>
      </c>
      <c r="L189" s="123">
        <f t="shared" si="44"/>
        <v>-26455978.071844742</v>
      </c>
      <c r="M189" s="123">
        <f t="shared" si="44"/>
        <v>-24050889.156222492</v>
      </c>
      <c r="N189" s="123">
        <f t="shared" si="44"/>
        <v>-21864444.687474988</v>
      </c>
      <c r="O189" s="123">
        <f t="shared" si="44"/>
        <v>-19876767.897704534</v>
      </c>
      <c r="P189" s="123">
        <f t="shared" si="44"/>
        <v>-18069788.997913212</v>
      </c>
      <c r="Q189" s="123">
        <f t="shared" si="44"/>
        <v>-16427080.90719383</v>
      </c>
      <c r="R189" s="123">
        <f t="shared" si="44"/>
        <v>-14933709.91563075</v>
      </c>
      <c r="S189" s="123">
        <f t="shared" si="44"/>
        <v>-13576099.923300682</v>
      </c>
      <c r="T189" s="123">
        <f t="shared" si="44"/>
        <v>-12341909.021182438</v>
      </c>
      <c r="U189" s="123">
        <f t="shared" si="44"/>
        <v>-11219917.291984035</v>
      </c>
      <c r="V189" s="123">
        <f t="shared" si="44"/>
        <v>-10199924.810894575</v>
      </c>
      <c r="W189" s="123">
        <f t="shared" si="44"/>
        <v>-9272658.9189950656</v>
      </c>
      <c r="X189" s="123">
        <f t="shared" si="44"/>
        <v>-8429689.9263591524</v>
      </c>
      <c r="Y189" s="123">
        <f t="shared" si="44"/>
        <v>-7663354.4785083197</v>
      </c>
      <c r="Z189" s="123">
        <f t="shared" si="44"/>
        <v>-6966685.889553017</v>
      </c>
      <c r="AA189" s="123">
        <f t="shared" si="44"/>
        <v>-6333350.8086845605</v>
      </c>
      <c r="AB189" s="123">
        <f t="shared" si="44"/>
        <v>-5757591.6442586919</v>
      </c>
      <c r="AC189" s="123">
        <f t="shared" si="44"/>
        <v>-5234174.2220533546</v>
      </c>
      <c r="AD189" s="123">
        <f t="shared" si="44"/>
        <v>-4758340.2018666863</v>
      </c>
      <c r="AE189" s="123">
        <f t="shared" si="44"/>
        <v>-4325763.8198788054</v>
      </c>
      <c r="AF189" s="123">
        <f t="shared" si="44"/>
        <v>-3932512.5635261862</v>
      </c>
      <c r="AG189" s="123">
        <f t="shared" si="44"/>
        <v>-3575011.4213874419</v>
      </c>
      <c r="AH189" s="123">
        <f t="shared" si="44"/>
        <v>-3250010.3830794925</v>
      </c>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c r="DA189" s="3"/>
      <c r="DB189" s="3"/>
      <c r="DC189" s="3"/>
      <c r="DD189" s="3"/>
      <c r="DE189" s="3"/>
      <c r="DF189" s="3"/>
      <c r="DG189" s="3"/>
      <c r="DH189" s="3"/>
      <c r="DI189" s="3"/>
      <c r="DJ189" s="3"/>
      <c r="DK189" s="3"/>
      <c r="DL189" s="3"/>
      <c r="DM189" s="3"/>
      <c r="DN189" s="3"/>
      <c r="DO189" s="3"/>
      <c r="DP189" s="3"/>
      <c r="DQ189" s="3"/>
      <c r="DR189" s="3"/>
      <c r="DS189" s="3"/>
      <c r="DT189" s="3"/>
      <c r="DU189" s="3"/>
      <c r="DV189" s="3"/>
      <c r="DW189" s="3"/>
      <c r="DX189" s="3"/>
      <c r="DY189" s="3"/>
      <c r="DZ189" s="3"/>
      <c r="EA189" s="3"/>
      <c r="EB189" s="3"/>
      <c r="EC189" s="3"/>
      <c r="ED189" s="3"/>
      <c r="EE189" s="3"/>
      <c r="EF189" s="3"/>
      <c r="EG189" s="3"/>
      <c r="EH189" s="3"/>
      <c r="EI189" s="3"/>
      <c r="EJ189" s="3"/>
      <c r="EK189" s="3"/>
      <c r="EL189" s="3"/>
      <c r="EM189" s="3"/>
      <c r="EN189" s="3"/>
      <c r="EO189" s="3"/>
      <c r="EP189" s="3"/>
      <c r="EQ189" s="3"/>
      <c r="ER189" s="3"/>
      <c r="ES189" s="3"/>
      <c r="ET189" s="3"/>
      <c r="EU189" s="3"/>
      <c r="EV189" s="3"/>
      <c r="EW189" s="3"/>
      <c r="EX189" s="3"/>
      <c r="EY189" s="3"/>
      <c r="EZ189" s="3"/>
      <c r="FA189" s="3"/>
      <c r="FB189" s="3"/>
      <c r="FC189" s="3"/>
      <c r="FD189" s="3"/>
      <c r="FE189" s="3"/>
      <c r="FF189" s="3"/>
      <c r="FG189" s="3"/>
      <c r="FH189" s="3"/>
      <c r="FI189" s="3"/>
      <c r="FJ189" s="3"/>
      <c r="FK189" s="3"/>
      <c r="FL189" s="3"/>
      <c r="FM189" s="3"/>
      <c r="FN189" s="3"/>
      <c r="FO189" s="3"/>
      <c r="FP189" s="3"/>
      <c r="FQ189" s="3"/>
      <c r="FR189" s="3"/>
      <c r="FS189" s="3"/>
      <c r="FT189" s="3"/>
      <c r="FU189" s="3"/>
      <c r="FV189" s="3"/>
      <c r="FW189" s="3"/>
      <c r="FX189" s="3"/>
      <c r="FY189" s="3"/>
      <c r="FZ189" s="3"/>
      <c r="GA189" s="3"/>
      <c r="GB189" s="3"/>
      <c r="GC189" s="3"/>
      <c r="GD189" s="3"/>
      <c r="GE189" s="3"/>
      <c r="GF189" s="3"/>
      <c r="GG189" s="3"/>
      <c r="GH189" s="3"/>
      <c r="GI189" s="3"/>
      <c r="GJ189" s="3"/>
      <c r="GK189" s="3"/>
      <c r="GL189" s="3"/>
      <c r="GM189" s="3"/>
      <c r="GN189" s="3"/>
      <c r="GO189" s="3"/>
      <c r="GP189" s="3"/>
      <c r="GQ189" s="3"/>
      <c r="GR189" s="3"/>
      <c r="GS189" s="3"/>
      <c r="GT189" s="3"/>
      <c r="GU189" s="3"/>
      <c r="GV189" s="3"/>
      <c r="GW189" s="3"/>
      <c r="GX189" s="3"/>
      <c r="GY189" s="3"/>
      <c r="GZ189" s="3"/>
      <c r="HA189" s="3"/>
      <c r="HB189" s="3"/>
      <c r="HC189" s="3"/>
      <c r="HD189" s="3"/>
      <c r="HE189" s="3"/>
      <c r="HF189" s="3"/>
      <c r="HG189" s="3"/>
      <c r="HH189" s="3"/>
      <c r="HI189" s="3"/>
      <c r="HJ189" s="3"/>
      <c r="HK189" s="3"/>
      <c r="HL189" s="3"/>
      <c r="HM189" s="3"/>
      <c r="HN189" s="3"/>
      <c r="HO189" s="3"/>
      <c r="HP189" s="3"/>
      <c r="HQ189" s="3"/>
      <c r="HR189" s="3"/>
      <c r="HS189" s="3"/>
      <c r="HT189" s="3"/>
      <c r="HU189" s="3"/>
      <c r="HV189" s="3"/>
      <c r="HW189" s="3"/>
      <c r="HX189" s="3"/>
      <c r="HY189" s="3"/>
      <c r="HZ189" s="3"/>
      <c r="IA189" s="3"/>
      <c r="IB189" s="3"/>
      <c r="IC189" s="3"/>
      <c r="ID189" s="3"/>
      <c r="IE189" s="3"/>
      <c r="IF189" s="3"/>
      <c r="IG189" s="3"/>
      <c r="IH189" s="3"/>
      <c r="II189" s="3"/>
      <c r="IJ189" s="3"/>
      <c r="IK189" s="3"/>
      <c r="IL189" s="3"/>
    </row>
    <row r="190" spans="1:246" x14ac:dyDescent="0.35">
      <c r="A190" s="4" t="s">
        <v>780</v>
      </c>
      <c r="B190" s="123">
        <f>-F154</f>
        <v>0</v>
      </c>
      <c r="C190" s="123">
        <f>-G154</f>
        <v>0</v>
      </c>
      <c r="D190" s="123">
        <f>-H154</f>
        <v>0</v>
      </c>
      <c r="E190" s="123">
        <f>-I154</f>
        <v>0</v>
      </c>
      <c r="F190" s="123">
        <f t="shared" ref="F190:AH190" si="45">-J154</f>
        <v>0</v>
      </c>
      <c r="G190" s="123">
        <f t="shared" si="45"/>
        <v>0</v>
      </c>
      <c r="H190" s="123">
        <f t="shared" si="45"/>
        <v>0</v>
      </c>
      <c r="I190" s="123">
        <f t="shared" si="45"/>
        <v>0</v>
      </c>
      <c r="J190" s="123">
        <f t="shared" si="45"/>
        <v>0</v>
      </c>
      <c r="K190" s="123">
        <f t="shared" si="45"/>
        <v>0</v>
      </c>
      <c r="L190" s="123">
        <f t="shared" si="45"/>
        <v>0</v>
      </c>
      <c r="M190" s="123">
        <f t="shared" si="45"/>
        <v>0</v>
      </c>
      <c r="N190" s="123">
        <f t="shared" si="45"/>
        <v>0</v>
      </c>
      <c r="O190" s="123">
        <f t="shared" si="45"/>
        <v>0</v>
      </c>
      <c r="P190" s="123">
        <f t="shared" si="45"/>
        <v>0</v>
      </c>
      <c r="Q190" s="123">
        <f t="shared" si="45"/>
        <v>0</v>
      </c>
      <c r="R190" s="123">
        <f t="shared" si="45"/>
        <v>0</v>
      </c>
      <c r="S190" s="123">
        <f t="shared" si="45"/>
        <v>0</v>
      </c>
      <c r="T190" s="123">
        <f t="shared" si="45"/>
        <v>0</v>
      </c>
      <c r="U190" s="123">
        <f t="shared" si="45"/>
        <v>0</v>
      </c>
      <c r="V190" s="123">
        <f t="shared" si="45"/>
        <v>0</v>
      </c>
      <c r="W190" s="123">
        <f t="shared" si="45"/>
        <v>0</v>
      </c>
      <c r="X190" s="123">
        <f t="shared" si="45"/>
        <v>0</v>
      </c>
      <c r="Y190" s="123">
        <f t="shared" si="45"/>
        <v>0</v>
      </c>
      <c r="Z190" s="123">
        <f t="shared" si="45"/>
        <v>0</v>
      </c>
      <c r="AA190" s="123">
        <f t="shared" si="45"/>
        <v>0</v>
      </c>
      <c r="AB190" s="123">
        <f t="shared" si="45"/>
        <v>0</v>
      </c>
      <c r="AC190" s="123">
        <f t="shared" si="45"/>
        <v>-481906.40465871472</v>
      </c>
      <c r="AD190" s="123">
        <f t="shared" si="45"/>
        <v>-609274.2320564125</v>
      </c>
      <c r="AE190" s="123">
        <f t="shared" si="45"/>
        <v>-553885.6655058295</v>
      </c>
      <c r="AF190" s="123">
        <f t="shared" si="45"/>
        <v>-503532.42318711767</v>
      </c>
      <c r="AG190" s="123">
        <f t="shared" si="45"/>
        <v>-457756.74835192511</v>
      </c>
      <c r="AH190" s="123">
        <f t="shared" si="45"/>
        <v>-416142.49850175006</v>
      </c>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c r="DA190" s="3"/>
      <c r="DB190" s="3"/>
      <c r="DC190" s="3"/>
      <c r="DD190" s="3"/>
      <c r="DE190" s="3"/>
      <c r="DF190" s="3"/>
      <c r="DG190" s="3"/>
      <c r="DH190" s="3"/>
      <c r="DI190" s="3"/>
      <c r="DJ190" s="3"/>
      <c r="DK190" s="3"/>
      <c r="DL190" s="3"/>
      <c r="DM190" s="3"/>
      <c r="DN190" s="3"/>
      <c r="DO190" s="3"/>
      <c r="DP190" s="3"/>
      <c r="DQ190" s="3"/>
      <c r="DR190" s="3"/>
      <c r="DS190" s="3"/>
      <c r="DT190" s="3"/>
      <c r="DU190" s="3"/>
      <c r="DV190" s="3"/>
      <c r="DW190" s="3"/>
      <c r="DX190" s="3"/>
      <c r="DY190" s="3"/>
      <c r="DZ190" s="3"/>
      <c r="EA190" s="3"/>
      <c r="EB190" s="3"/>
      <c r="EC190" s="3"/>
      <c r="ED190" s="3"/>
      <c r="EE190" s="3"/>
      <c r="EF190" s="3"/>
      <c r="EG190" s="3"/>
      <c r="EH190" s="3"/>
      <c r="EI190" s="3"/>
      <c r="EJ190" s="3"/>
      <c r="EK190" s="3"/>
      <c r="EL190" s="3"/>
      <c r="EM190" s="3"/>
      <c r="EN190" s="3"/>
      <c r="EO190" s="3"/>
      <c r="EP190" s="3"/>
      <c r="EQ190" s="3"/>
      <c r="ER190" s="3"/>
      <c r="ES190" s="3"/>
      <c r="ET190" s="3"/>
      <c r="EU190" s="3"/>
      <c r="EV190" s="3"/>
      <c r="EW190" s="3"/>
      <c r="EX190" s="3"/>
      <c r="EY190" s="3"/>
      <c r="EZ190" s="3"/>
      <c r="FA190" s="3"/>
      <c r="FB190" s="3"/>
      <c r="FC190" s="3"/>
      <c r="FD190" s="3"/>
      <c r="FE190" s="3"/>
      <c r="FF190" s="3"/>
      <c r="FG190" s="3"/>
      <c r="FH190" s="3"/>
      <c r="FI190" s="3"/>
      <c r="FJ190" s="3"/>
      <c r="FK190" s="3"/>
      <c r="FL190" s="3"/>
      <c r="FM190" s="3"/>
      <c r="FN190" s="3"/>
      <c r="FO190" s="3"/>
      <c r="FP190" s="3"/>
      <c r="FQ190" s="3"/>
      <c r="FR190" s="3"/>
      <c r="FS190" s="3"/>
      <c r="FT190" s="3"/>
      <c r="FU190" s="3"/>
      <c r="FV190" s="3"/>
      <c r="FW190" s="3"/>
      <c r="FX190" s="3"/>
      <c r="FY190" s="3"/>
      <c r="FZ190" s="3"/>
      <c r="GA190" s="3"/>
      <c r="GB190" s="3"/>
      <c r="GC190" s="3"/>
      <c r="GD190" s="3"/>
      <c r="GE190" s="3"/>
      <c r="GF190" s="3"/>
      <c r="GG190" s="3"/>
      <c r="GH190" s="3"/>
      <c r="GI190" s="3"/>
      <c r="GJ190" s="3"/>
      <c r="GK190" s="3"/>
      <c r="GL190" s="3"/>
      <c r="GM190" s="3"/>
      <c r="GN190" s="3"/>
      <c r="GO190" s="3"/>
      <c r="GP190" s="3"/>
      <c r="GQ190" s="3"/>
      <c r="GR190" s="3"/>
      <c r="GS190" s="3"/>
      <c r="GT190" s="3"/>
      <c r="GU190" s="3"/>
      <c r="GV190" s="3"/>
      <c r="GW190" s="3"/>
      <c r="GX190" s="3"/>
      <c r="GY190" s="3"/>
      <c r="GZ190" s="3"/>
      <c r="HA190" s="3"/>
      <c r="HB190" s="3"/>
      <c r="HC190" s="3"/>
      <c r="HD190" s="3"/>
      <c r="HE190" s="3"/>
      <c r="HF190" s="3"/>
      <c r="HG190" s="3"/>
      <c r="HH190" s="3"/>
      <c r="HI190" s="3"/>
      <c r="HJ190" s="3"/>
      <c r="HK190" s="3"/>
      <c r="HL190" s="3"/>
      <c r="HM190" s="3"/>
      <c r="HN190" s="3"/>
      <c r="HO190" s="3"/>
      <c r="HP190" s="3"/>
      <c r="HQ190" s="3"/>
      <c r="HR190" s="3"/>
      <c r="HS190" s="3"/>
      <c r="HT190" s="3"/>
      <c r="HU190" s="3"/>
      <c r="HV190" s="3"/>
      <c r="HW190" s="3"/>
      <c r="HX190" s="3"/>
      <c r="HY190" s="3"/>
      <c r="HZ190" s="3"/>
      <c r="IA190" s="3"/>
      <c r="IB190" s="3"/>
      <c r="IC190" s="3"/>
      <c r="ID190" s="3"/>
      <c r="IE190" s="3"/>
      <c r="IF190" s="3"/>
      <c r="IG190" s="3"/>
      <c r="IH190" s="3"/>
      <c r="II190" s="3"/>
      <c r="IJ190" s="3"/>
      <c r="IK190" s="3"/>
      <c r="IL190" s="3"/>
    </row>
    <row r="191" spans="1:246" x14ac:dyDescent="0.35">
      <c r="A191" s="4" t="s">
        <v>781</v>
      </c>
      <c r="B191" s="123">
        <f>-F152</f>
        <v>-13709993.907258844</v>
      </c>
      <c r="C191" s="208">
        <f>-G152+B191</f>
        <v>-93058814.110055357</v>
      </c>
      <c r="D191" s="123">
        <f>-H152+C191</f>
        <v>-152854059.80811879</v>
      </c>
      <c r="E191" s="123">
        <f>D191+I151</f>
        <v>-157858245.43253917</v>
      </c>
      <c r="F191" s="123">
        <f>E191+J151</f>
        <v>-160264223.55109826</v>
      </c>
      <c r="G191" s="123">
        <f>F191+K151</f>
        <v>-162451476.386152</v>
      </c>
      <c r="H191" s="123">
        <f t="shared" ref="H191:AH191" si="46">G191+L151</f>
        <v>-164439888.05438265</v>
      </c>
      <c r="I191" s="123">
        <f t="shared" si="46"/>
        <v>-166247535.02550143</v>
      </c>
      <c r="J191" s="123">
        <f t="shared" si="46"/>
        <v>-167890850.45379123</v>
      </c>
      <c r="K191" s="123">
        <f t="shared" si="46"/>
        <v>-169384773.57041833</v>
      </c>
      <c r="L191" s="123">
        <f t="shared" si="46"/>
        <v>-170742885.49462476</v>
      </c>
      <c r="M191" s="123">
        <f t="shared" si="46"/>
        <v>-171977532.69844881</v>
      </c>
      <c r="N191" s="123">
        <f t="shared" si="46"/>
        <v>-173099939.24737975</v>
      </c>
      <c r="O191" s="123">
        <f t="shared" si="46"/>
        <v>-165828254.47443753</v>
      </c>
      <c r="P191" s="123">
        <f t="shared" si="46"/>
        <v>-159217631.95358098</v>
      </c>
      <c r="Q191" s="123">
        <f t="shared" si="46"/>
        <v>-153207975.11643863</v>
      </c>
      <c r="R191" s="123">
        <f t="shared" si="46"/>
        <v>-147744650.71903652</v>
      </c>
      <c r="S191" s="123">
        <f t="shared" si="46"/>
        <v>-142777992.17594367</v>
      </c>
      <c r="T191" s="123">
        <f t="shared" si="46"/>
        <v>-138262848.04585928</v>
      </c>
      <c r="U191" s="123">
        <f t="shared" si="46"/>
        <v>-134158171.56396437</v>
      </c>
      <c r="V191" s="123">
        <f t="shared" si="46"/>
        <v>-130426647.48951446</v>
      </c>
      <c r="W191" s="123">
        <f t="shared" si="46"/>
        <v>-127034352.87637816</v>
      </c>
      <c r="X191" s="123">
        <f t="shared" si="46"/>
        <v>-123950448.6826179</v>
      </c>
      <c r="Y191" s="123">
        <f t="shared" si="46"/>
        <v>-121146899.41556312</v>
      </c>
      <c r="Z191" s="123">
        <f t="shared" si="46"/>
        <v>-118598218.26369514</v>
      </c>
      <c r="AA191" s="123">
        <f t="shared" si="46"/>
        <v>-116281235.39836061</v>
      </c>
      <c r="AB191" s="123">
        <f t="shared" si="46"/>
        <v>-114174887.33896558</v>
      </c>
      <c r="AC191" s="123">
        <f t="shared" si="46"/>
        <v>-112741931.871447</v>
      </c>
      <c r="AD191" s="123">
        <f t="shared" si="46"/>
        <v>-111610422.58334222</v>
      </c>
      <c r="AE191" s="123">
        <f t="shared" si="46"/>
        <v>-110581777.77597426</v>
      </c>
      <c r="AF191" s="123">
        <f t="shared" si="46"/>
        <v>-109646646.13291247</v>
      </c>
      <c r="AG191" s="123">
        <f t="shared" si="46"/>
        <v>-108796526.45740175</v>
      </c>
      <c r="AH191" s="123">
        <f t="shared" si="46"/>
        <v>-108023690.38875565</v>
      </c>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c r="DA191" s="3"/>
      <c r="DB191" s="3"/>
      <c r="DC191" s="3"/>
      <c r="DD191" s="3"/>
      <c r="DE191" s="3"/>
      <c r="DF191" s="3"/>
      <c r="DG191" s="3"/>
      <c r="DH191" s="3"/>
      <c r="DI191" s="3"/>
      <c r="DJ191" s="3"/>
      <c r="DK191" s="3"/>
      <c r="DL191" s="3"/>
      <c r="DM191" s="3"/>
      <c r="DN191" s="3"/>
      <c r="DO191" s="3"/>
      <c r="DP191" s="3"/>
      <c r="DQ191" s="3"/>
      <c r="DR191" s="3"/>
      <c r="DS191" s="3"/>
      <c r="DT191" s="3"/>
      <c r="DU191" s="3"/>
      <c r="DV191" s="3"/>
      <c r="DW191" s="3"/>
      <c r="DX191" s="3"/>
      <c r="DY191" s="3"/>
      <c r="DZ191" s="3"/>
      <c r="EA191" s="3"/>
      <c r="EB191" s="3"/>
      <c r="EC191" s="3"/>
      <c r="ED191" s="3"/>
      <c r="EE191" s="3"/>
      <c r="EF191" s="3"/>
      <c r="EG191" s="3"/>
      <c r="EH191" s="3"/>
      <c r="EI191" s="3"/>
      <c r="EJ191" s="3"/>
      <c r="EK191" s="3"/>
      <c r="EL191" s="3"/>
      <c r="EM191" s="3"/>
      <c r="EN191" s="3"/>
      <c r="EO191" s="3"/>
      <c r="EP191" s="3"/>
      <c r="EQ191" s="3"/>
      <c r="ER191" s="3"/>
      <c r="ES191" s="3"/>
      <c r="ET191" s="3"/>
      <c r="EU191" s="3"/>
      <c r="EV191" s="3"/>
      <c r="EW191" s="3"/>
      <c r="EX191" s="3"/>
      <c r="EY191" s="3"/>
      <c r="EZ191" s="3"/>
      <c r="FA191" s="3"/>
      <c r="FB191" s="3"/>
      <c r="FC191" s="3"/>
      <c r="FD191" s="3"/>
      <c r="FE191" s="3"/>
      <c r="FF191" s="3"/>
      <c r="FG191" s="3"/>
      <c r="FH191" s="3"/>
      <c r="FI191" s="3"/>
      <c r="FJ191" s="3"/>
      <c r="FK191" s="3"/>
      <c r="FL191" s="3"/>
      <c r="FM191" s="3"/>
      <c r="FN191" s="3"/>
      <c r="FO191" s="3"/>
      <c r="FP191" s="3"/>
      <c r="FQ191" s="3"/>
      <c r="FR191" s="3"/>
      <c r="FS191" s="3"/>
      <c r="FT191" s="3"/>
      <c r="FU191" s="3"/>
      <c r="FV191" s="3"/>
      <c r="FW191" s="3"/>
      <c r="FX191" s="3"/>
      <c r="FY191" s="3"/>
      <c r="FZ191" s="3"/>
      <c r="GA191" s="3"/>
      <c r="GB191" s="3"/>
      <c r="GC191" s="3"/>
      <c r="GD191" s="3"/>
      <c r="GE191" s="3"/>
      <c r="GF191" s="3"/>
      <c r="GG191" s="3"/>
      <c r="GH191" s="3"/>
      <c r="GI191" s="3"/>
      <c r="GJ191" s="3"/>
      <c r="GK191" s="3"/>
      <c r="GL191" s="3"/>
      <c r="GM191" s="3"/>
      <c r="GN191" s="3"/>
      <c r="GO191" s="3"/>
      <c r="GP191" s="3"/>
      <c r="GQ191" s="3"/>
      <c r="GR191" s="3"/>
      <c r="GS191" s="3"/>
      <c r="GT191" s="3"/>
      <c r="GU191" s="3"/>
      <c r="GV191" s="3"/>
      <c r="GW191" s="3"/>
      <c r="GX191" s="3"/>
      <c r="GY191" s="3"/>
      <c r="GZ191" s="3"/>
      <c r="HA191" s="3"/>
      <c r="HB191" s="3"/>
      <c r="HC191" s="3"/>
      <c r="HD191" s="3"/>
      <c r="HE191" s="3"/>
      <c r="HF191" s="3"/>
      <c r="HG191" s="3"/>
      <c r="HH191" s="3"/>
      <c r="HI191" s="3"/>
      <c r="HJ191" s="3"/>
      <c r="HK191" s="3"/>
      <c r="HL191" s="3"/>
      <c r="HM191" s="3"/>
      <c r="HN191" s="3"/>
      <c r="HO191" s="3"/>
      <c r="HP191" s="3"/>
      <c r="HQ191" s="3"/>
      <c r="HR191" s="3"/>
      <c r="HS191" s="3"/>
      <c r="HT191" s="3"/>
      <c r="HU191" s="3"/>
      <c r="HV191" s="3"/>
      <c r="HW191" s="3"/>
      <c r="HX191" s="3"/>
      <c r="HY191" s="3"/>
      <c r="HZ191" s="3"/>
      <c r="IA191" s="3"/>
      <c r="IB191" s="3"/>
      <c r="IC191" s="3"/>
      <c r="ID191" s="3"/>
      <c r="IE191" s="3"/>
      <c r="IF191" s="3"/>
      <c r="IG191" s="3"/>
      <c r="IH191" s="3"/>
      <c r="II191" s="3"/>
      <c r="IJ191" s="3"/>
      <c r="IK191" s="3"/>
      <c r="IL191" s="3"/>
    </row>
    <row r="192" spans="1:246" x14ac:dyDescent="0.35">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c r="DA192" s="3"/>
      <c r="DB192" s="3"/>
      <c r="DC192" s="3"/>
      <c r="DD192" s="3"/>
      <c r="DE192" s="3"/>
      <c r="DF192" s="3"/>
      <c r="DG192" s="3"/>
      <c r="DH192" s="3"/>
      <c r="DI192" s="3"/>
      <c r="DJ192" s="3"/>
      <c r="DK192" s="3"/>
      <c r="DL192" s="3"/>
      <c r="DM192" s="3"/>
      <c r="DN192" s="3"/>
      <c r="DO192" s="3"/>
      <c r="DP192" s="3"/>
      <c r="DQ192" s="3"/>
      <c r="DR192" s="3"/>
      <c r="DS192" s="3"/>
      <c r="DT192" s="3"/>
      <c r="DU192" s="3"/>
      <c r="DV192" s="3"/>
      <c r="DW192" s="3"/>
      <c r="DX192" s="3"/>
      <c r="DY192" s="3"/>
      <c r="DZ192" s="3"/>
      <c r="EA192" s="3"/>
      <c r="EB192" s="3"/>
      <c r="EC192" s="3"/>
      <c r="ED192" s="3"/>
      <c r="EE192" s="3"/>
      <c r="EF192" s="3"/>
      <c r="EG192" s="3"/>
      <c r="EH192" s="3"/>
      <c r="EI192" s="3"/>
      <c r="EJ192" s="3"/>
      <c r="EK192" s="3"/>
      <c r="EL192" s="3"/>
      <c r="EM192" s="3"/>
      <c r="EN192" s="3"/>
      <c r="EO192" s="3"/>
      <c r="EP192" s="3"/>
      <c r="EQ192" s="3"/>
      <c r="ER192" s="3"/>
      <c r="ES192" s="3"/>
      <c r="ET192" s="3"/>
      <c r="EU192" s="3"/>
      <c r="EV192" s="3"/>
      <c r="EW192" s="3"/>
      <c r="EX192" s="3"/>
      <c r="EY192" s="3"/>
      <c r="EZ192" s="3"/>
      <c r="FA192" s="3"/>
      <c r="FB192" s="3"/>
      <c r="FC192" s="3"/>
      <c r="FD192" s="3"/>
      <c r="FE192" s="3"/>
      <c r="FF192" s="3"/>
      <c r="FG192" s="3"/>
      <c r="FH192" s="3"/>
      <c r="FI192" s="3"/>
      <c r="FJ192" s="3"/>
      <c r="FK192" s="3"/>
      <c r="FL192" s="3"/>
      <c r="FM192" s="3"/>
      <c r="FN192" s="3"/>
      <c r="FO192" s="3"/>
      <c r="FP192" s="3"/>
      <c r="FQ192" s="3"/>
      <c r="FR192" s="3"/>
      <c r="FS192" s="3"/>
      <c r="FT192" s="3"/>
      <c r="FU192" s="3"/>
      <c r="FV192" s="3"/>
      <c r="FW192" s="3"/>
      <c r="FX192" s="3"/>
      <c r="FY192" s="3"/>
      <c r="FZ192" s="3"/>
      <c r="GA192" s="3"/>
      <c r="GB192" s="3"/>
      <c r="GC192" s="3"/>
      <c r="GD192" s="3"/>
      <c r="GE192" s="3"/>
      <c r="GF192" s="3"/>
      <c r="GG192" s="3"/>
      <c r="GH192" s="3"/>
      <c r="GI192" s="3"/>
      <c r="GJ192" s="3"/>
      <c r="GK192" s="3"/>
      <c r="GL192" s="3"/>
      <c r="GM192" s="3"/>
      <c r="GN192" s="3"/>
      <c r="GO192" s="3"/>
      <c r="GP192" s="3"/>
      <c r="GQ192" s="3"/>
      <c r="GR192" s="3"/>
      <c r="GS192" s="3"/>
      <c r="GT192" s="3"/>
      <c r="GU192" s="3"/>
      <c r="GV192" s="3"/>
      <c r="GW192" s="3"/>
      <c r="GX192" s="3"/>
      <c r="GY192" s="3"/>
      <c r="GZ192" s="3"/>
      <c r="HA192" s="3"/>
      <c r="HB192" s="3"/>
      <c r="HC192" s="3"/>
      <c r="HD192" s="3"/>
      <c r="HE192" s="3"/>
      <c r="HF192" s="3"/>
      <c r="HG192" s="3"/>
      <c r="HH192" s="3"/>
      <c r="HI192" s="3"/>
      <c r="HJ192" s="3"/>
      <c r="HK192" s="3"/>
      <c r="HL192" s="3"/>
      <c r="HM192" s="3"/>
      <c r="HN192" s="3"/>
      <c r="HO192" s="3"/>
      <c r="HP192" s="3"/>
      <c r="HQ192" s="3"/>
      <c r="HR192" s="3"/>
      <c r="HS192" s="3"/>
      <c r="HT192" s="3"/>
      <c r="HU192" s="3"/>
      <c r="HV192" s="3"/>
      <c r="HW192" s="3"/>
      <c r="HX192" s="3"/>
      <c r="HY192" s="3"/>
      <c r="HZ192" s="3"/>
      <c r="IA192" s="3"/>
      <c r="IB192" s="3"/>
      <c r="IC192" s="3"/>
      <c r="ID192" s="3"/>
      <c r="IE192" s="3"/>
      <c r="IF192" s="3"/>
      <c r="IG192" s="3"/>
      <c r="IH192" s="3"/>
      <c r="II192" s="3"/>
      <c r="IJ192" s="3"/>
      <c r="IK192" s="3"/>
      <c r="IL192" s="3"/>
    </row>
    <row r="193" spans="11:246" x14ac:dyDescent="0.35">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c r="DA193" s="3"/>
      <c r="DB193" s="3"/>
      <c r="DC193" s="3"/>
      <c r="DD193" s="3"/>
      <c r="DE193" s="3"/>
      <c r="DF193" s="3"/>
      <c r="DG193" s="3"/>
      <c r="DH193" s="3"/>
      <c r="DI193" s="3"/>
      <c r="DJ193" s="3"/>
      <c r="DK193" s="3"/>
      <c r="DL193" s="3"/>
      <c r="DM193" s="3"/>
      <c r="DN193" s="3"/>
      <c r="DO193" s="3"/>
      <c r="DP193" s="3"/>
      <c r="DQ193" s="3"/>
      <c r="DR193" s="3"/>
      <c r="DS193" s="3"/>
      <c r="DT193" s="3"/>
      <c r="DU193" s="3"/>
      <c r="DV193" s="3"/>
      <c r="DW193" s="3"/>
      <c r="DX193" s="3"/>
      <c r="DY193" s="3"/>
      <c r="DZ193" s="3"/>
      <c r="EA193" s="3"/>
      <c r="EB193" s="3"/>
      <c r="EC193" s="3"/>
      <c r="ED193" s="3"/>
      <c r="EE193" s="3"/>
      <c r="EF193" s="3"/>
      <c r="EG193" s="3"/>
      <c r="EH193" s="3"/>
      <c r="EI193" s="3"/>
      <c r="EJ193" s="3"/>
      <c r="EK193" s="3"/>
      <c r="EL193" s="3"/>
      <c r="EM193" s="3"/>
      <c r="EN193" s="3"/>
      <c r="EO193" s="3"/>
      <c r="EP193" s="3"/>
      <c r="EQ193" s="3"/>
      <c r="ER193" s="3"/>
      <c r="ES193" s="3"/>
      <c r="ET193" s="3"/>
      <c r="EU193" s="3"/>
      <c r="EV193" s="3"/>
      <c r="EW193" s="3"/>
      <c r="EX193" s="3"/>
      <c r="EY193" s="3"/>
      <c r="EZ193" s="3"/>
      <c r="FA193" s="3"/>
      <c r="FB193" s="3"/>
      <c r="FC193" s="3"/>
      <c r="FD193" s="3"/>
      <c r="FE193" s="3"/>
      <c r="FF193" s="3"/>
      <c r="FG193" s="3"/>
      <c r="FH193" s="3"/>
      <c r="FI193" s="3"/>
      <c r="FJ193" s="3"/>
      <c r="FK193" s="3"/>
      <c r="FL193" s="3"/>
      <c r="FM193" s="3"/>
      <c r="FN193" s="3"/>
      <c r="FO193" s="3"/>
      <c r="FP193" s="3"/>
      <c r="FQ193" s="3"/>
      <c r="FR193" s="3"/>
      <c r="FS193" s="3"/>
      <c r="FT193" s="3"/>
      <c r="FU193" s="3"/>
      <c r="FV193" s="3"/>
      <c r="FW193" s="3"/>
      <c r="FX193" s="3"/>
      <c r="FY193" s="3"/>
      <c r="FZ193" s="3"/>
      <c r="GA193" s="3"/>
      <c r="GB193" s="3"/>
      <c r="GC193" s="3"/>
      <c r="GD193" s="3"/>
      <c r="GE193" s="3"/>
      <c r="GF193" s="3"/>
      <c r="GG193" s="3"/>
      <c r="GH193" s="3"/>
      <c r="GI193" s="3"/>
      <c r="GJ193" s="3"/>
      <c r="GK193" s="3"/>
      <c r="GL193" s="3"/>
      <c r="GM193" s="3"/>
      <c r="GN193" s="3"/>
      <c r="GO193" s="3"/>
      <c r="GP193" s="3"/>
      <c r="GQ193" s="3"/>
      <c r="GR193" s="3"/>
      <c r="GS193" s="3"/>
      <c r="GT193" s="3"/>
      <c r="GU193" s="3"/>
      <c r="GV193" s="3"/>
      <c r="GW193" s="3"/>
      <c r="GX193" s="3"/>
      <c r="GY193" s="3"/>
      <c r="GZ193" s="3"/>
      <c r="HA193" s="3"/>
      <c r="HB193" s="3"/>
      <c r="HC193" s="3"/>
      <c r="HD193" s="3"/>
      <c r="HE193" s="3"/>
      <c r="HF193" s="3"/>
      <c r="HG193" s="3"/>
      <c r="HH193" s="3"/>
      <c r="HI193" s="3"/>
      <c r="HJ193" s="3"/>
      <c r="HK193" s="3"/>
      <c r="HL193" s="3"/>
      <c r="HM193" s="3"/>
      <c r="HN193" s="3"/>
      <c r="HO193" s="3"/>
      <c r="HP193" s="3"/>
      <c r="HQ193" s="3"/>
      <c r="HR193" s="3"/>
      <c r="HS193" s="3"/>
      <c r="HT193" s="3"/>
      <c r="HU193" s="3"/>
      <c r="HV193" s="3"/>
      <c r="HW193" s="3"/>
      <c r="HX193" s="3"/>
      <c r="HY193" s="3"/>
      <c r="HZ193" s="3"/>
      <c r="IA193" s="3"/>
      <c r="IB193" s="3"/>
      <c r="IC193" s="3"/>
      <c r="ID193" s="3"/>
      <c r="IE193" s="3"/>
      <c r="IF193" s="3"/>
      <c r="IG193" s="3"/>
      <c r="IH193" s="3"/>
      <c r="II193" s="3"/>
      <c r="IJ193" s="3"/>
      <c r="IK193" s="3"/>
      <c r="IL193" s="3"/>
    </row>
    <row r="194" spans="11:246" x14ac:dyDescent="0.35">
      <c r="M194" s="123"/>
      <c r="P194" t="s">
        <v>801</v>
      </c>
      <c r="Q194" s="123">
        <f>E126+FCI_Restate+Land_Cap_Restate+Working_Cap_Restate</f>
        <v>423179160.15149826</v>
      </c>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c r="DA194" s="3"/>
      <c r="DB194" s="3"/>
      <c r="DC194" s="3"/>
      <c r="DD194" s="3"/>
      <c r="DE194" s="3"/>
      <c r="DF194" s="3"/>
      <c r="DG194" s="3"/>
      <c r="DH194" s="3"/>
      <c r="DI194" s="3"/>
      <c r="DJ194" s="3"/>
      <c r="DK194" s="3"/>
      <c r="DL194" s="3"/>
      <c r="DM194" s="3"/>
      <c r="DN194" s="3"/>
      <c r="DO194" s="3"/>
      <c r="DP194" s="3"/>
      <c r="DQ194" s="3"/>
      <c r="DR194" s="3"/>
      <c r="DS194" s="3"/>
      <c r="DT194" s="3"/>
      <c r="DU194" s="3"/>
      <c r="DV194" s="3"/>
      <c r="DW194" s="3"/>
      <c r="DX194" s="3"/>
      <c r="DY194" s="3"/>
      <c r="DZ194" s="3"/>
      <c r="EA194" s="3"/>
      <c r="EB194" s="3"/>
      <c r="EC194" s="3"/>
      <c r="ED194" s="3"/>
      <c r="EE194" s="3"/>
      <c r="EF194" s="3"/>
      <c r="EG194" s="3"/>
      <c r="EH194" s="3"/>
      <c r="EI194" s="3"/>
      <c r="EJ194" s="3"/>
      <c r="EK194" s="3"/>
      <c r="EL194" s="3"/>
      <c r="EM194" s="3"/>
      <c r="EN194" s="3"/>
      <c r="EO194" s="3"/>
      <c r="EP194" s="3"/>
      <c r="EQ194" s="3"/>
      <c r="ER194" s="3"/>
      <c r="ES194" s="3"/>
      <c r="ET194" s="3"/>
      <c r="EU194" s="3"/>
      <c r="EV194" s="3"/>
      <c r="EW194" s="3"/>
      <c r="EX194" s="3"/>
      <c r="EY194" s="3"/>
      <c r="EZ194" s="3"/>
      <c r="FA194" s="3"/>
      <c r="FB194" s="3"/>
      <c r="FC194" s="3"/>
      <c r="FD194" s="3"/>
      <c r="FE194" s="3"/>
      <c r="FF194" s="3"/>
      <c r="FG194" s="3"/>
      <c r="FH194" s="3"/>
      <c r="FI194" s="3"/>
      <c r="FJ194" s="3"/>
      <c r="FK194" s="3"/>
      <c r="FL194" s="3"/>
      <c r="FM194" s="3"/>
      <c r="FN194" s="3"/>
      <c r="FO194" s="3"/>
      <c r="FP194" s="3"/>
      <c r="FQ194" s="3"/>
      <c r="FR194" s="3"/>
      <c r="FS194" s="3"/>
      <c r="FT194" s="3"/>
      <c r="FU194" s="3"/>
      <c r="FV194" s="3"/>
      <c r="FW194" s="3"/>
      <c r="FX194" s="3"/>
      <c r="FY194" s="3"/>
      <c r="FZ194" s="3"/>
      <c r="GA194" s="3"/>
      <c r="GB194" s="3"/>
      <c r="GC194" s="3"/>
      <c r="GD194" s="3"/>
      <c r="GE194" s="3"/>
      <c r="GF194" s="3"/>
      <c r="GG194" s="3"/>
      <c r="GH194" s="3"/>
      <c r="GI194" s="3"/>
      <c r="GJ194" s="3"/>
      <c r="GK194" s="3"/>
      <c r="GL194" s="3"/>
      <c r="GM194" s="3"/>
      <c r="GN194" s="3"/>
      <c r="GO194" s="3"/>
      <c r="GP194" s="3"/>
      <c r="GQ194" s="3"/>
      <c r="GR194" s="3"/>
      <c r="GS194" s="3"/>
      <c r="GT194" s="3"/>
      <c r="GU194" s="3"/>
      <c r="GV194" s="3"/>
      <c r="GW194" s="3"/>
      <c r="GX194" s="3"/>
      <c r="GY194" s="3"/>
      <c r="GZ194" s="3"/>
      <c r="HA194" s="3"/>
      <c r="HB194" s="3"/>
      <c r="HC194" s="3"/>
      <c r="HD194" s="3"/>
      <c r="HE194" s="3"/>
      <c r="HF194" s="3"/>
      <c r="HG194" s="3"/>
      <c r="HH194" s="3"/>
      <c r="HI194" s="3"/>
      <c r="HJ194" s="3"/>
      <c r="HK194" s="3"/>
      <c r="HL194" s="3"/>
      <c r="HM194" s="3"/>
      <c r="HN194" s="3"/>
      <c r="HO194" s="3"/>
      <c r="HP194" s="3"/>
      <c r="HQ194" s="3"/>
      <c r="HR194" s="3"/>
      <c r="HS194" s="3"/>
      <c r="HT194" s="3"/>
      <c r="HU194" s="3"/>
      <c r="HV194" s="3"/>
      <c r="HW194" s="3"/>
      <c r="HX194" s="3"/>
      <c r="HY194" s="3"/>
      <c r="HZ194" s="3"/>
      <c r="IA194" s="3"/>
      <c r="IB194" s="3"/>
      <c r="IC194" s="3"/>
      <c r="ID194" s="3"/>
      <c r="IE194" s="3"/>
      <c r="IF194" s="3"/>
      <c r="IG194" s="3"/>
      <c r="IH194" s="3"/>
      <c r="II194" s="3"/>
      <c r="IJ194" s="3"/>
      <c r="IK194" s="3"/>
      <c r="IL194" s="3"/>
    </row>
    <row r="195" spans="11:246" x14ac:dyDescent="0.35">
      <c r="M195" s="123"/>
      <c r="P195" t="s">
        <v>652</v>
      </c>
      <c r="Q195" s="208">
        <f>E156</f>
        <v>528162879.58509403</v>
      </c>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c r="DA195" s="3"/>
      <c r="DB195" s="3"/>
      <c r="DC195" s="3"/>
      <c r="DD195" s="3"/>
      <c r="DE195" s="3"/>
      <c r="DF195" s="3"/>
      <c r="DG195" s="3"/>
      <c r="DH195" s="3"/>
      <c r="DI195" s="3"/>
      <c r="DJ195" s="3"/>
      <c r="DK195" s="3"/>
      <c r="DL195" s="3"/>
      <c r="DM195" s="3"/>
      <c r="DN195" s="3"/>
      <c r="DO195" s="3"/>
      <c r="DP195" s="3"/>
      <c r="DQ195" s="3"/>
      <c r="DR195" s="3"/>
      <c r="DS195" s="3"/>
      <c r="DT195" s="3"/>
      <c r="DU195" s="3"/>
      <c r="DV195" s="3"/>
      <c r="DW195" s="3"/>
      <c r="DX195" s="3"/>
      <c r="DY195" s="3"/>
      <c r="DZ195" s="3"/>
      <c r="EA195" s="3"/>
      <c r="EB195" s="3"/>
      <c r="EC195" s="3"/>
      <c r="ED195" s="3"/>
      <c r="EE195" s="3"/>
      <c r="EF195" s="3"/>
      <c r="EG195" s="3"/>
      <c r="EH195" s="3"/>
      <c r="EI195" s="3"/>
      <c r="EJ195" s="3"/>
      <c r="EK195" s="3"/>
      <c r="EL195" s="3"/>
      <c r="EM195" s="3"/>
      <c r="EN195" s="3"/>
      <c r="EO195" s="3"/>
      <c r="EP195" s="3"/>
      <c r="EQ195" s="3"/>
      <c r="ER195" s="3"/>
      <c r="ES195" s="3"/>
      <c r="ET195" s="3"/>
      <c r="EU195" s="3"/>
      <c r="EV195" s="3"/>
      <c r="EW195" s="3"/>
      <c r="EX195" s="3"/>
      <c r="EY195" s="3"/>
      <c r="EZ195" s="3"/>
      <c r="FA195" s="3"/>
      <c r="FB195" s="3"/>
      <c r="FC195" s="3"/>
      <c r="FD195" s="3"/>
      <c r="FE195" s="3"/>
      <c r="FF195" s="3"/>
      <c r="FG195" s="3"/>
      <c r="FH195" s="3"/>
      <c r="FI195" s="3"/>
      <c r="FJ195" s="3"/>
      <c r="FK195" s="3"/>
      <c r="FL195" s="3"/>
      <c r="FM195" s="3"/>
      <c r="FN195" s="3"/>
      <c r="FO195" s="3"/>
      <c r="FP195" s="3"/>
      <c r="FQ195" s="3"/>
      <c r="FR195" s="3"/>
      <c r="FS195" s="3"/>
      <c r="FT195" s="3"/>
      <c r="FU195" s="3"/>
      <c r="FV195" s="3"/>
      <c r="FW195" s="3"/>
      <c r="FX195" s="3"/>
      <c r="FY195" s="3"/>
      <c r="FZ195" s="3"/>
      <c r="GA195" s="3"/>
      <c r="GB195" s="3"/>
      <c r="GC195" s="3"/>
      <c r="GD195" s="3"/>
      <c r="GE195" s="3"/>
      <c r="GF195" s="3"/>
      <c r="GG195" s="3"/>
      <c r="GH195" s="3"/>
      <c r="GI195" s="3"/>
      <c r="GJ195" s="3"/>
      <c r="GK195" s="3"/>
      <c r="GL195" s="3"/>
      <c r="GM195" s="3"/>
      <c r="GN195" s="3"/>
      <c r="GO195" s="3"/>
      <c r="GP195" s="3"/>
      <c r="GQ195" s="3"/>
      <c r="GR195" s="3"/>
      <c r="GS195" s="3"/>
      <c r="GT195" s="3"/>
      <c r="GU195" s="3"/>
      <c r="GV195" s="3"/>
      <c r="GW195" s="3"/>
      <c r="GX195" s="3"/>
      <c r="GY195" s="3"/>
      <c r="GZ195" s="3"/>
      <c r="HA195" s="3"/>
      <c r="HB195" s="3"/>
      <c r="HC195" s="3"/>
      <c r="HD195" s="3"/>
      <c r="HE195" s="3"/>
      <c r="HF195" s="3"/>
      <c r="HG195" s="3"/>
      <c r="HH195" s="3"/>
      <c r="HI195" s="3"/>
      <c r="HJ195" s="3"/>
      <c r="HK195" s="3"/>
      <c r="HL195" s="3"/>
      <c r="HM195" s="3"/>
      <c r="HN195" s="3"/>
      <c r="HO195" s="3"/>
      <c r="HP195" s="3"/>
      <c r="HQ195" s="3"/>
      <c r="HR195" s="3"/>
      <c r="HS195" s="3"/>
      <c r="HT195" s="3"/>
      <c r="HU195" s="3"/>
      <c r="HV195" s="3"/>
      <c r="HW195" s="3"/>
      <c r="HX195" s="3"/>
      <c r="HY195" s="3"/>
      <c r="HZ195" s="3"/>
      <c r="IA195" s="3"/>
      <c r="IB195" s="3"/>
      <c r="IC195" s="3"/>
      <c r="ID195" s="3"/>
      <c r="IE195" s="3"/>
      <c r="IF195" s="3"/>
      <c r="IG195" s="3"/>
      <c r="IH195" s="3"/>
      <c r="II195" s="3"/>
      <c r="IJ195" s="3"/>
      <c r="IK195" s="3"/>
      <c r="IL195" s="3"/>
    </row>
    <row r="196" spans="11:246" x14ac:dyDescent="0.35">
      <c r="M196" s="123"/>
      <c r="P196" t="s">
        <v>654</v>
      </c>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c r="DA196" s="3"/>
      <c r="DB196" s="3"/>
      <c r="DC196" s="3"/>
      <c r="DD196" s="3"/>
      <c r="DE196" s="3"/>
      <c r="DF196" s="3"/>
      <c r="DG196" s="3"/>
      <c r="DH196" s="3"/>
      <c r="DI196" s="3"/>
      <c r="DJ196" s="3"/>
      <c r="DK196" s="3"/>
      <c r="DL196" s="3"/>
      <c r="DM196" s="3"/>
      <c r="DN196" s="3"/>
      <c r="DO196" s="3"/>
      <c r="DP196" s="3"/>
      <c r="DQ196" s="3"/>
      <c r="DR196" s="3"/>
      <c r="DS196" s="3"/>
      <c r="DT196" s="3"/>
      <c r="DU196" s="3"/>
      <c r="DV196" s="3"/>
      <c r="DW196" s="3"/>
      <c r="DX196" s="3"/>
      <c r="DY196" s="3"/>
      <c r="DZ196" s="3"/>
      <c r="EA196" s="3"/>
      <c r="EB196" s="3"/>
      <c r="EC196" s="3"/>
      <c r="ED196" s="3"/>
      <c r="EE196" s="3"/>
      <c r="EF196" s="3"/>
      <c r="EG196" s="3"/>
      <c r="EH196" s="3"/>
      <c r="EI196" s="3"/>
      <c r="EJ196" s="3"/>
      <c r="EK196" s="3"/>
      <c r="EL196" s="3"/>
      <c r="EM196" s="3"/>
      <c r="EN196" s="3"/>
      <c r="EO196" s="3"/>
      <c r="EP196" s="3"/>
      <c r="EQ196" s="3"/>
      <c r="ER196" s="3"/>
      <c r="ES196" s="3"/>
      <c r="ET196" s="3"/>
      <c r="EU196" s="3"/>
      <c r="EV196" s="3"/>
      <c r="EW196" s="3"/>
      <c r="EX196" s="3"/>
      <c r="EY196" s="3"/>
      <c r="EZ196" s="3"/>
      <c r="FA196" s="3"/>
      <c r="FB196" s="3"/>
      <c r="FC196" s="3"/>
      <c r="FD196" s="3"/>
      <c r="FE196" s="3"/>
      <c r="FF196" s="3"/>
      <c r="FG196" s="3"/>
      <c r="FH196" s="3"/>
      <c r="FI196" s="3"/>
      <c r="FJ196" s="3"/>
      <c r="FK196" s="3"/>
      <c r="FL196" s="3"/>
      <c r="FM196" s="3"/>
      <c r="FN196" s="3"/>
      <c r="FO196" s="3"/>
      <c r="FP196" s="3"/>
      <c r="FQ196" s="3"/>
      <c r="FR196" s="3"/>
      <c r="FS196" s="3"/>
      <c r="FT196" s="3"/>
      <c r="FU196" s="3"/>
      <c r="FV196" s="3"/>
      <c r="FW196" s="3"/>
      <c r="FX196" s="3"/>
      <c r="FY196" s="3"/>
      <c r="FZ196" s="3"/>
      <c r="GA196" s="3"/>
      <c r="GB196" s="3"/>
      <c r="GC196" s="3"/>
      <c r="GD196" s="3"/>
      <c r="GE196" s="3"/>
      <c r="GF196" s="3"/>
      <c r="GG196" s="3"/>
      <c r="GH196" s="3"/>
      <c r="GI196" s="3"/>
      <c r="GJ196" s="3"/>
      <c r="GK196" s="3"/>
      <c r="GL196" s="3"/>
      <c r="GM196" s="3"/>
      <c r="GN196" s="3"/>
      <c r="GO196" s="3"/>
      <c r="GP196" s="3"/>
      <c r="GQ196" s="3"/>
      <c r="GR196" s="3"/>
      <c r="GS196" s="3"/>
      <c r="GT196" s="3"/>
      <c r="GU196" s="3"/>
      <c r="GV196" s="3"/>
      <c r="GW196" s="3"/>
      <c r="GX196" s="3"/>
      <c r="GY196" s="3"/>
      <c r="GZ196" s="3"/>
      <c r="HA196" s="3"/>
      <c r="HB196" s="3"/>
      <c r="HC196" s="3"/>
      <c r="HD196" s="3"/>
      <c r="HE196" s="3"/>
      <c r="HF196" s="3"/>
      <c r="HG196" s="3"/>
      <c r="HH196" s="3"/>
      <c r="HI196" s="3"/>
      <c r="HJ196" s="3"/>
      <c r="HK196" s="3"/>
      <c r="HL196" s="3"/>
      <c r="HM196" s="3"/>
      <c r="HN196" s="3"/>
      <c r="HO196" s="3"/>
      <c r="HP196" s="3"/>
      <c r="HQ196" s="3"/>
      <c r="HR196" s="3"/>
      <c r="HS196" s="3"/>
      <c r="HT196" s="3"/>
      <c r="HU196" s="3"/>
      <c r="HV196" s="3"/>
      <c r="HW196" s="3"/>
      <c r="HX196" s="3"/>
      <c r="HY196" s="3"/>
      <c r="HZ196" s="3"/>
      <c r="IA196" s="3"/>
      <c r="IB196" s="3"/>
      <c r="IC196" s="3"/>
      <c r="ID196" s="3"/>
      <c r="IE196" s="3"/>
      <c r="IF196" s="3"/>
      <c r="IG196" s="3"/>
      <c r="IH196" s="3"/>
      <c r="II196" s="3"/>
      <c r="IJ196" s="3"/>
      <c r="IK196" s="3"/>
      <c r="IL196" s="3"/>
    </row>
    <row r="197" spans="11:246" x14ac:dyDescent="0.35">
      <c r="M197" s="68"/>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c r="DA197" s="3"/>
      <c r="DB197" s="3"/>
      <c r="DC197" s="3"/>
      <c r="DD197" s="3"/>
      <c r="DE197" s="3"/>
      <c r="DF197" s="3"/>
      <c r="DG197" s="3"/>
      <c r="DH197" s="3"/>
      <c r="DI197" s="3"/>
      <c r="DJ197" s="3"/>
      <c r="DK197" s="3"/>
      <c r="DL197" s="3"/>
      <c r="DM197" s="3"/>
      <c r="DN197" s="3"/>
      <c r="DO197" s="3"/>
      <c r="DP197" s="3"/>
      <c r="DQ197" s="3"/>
      <c r="DR197" s="3"/>
      <c r="DS197" s="3"/>
      <c r="DT197" s="3"/>
      <c r="DU197" s="3"/>
      <c r="DV197" s="3"/>
      <c r="DW197" s="3"/>
      <c r="DX197" s="3"/>
      <c r="DY197" s="3"/>
      <c r="DZ197" s="3"/>
      <c r="EA197" s="3"/>
      <c r="EB197" s="3"/>
      <c r="EC197" s="3"/>
      <c r="ED197" s="3"/>
      <c r="EE197" s="3"/>
      <c r="EF197" s="3"/>
      <c r="EG197" s="3"/>
      <c r="EH197" s="3"/>
      <c r="EI197" s="3"/>
      <c r="EJ197" s="3"/>
      <c r="EK197" s="3"/>
      <c r="EL197" s="3"/>
      <c r="EM197" s="3"/>
      <c r="EN197" s="3"/>
      <c r="EO197" s="3"/>
      <c r="EP197" s="3"/>
      <c r="EQ197" s="3"/>
      <c r="ER197" s="3"/>
      <c r="ES197" s="3"/>
      <c r="ET197" s="3"/>
      <c r="EU197" s="3"/>
      <c r="EV197" s="3"/>
      <c r="EW197" s="3"/>
      <c r="EX197" s="3"/>
      <c r="EY197" s="3"/>
      <c r="EZ197" s="3"/>
      <c r="FA197" s="3"/>
      <c r="FB197" s="3"/>
      <c r="FC197" s="3"/>
      <c r="FD197" s="3"/>
      <c r="FE197" s="3"/>
      <c r="FF197" s="3"/>
      <c r="FG197" s="3"/>
      <c r="FH197" s="3"/>
      <c r="FI197" s="3"/>
      <c r="FJ197" s="3"/>
      <c r="FK197" s="3"/>
      <c r="FL197" s="3"/>
      <c r="FM197" s="3"/>
      <c r="FN197" s="3"/>
      <c r="FO197" s="3"/>
      <c r="FP197" s="3"/>
      <c r="FQ197" s="3"/>
      <c r="FR197" s="3"/>
      <c r="FS197" s="3"/>
      <c r="FT197" s="3"/>
      <c r="FU197" s="3"/>
      <c r="FV197" s="3"/>
      <c r="FW197" s="3"/>
      <c r="FX197" s="3"/>
      <c r="FY197" s="3"/>
      <c r="FZ197" s="3"/>
      <c r="GA197" s="3"/>
      <c r="GB197" s="3"/>
      <c r="GC197" s="3"/>
      <c r="GD197" s="3"/>
      <c r="GE197" s="3"/>
      <c r="GF197" s="3"/>
      <c r="GG197" s="3"/>
      <c r="GH197" s="3"/>
      <c r="GI197" s="3"/>
      <c r="GJ197" s="3"/>
      <c r="GK197" s="3"/>
      <c r="GL197" s="3"/>
      <c r="GM197" s="3"/>
      <c r="GN197" s="3"/>
      <c r="GO197" s="3"/>
      <c r="GP197" s="3"/>
      <c r="GQ197" s="3"/>
      <c r="GR197" s="3"/>
      <c r="GS197" s="3"/>
      <c r="GT197" s="3"/>
      <c r="GU197" s="3"/>
      <c r="GV197" s="3"/>
      <c r="GW197" s="3"/>
      <c r="GX197" s="3"/>
      <c r="GY197" s="3"/>
      <c r="GZ197" s="3"/>
      <c r="HA197" s="3"/>
      <c r="HB197" s="3"/>
      <c r="HC197" s="3"/>
      <c r="HD197" s="3"/>
      <c r="HE197" s="3"/>
      <c r="HF197" s="3"/>
      <c r="HG197" s="3"/>
      <c r="HH197" s="3"/>
      <c r="HI197" s="3"/>
      <c r="HJ197" s="3"/>
      <c r="HK197" s="3"/>
      <c r="HL197" s="3"/>
      <c r="HM197" s="3"/>
      <c r="HN197" s="3"/>
      <c r="HO197" s="3"/>
      <c r="HP197" s="3"/>
      <c r="HQ197" s="3"/>
      <c r="HR197" s="3"/>
      <c r="HS197" s="3"/>
      <c r="HT197" s="3"/>
      <c r="HU197" s="3"/>
      <c r="HV197" s="3"/>
      <c r="HW197" s="3"/>
      <c r="HX197" s="3"/>
      <c r="HY197" s="3"/>
      <c r="HZ197" s="3"/>
      <c r="IA197" s="3"/>
      <c r="IB197" s="3"/>
      <c r="IC197" s="3"/>
      <c r="ID197" s="3"/>
      <c r="IE197" s="3"/>
      <c r="IF197" s="3"/>
      <c r="IG197" s="3"/>
      <c r="IH197" s="3"/>
      <c r="II197" s="3"/>
      <c r="IJ197" s="3"/>
      <c r="IK197" s="3"/>
      <c r="IL197" s="3"/>
    </row>
    <row r="198" spans="11:246" x14ac:dyDescent="0.35">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c r="DA198" s="3"/>
      <c r="DB198" s="3"/>
      <c r="DC198" s="3"/>
      <c r="DD198" s="3"/>
      <c r="DE198" s="3"/>
      <c r="DF198" s="3"/>
      <c r="DG198" s="3"/>
      <c r="DH198" s="3"/>
      <c r="DI198" s="3"/>
      <c r="DJ198" s="3"/>
      <c r="DK198" s="3"/>
      <c r="DL198" s="3"/>
      <c r="DM198" s="3"/>
      <c r="DN198" s="3"/>
      <c r="DO198" s="3"/>
      <c r="DP198" s="3"/>
      <c r="DQ198" s="3"/>
      <c r="DR198" s="3"/>
      <c r="DS198" s="3"/>
      <c r="DT198" s="3"/>
      <c r="DU198" s="3"/>
      <c r="DV198" s="3"/>
      <c r="DW198" s="3"/>
      <c r="DX198" s="3"/>
      <c r="DY198" s="3"/>
      <c r="DZ198" s="3"/>
      <c r="EA198" s="3"/>
      <c r="EB198" s="3"/>
      <c r="EC198" s="3"/>
      <c r="ED198" s="3"/>
      <c r="EE198" s="3"/>
      <c r="EF198" s="3"/>
      <c r="EG198" s="3"/>
      <c r="EH198" s="3"/>
      <c r="EI198" s="3"/>
      <c r="EJ198" s="3"/>
      <c r="EK198" s="3"/>
      <c r="EL198" s="3"/>
      <c r="EM198" s="3"/>
      <c r="EN198" s="3"/>
      <c r="EO198" s="3"/>
      <c r="EP198" s="3"/>
      <c r="EQ198" s="3"/>
      <c r="ER198" s="3"/>
      <c r="ES198" s="3"/>
      <c r="ET198" s="3"/>
      <c r="EU198" s="3"/>
      <c r="EV198" s="3"/>
      <c r="EW198" s="3"/>
      <c r="EX198" s="3"/>
      <c r="EY198" s="3"/>
      <c r="EZ198" s="3"/>
      <c r="FA198" s="3"/>
      <c r="FB198" s="3"/>
      <c r="FC198" s="3"/>
      <c r="FD198" s="3"/>
      <c r="FE198" s="3"/>
      <c r="FF198" s="3"/>
      <c r="FG198" s="3"/>
      <c r="FH198" s="3"/>
      <c r="FI198" s="3"/>
      <c r="FJ198" s="3"/>
      <c r="FK198" s="3"/>
      <c r="FL198" s="3"/>
      <c r="FM198" s="3"/>
      <c r="FN198" s="3"/>
      <c r="FO198" s="3"/>
      <c r="FP198" s="3"/>
      <c r="FQ198" s="3"/>
      <c r="FR198" s="3"/>
      <c r="FS198" s="3"/>
      <c r="FT198" s="3"/>
      <c r="FU198" s="3"/>
      <c r="FV198" s="3"/>
      <c r="FW198" s="3"/>
      <c r="FX198" s="3"/>
      <c r="FY198" s="3"/>
      <c r="FZ198" s="3"/>
      <c r="GA198" s="3"/>
      <c r="GB198" s="3"/>
      <c r="GC198" s="3"/>
      <c r="GD198" s="3"/>
      <c r="GE198" s="3"/>
      <c r="GF198" s="3"/>
      <c r="GG198" s="3"/>
      <c r="GH198" s="3"/>
      <c r="GI198" s="3"/>
      <c r="GJ198" s="3"/>
      <c r="GK198" s="3"/>
      <c r="GL198" s="3"/>
      <c r="GM198" s="3"/>
      <c r="GN198" s="3"/>
      <c r="GO198" s="3"/>
      <c r="GP198" s="3"/>
      <c r="GQ198" s="3"/>
      <c r="GR198" s="3"/>
      <c r="GS198" s="3"/>
      <c r="GT198" s="3"/>
      <c r="GU198" s="3"/>
      <c r="GV198" s="3"/>
      <c r="GW198" s="3"/>
      <c r="GX198" s="3"/>
      <c r="GY198" s="3"/>
      <c r="GZ198" s="3"/>
      <c r="HA198" s="3"/>
      <c r="HB198" s="3"/>
      <c r="HC198" s="3"/>
      <c r="HD198" s="3"/>
      <c r="HE198" s="3"/>
      <c r="HF198" s="3"/>
      <c r="HG198" s="3"/>
      <c r="HH198" s="3"/>
      <c r="HI198" s="3"/>
      <c r="HJ198" s="3"/>
      <c r="HK198" s="3"/>
      <c r="HL198" s="3"/>
      <c r="HM198" s="3"/>
      <c r="HN198" s="3"/>
      <c r="HO198" s="3"/>
      <c r="HP198" s="3"/>
      <c r="HQ198" s="3"/>
      <c r="HR198" s="3"/>
      <c r="HS198" s="3"/>
      <c r="HT198" s="3"/>
      <c r="HU198" s="3"/>
      <c r="HV198" s="3"/>
      <c r="HW198" s="3"/>
      <c r="HX198" s="3"/>
      <c r="HY198" s="3"/>
      <c r="HZ198" s="3"/>
      <c r="IA198" s="3"/>
      <c r="IB198" s="3"/>
      <c r="IC198" s="3"/>
      <c r="ID198" s="3"/>
      <c r="IE198" s="3"/>
      <c r="IF198" s="3"/>
      <c r="IG198" s="3"/>
      <c r="IH198" s="3"/>
      <c r="II198" s="3"/>
      <c r="IJ198" s="3"/>
      <c r="IK198" s="3"/>
      <c r="IL198" s="3"/>
    </row>
    <row r="199" spans="11:246" x14ac:dyDescent="0.35">
      <c r="N199" s="4" t="s">
        <v>770</v>
      </c>
      <c r="O199">
        <f>MESP</f>
        <v>2.4307930833445983</v>
      </c>
      <c r="R199" s="4" t="s">
        <v>806</v>
      </c>
      <c r="S199" s="16">
        <f>E126</f>
        <v>145369390.31536284</v>
      </c>
      <c r="T199">
        <f>S199/S204</f>
        <v>0.18337331530412518</v>
      </c>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c r="DA199" s="3"/>
      <c r="DB199" s="3"/>
      <c r="DC199" s="3"/>
      <c r="DD199" s="3"/>
      <c r="DE199" s="3"/>
      <c r="DF199" s="3"/>
      <c r="DG199" s="3"/>
      <c r="DH199" s="3"/>
      <c r="DI199" s="3"/>
      <c r="DJ199" s="3"/>
      <c r="DK199" s="3"/>
      <c r="DL199" s="3"/>
      <c r="DM199" s="3"/>
      <c r="DN199" s="3"/>
      <c r="DO199" s="3"/>
      <c r="DP199" s="3"/>
      <c r="DQ199" s="3"/>
      <c r="DR199" s="3"/>
      <c r="DS199" s="3"/>
      <c r="DT199" s="3"/>
      <c r="DU199" s="3"/>
      <c r="DV199" s="3"/>
      <c r="DW199" s="3"/>
      <c r="DX199" s="3"/>
      <c r="DY199" s="3"/>
      <c r="DZ199" s="3"/>
      <c r="EA199" s="3"/>
      <c r="EB199" s="3"/>
      <c r="EC199" s="3"/>
      <c r="ED199" s="3"/>
      <c r="EE199" s="3"/>
      <c r="EF199" s="3"/>
      <c r="EG199" s="3"/>
      <c r="EH199" s="3"/>
      <c r="EI199" s="3"/>
      <c r="EJ199" s="3"/>
      <c r="EK199" s="3"/>
      <c r="EL199" s="3"/>
      <c r="EM199" s="3"/>
      <c r="EN199" s="3"/>
      <c r="EO199" s="3"/>
      <c r="EP199" s="3"/>
      <c r="EQ199" s="3"/>
      <c r="ER199" s="3"/>
      <c r="ES199" s="3"/>
      <c r="ET199" s="3"/>
      <c r="EU199" s="3"/>
      <c r="EV199" s="3"/>
      <c r="EW199" s="3"/>
      <c r="EX199" s="3"/>
      <c r="EY199" s="3"/>
      <c r="EZ199" s="3"/>
      <c r="FA199" s="3"/>
      <c r="FB199" s="3"/>
      <c r="FC199" s="3"/>
      <c r="FD199" s="3"/>
      <c r="FE199" s="3"/>
      <c r="FF199" s="3"/>
      <c r="FG199" s="3"/>
      <c r="FH199" s="3"/>
      <c r="FI199" s="3"/>
      <c r="FJ199" s="3"/>
      <c r="FK199" s="3"/>
      <c r="FL199" s="3"/>
      <c r="FM199" s="3"/>
      <c r="FN199" s="3"/>
      <c r="FO199" s="3"/>
      <c r="FP199" s="3"/>
      <c r="FQ199" s="3"/>
      <c r="FR199" s="3"/>
      <c r="FS199" s="3"/>
      <c r="FT199" s="3"/>
      <c r="FU199" s="3"/>
      <c r="FV199" s="3"/>
      <c r="FW199" s="3"/>
      <c r="FX199" s="3"/>
      <c r="FY199" s="3"/>
      <c r="FZ199" s="3"/>
      <c r="GA199" s="3"/>
      <c r="GB199" s="3"/>
      <c r="GC199" s="3"/>
      <c r="GD199" s="3"/>
      <c r="GE199" s="3"/>
      <c r="GF199" s="3"/>
      <c r="GG199" s="3"/>
      <c r="GH199" s="3"/>
      <c r="GI199" s="3"/>
      <c r="GJ199" s="3"/>
      <c r="GK199" s="3"/>
      <c r="GL199" s="3"/>
      <c r="GM199" s="3"/>
      <c r="GN199" s="3"/>
      <c r="GO199" s="3"/>
      <c r="GP199" s="3"/>
      <c r="GQ199" s="3"/>
      <c r="GR199" s="3"/>
      <c r="GS199" s="3"/>
      <c r="GT199" s="3"/>
      <c r="GU199" s="3"/>
      <c r="GV199" s="3"/>
      <c r="GW199" s="3"/>
      <c r="GX199" s="3"/>
      <c r="GY199" s="3"/>
      <c r="GZ199" s="3"/>
      <c r="HA199" s="3"/>
      <c r="HB199" s="3"/>
      <c r="HC199" s="3"/>
      <c r="HD199" s="3"/>
      <c r="HE199" s="3"/>
      <c r="HF199" s="3"/>
      <c r="HG199" s="3"/>
      <c r="HH199" s="3"/>
      <c r="HI199" s="3"/>
      <c r="HJ199" s="3"/>
      <c r="HK199" s="3"/>
      <c r="HL199" s="3"/>
      <c r="HM199" s="3"/>
      <c r="HN199" s="3"/>
      <c r="HO199" s="3"/>
      <c r="HP199" s="3"/>
      <c r="HQ199" s="3"/>
      <c r="HR199" s="3"/>
      <c r="HS199" s="3"/>
      <c r="HT199" s="3"/>
      <c r="HU199" s="3"/>
      <c r="HV199" s="3"/>
      <c r="HW199" s="3"/>
      <c r="HX199" s="3"/>
      <c r="HY199" s="3"/>
      <c r="HZ199" s="3"/>
      <c r="IA199" s="3"/>
      <c r="IB199" s="3"/>
      <c r="IC199" s="3"/>
      <c r="ID199" s="3"/>
      <c r="IE199" s="3"/>
      <c r="IF199" s="3"/>
      <c r="IG199" s="3"/>
      <c r="IH199" s="3"/>
      <c r="II199" s="3"/>
      <c r="IJ199" s="3"/>
      <c r="IK199" s="3"/>
      <c r="IL199" s="3"/>
    </row>
    <row r="200" spans="11:246" x14ac:dyDescent="0.35">
      <c r="M200" t="s">
        <v>652</v>
      </c>
      <c r="R200" s="205" t="s">
        <v>765</v>
      </c>
      <c r="S200" s="16">
        <f>E154</f>
        <v>3022497.9722617497</v>
      </c>
      <c r="T200">
        <f>S200/S$204</f>
        <v>3.8126697269023312E-3</v>
      </c>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c r="DA200" s="3"/>
      <c r="DB200" s="3"/>
      <c r="DC200" s="3"/>
      <c r="DD200" s="3"/>
      <c r="DE200" s="3"/>
      <c r="DF200" s="3"/>
      <c r="DG200" s="3"/>
      <c r="DH200" s="3"/>
      <c r="DI200" s="3"/>
      <c r="DJ200" s="3"/>
      <c r="DK200" s="3"/>
      <c r="DL200" s="3"/>
      <c r="DM200" s="3"/>
      <c r="DN200" s="3"/>
      <c r="DO200" s="3"/>
      <c r="DP200" s="3"/>
      <c r="DQ200" s="3"/>
      <c r="DR200" s="3"/>
      <c r="DS200" s="3"/>
      <c r="DT200" s="3"/>
      <c r="DU200" s="3"/>
      <c r="DV200" s="3"/>
      <c r="DW200" s="3"/>
      <c r="DX200" s="3"/>
      <c r="DY200" s="3"/>
      <c r="DZ200" s="3"/>
      <c r="EA200" s="3"/>
      <c r="EB200" s="3"/>
      <c r="EC200" s="3"/>
      <c r="ED200" s="3"/>
      <c r="EE200" s="3"/>
      <c r="EF200" s="3"/>
      <c r="EG200" s="3"/>
      <c r="EH200" s="3"/>
      <c r="EI200" s="3"/>
      <c r="EJ200" s="3"/>
      <c r="EK200" s="3"/>
      <c r="EL200" s="3"/>
      <c r="EM200" s="3"/>
      <c r="EN200" s="3"/>
      <c r="EO200" s="3"/>
      <c r="EP200" s="3"/>
      <c r="EQ200" s="3"/>
      <c r="ER200" s="3"/>
      <c r="ES200" s="3"/>
      <c r="ET200" s="3"/>
      <c r="EU200" s="3"/>
      <c r="EV200" s="3"/>
      <c r="EW200" s="3"/>
      <c r="EX200" s="3"/>
      <c r="EY200" s="3"/>
      <c r="EZ200" s="3"/>
      <c r="FA200" s="3"/>
      <c r="FB200" s="3"/>
      <c r="FC200" s="3"/>
      <c r="FD200" s="3"/>
      <c r="FE200" s="3"/>
      <c r="FF200" s="3"/>
      <c r="FG200" s="3"/>
      <c r="FH200" s="3"/>
      <c r="FI200" s="3"/>
      <c r="FJ200" s="3"/>
      <c r="FK200" s="3"/>
      <c r="FL200" s="3"/>
      <c r="FM200" s="3"/>
      <c r="FN200" s="3"/>
      <c r="FO200" s="3"/>
      <c r="FP200" s="3"/>
      <c r="FQ200" s="3"/>
      <c r="FR200" s="3"/>
      <c r="FS200" s="3"/>
      <c r="FT200" s="3"/>
      <c r="FU200" s="3"/>
      <c r="FV200" s="3"/>
      <c r="FW200" s="3"/>
      <c r="FX200" s="3"/>
      <c r="FY200" s="3"/>
      <c r="FZ200" s="3"/>
      <c r="GA200" s="3"/>
      <c r="GB200" s="3"/>
      <c r="GC200" s="3"/>
      <c r="GD200" s="3"/>
      <c r="GE200" s="3"/>
      <c r="GF200" s="3"/>
      <c r="GG200" s="3"/>
      <c r="GH200" s="3"/>
      <c r="GI200" s="3"/>
      <c r="GJ200" s="3"/>
      <c r="GK200" s="3"/>
      <c r="GL200" s="3"/>
      <c r="GM200" s="3"/>
      <c r="GN200" s="3"/>
      <c r="GO200" s="3"/>
      <c r="GP200" s="3"/>
      <c r="GQ200" s="3"/>
      <c r="GR200" s="3"/>
      <c r="GS200" s="3"/>
      <c r="GT200" s="3"/>
      <c r="GU200" s="3"/>
      <c r="GV200" s="3"/>
      <c r="GW200" s="3"/>
      <c r="GX200" s="3"/>
      <c r="GY200" s="3"/>
      <c r="GZ200" s="3"/>
      <c r="HA200" s="3"/>
      <c r="HB200" s="3"/>
      <c r="HC200" s="3"/>
      <c r="HD200" s="3"/>
      <c r="HE200" s="3"/>
      <c r="HF200" s="3"/>
      <c r="HG200" s="3"/>
      <c r="HH200" s="3"/>
      <c r="HI200" s="3"/>
      <c r="HJ200" s="3"/>
      <c r="HK200" s="3"/>
      <c r="HL200" s="3"/>
      <c r="HM200" s="3"/>
      <c r="HN200" s="3"/>
      <c r="HO200" s="3"/>
      <c r="HP200" s="3"/>
      <c r="HQ200" s="3"/>
      <c r="HR200" s="3"/>
      <c r="HS200" s="3"/>
      <c r="HT200" s="3"/>
      <c r="HU200" s="3"/>
      <c r="HV200" s="3"/>
      <c r="HW200" s="3"/>
      <c r="HX200" s="3"/>
      <c r="HY200" s="3"/>
      <c r="HZ200" s="3"/>
      <c r="IA200" s="3"/>
      <c r="IB200" s="3"/>
      <c r="IC200" s="3"/>
      <c r="ID200" s="3"/>
      <c r="IE200" s="3"/>
      <c r="IF200" s="3"/>
      <c r="IG200" s="3"/>
      <c r="IH200" s="3"/>
      <c r="II200" s="3"/>
      <c r="IJ200" s="3"/>
      <c r="IK200" s="3"/>
      <c r="IL200" s="3"/>
    </row>
    <row r="201" spans="11:246" x14ac:dyDescent="0.35">
      <c r="L201" t="s">
        <v>628</v>
      </c>
      <c r="M201" s="278">
        <f>J27</f>
        <v>6.6765419847342354E-3</v>
      </c>
      <c r="R201" s="205" t="s">
        <v>767</v>
      </c>
      <c r="S201" s="16">
        <f>E156</f>
        <v>528162879.58509403</v>
      </c>
      <c r="T201">
        <f>S201/S$204</f>
        <v>0.66624052037354387</v>
      </c>
      <c r="V201" t="s">
        <v>802</v>
      </c>
      <c r="W201">
        <f>Variable_OPEX_Total/(Variable_OPEX_Total+Fixed_OPEX_Total)</f>
        <v>0.81181947060807336</v>
      </c>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c r="DA201" s="3"/>
      <c r="DB201" s="3"/>
      <c r="DC201" s="3"/>
      <c r="DD201" s="3"/>
      <c r="DE201" s="3"/>
      <c r="DF201" s="3"/>
      <c r="DG201" s="3"/>
      <c r="DH201" s="3"/>
      <c r="DI201" s="3"/>
      <c r="DJ201" s="3"/>
      <c r="DK201" s="3"/>
      <c r="DL201" s="3"/>
      <c r="DM201" s="3"/>
      <c r="DN201" s="3"/>
      <c r="DO201" s="3"/>
      <c r="DP201" s="3"/>
      <c r="DQ201" s="3"/>
      <c r="DR201" s="3"/>
      <c r="DS201" s="3"/>
      <c r="DT201" s="3"/>
      <c r="DU201" s="3"/>
      <c r="DV201" s="3"/>
      <c r="DW201" s="3"/>
      <c r="DX201" s="3"/>
      <c r="DY201" s="3"/>
      <c r="DZ201" s="3"/>
      <c r="EA201" s="3"/>
      <c r="EB201" s="3"/>
      <c r="EC201" s="3"/>
      <c r="ED201" s="3"/>
      <c r="EE201" s="3"/>
      <c r="EF201" s="3"/>
      <c r="EG201" s="3"/>
      <c r="EH201" s="3"/>
      <c r="EI201" s="3"/>
      <c r="EJ201" s="3"/>
      <c r="EK201" s="3"/>
      <c r="EL201" s="3"/>
      <c r="EM201" s="3"/>
      <c r="EN201" s="3"/>
      <c r="EO201" s="3"/>
      <c r="EP201" s="3"/>
      <c r="EQ201" s="3"/>
      <c r="ER201" s="3"/>
      <c r="ES201" s="3"/>
      <c r="ET201" s="3"/>
      <c r="EU201" s="3"/>
      <c r="EV201" s="3"/>
      <c r="EW201" s="3"/>
      <c r="EX201" s="3"/>
      <c r="EY201" s="3"/>
      <c r="EZ201" s="3"/>
      <c r="FA201" s="3"/>
      <c r="FB201" s="3"/>
      <c r="FC201" s="3"/>
      <c r="FD201" s="3"/>
      <c r="FE201" s="3"/>
      <c r="FF201" s="3"/>
      <c r="FG201" s="3"/>
      <c r="FH201" s="3"/>
      <c r="FI201" s="3"/>
      <c r="FJ201" s="3"/>
      <c r="FK201" s="3"/>
      <c r="FL201" s="3"/>
      <c r="FM201" s="3"/>
      <c r="FN201" s="3"/>
      <c r="FO201" s="3"/>
      <c r="FP201" s="3"/>
      <c r="FQ201" s="3"/>
      <c r="FR201" s="3"/>
      <c r="FS201" s="3"/>
      <c r="FT201" s="3"/>
      <c r="FU201" s="3"/>
      <c r="FV201" s="3"/>
      <c r="FW201" s="3"/>
      <c r="FX201" s="3"/>
      <c r="FY201" s="3"/>
      <c r="FZ201" s="3"/>
      <c r="GA201" s="3"/>
      <c r="GB201" s="3"/>
      <c r="GC201" s="3"/>
      <c r="GD201" s="3"/>
      <c r="GE201" s="3"/>
      <c r="GF201" s="3"/>
      <c r="GG201" s="3"/>
      <c r="GH201" s="3"/>
      <c r="GI201" s="3"/>
      <c r="GJ201" s="3"/>
      <c r="GK201" s="3"/>
      <c r="GL201" s="3"/>
      <c r="GM201" s="3"/>
      <c r="GN201" s="3"/>
      <c r="GO201" s="3"/>
      <c r="GP201" s="3"/>
      <c r="GQ201" s="3"/>
      <c r="GR201" s="3"/>
      <c r="GS201" s="3"/>
      <c r="GT201" s="3"/>
      <c r="GU201" s="3"/>
      <c r="GV201" s="3"/>
      <c r="GW201" s="3"/>
      <c r="GX201" s="3"/>
      <c r="GY201" s="3"/>
      <c r="GZ201" s="3"/>
      <c r="HA201" s="3"/>
      <c r="HB201" s="3"/>
      <c r="HC201" s="3"/>
      <c r="HD201" s="3"/>
      <c r="HE201" s="3"/>
      <c r="HF201" s="3"/>
      <c r="HG201" s="3"/>
      <c r="HH201" s="3"/>
      <c r="HI201" s="3"/>
      <c r="HJ201" s="3"/>
      <c r="HK201" s="3"/>
      <c r="HL201" s="3"/>
      <c r="HM201" s="3"/>
      <c r="HN201" s="3"/>
      <c r="HO201" s="3"/>
      <c r="HP201" s="3"/>
      <c r="HQ201" s="3"/>
      <c r="HR201" s="3"/>
      <c r="HS201" s="3"/>
      <c r="HT201" s="3"/>
      <c r="HU201" s="3"/>
      <c r="HV201" s="3"/>
      <c r="HW201" s="3"/>
      <c r="HX201" s="3"/>
      <c r="HY201" s="3"/>
      <c r="HZ201" s="3"/>
      <c r="IA201" s="3"/>
      <c r="IB201" s="3"/>
      <c r="IC201" s="3"/>
      <c r="ID201" s="3"/>
      <c r="IE201" s="3"/>
      <c r="IF201" s="3"/>
      <c r="IG201" s="3"/>
      <c r="IH201" s="3"/>
      <c r="II201" s="3"/>
      <c r="IJ201" s="3"/>
      <c r="IK201" s="3"/>
      <c r="IL201" s="3"/>
    </row>
    <row r="202" spans="11:246" x14ac:dyDescent="0.35">
      <c r="L202" t="s">
        <v>629</v>
      </c>
      <c r="M202" s="278">
        <f t="shared" ref="M202:M209" si="47">J28</f>
        <v>2.1311522015271676E-2</v>
      </c>
      <c r="R202" s="205" t="s">
        <v>773</v>
      </c>
      <c r="S202" s="16">
        <f>E157</f>
        <v>113960213.39411452</v>
      </c>
      <c r="T202">
        <f>S202/S$204</f>
        <v>0.14375283611983272</v>
      </c>
      <c r="V202" t="s">
        <v>803</v>
      </c>
      <c r="W202">
        <f>1-W201</f>
        <v>0.18818052939192664</v>
      </c>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c r="DA202" s="3"/>
      <c r="DB202" s="3"/>
      <c r="DC202" s="3"/>
      <c r="DD202" s="3"/>
      <c r="DE202" s="3"/>
      <c r="DF202" s="3"/>
      <c r="DG202" s="3"/>
      <c r="DH202" s="3"/>
      <c r="DI202" s="3"/>
      <c r="DJ202" s="3"/>
      <c r="DK202" s="3"/>
      <c r="DL202" s="3"/>
      <c r="DM202" s="3"/>
      <c r="DN202" s="3"/>
      <c r="DO202" s="3"/>
      <c r="DP202" s="3"/>
      <c r="DQ202" s="3"/>
      <c r="DR202" s="3"/>
      <c r="DS202" s="3"/>
      <c r="DT202" s="3"/>
      <c r="DU202" s="3"/>
      <c r="DV202" s="3"/>
      <c r="DW202" s="3"/>
      <c r="DX202" s="3"/>
      <c r="DY202" s="3"/>
      <c r="DZ202" s="3"/>
      <c r="EA202" s="3"/>
      <c r="EB202" s="3"/>
      <c r="EC202" s="3"/>
      <c r="ED202" s="3"/>
      <c r="EE202" s="3"/>
      <c r="EF202" s="3"/>
      <c r="EG202" s="3"/>
      <c r="EH202" s="3"/>
      <c r="EI202" s="3"/>
      <c r="EJ202" s="3"/>
      <c r="EK202" s="3"/>
      <c r="EL202" s="3"/>
      <c r="EM202" s="3"/>
      <c r="EN202" s="3"/>
      <c r="EO202" s="3"/>
      <c r="EP202" s="3"/>
      <c r="EQ202" s="3"/>
      <c r="ER202" s="3"/>
      <c r="ES202" s="3"/>
      <c r="ET202" s="3"/>
      <c r="EU202" s="3"/>
      <c r="EV202" s="3"/>
      <c r="EW202" s="3"/>
      <c r="EX202" s="3"/>
      <c r="EY202" s="3"/>
      <c r="EZ202" s="3"/>
      <c r="FA202" s="3"/>
      <c r="FB202" s="3"/>
      <c r="FC202" s="3"/>
      <c r="FD202" s="3"/>
      <c r="FE202" s="3"/>
      <c r="FF202" s="3"/>
      <c r="FG202" s="3"/>
      <c r="FH202" s="3"/>
      <c r="FI202" s="3"/>
      <c r="FJ202" s="3"/>
      <c r="FK202" s="3"/>
      <c r="FL202" s="3"/>
      <c r="FM202" s="3"/>
      <c r="FN202" s="3"/>
      <c r="FO202" s="3"/>
      <c r="FP202" s="3"/>
      <c r="FQ202" s="3"/>
      <c r="FR202" s="3"/>
      <c r="FS202" s="3"/>
      <c r="FT202" s="3"/>
      <c r="FU202" s="3"/>
      <c r="FV202" s="3"/>
      <c r="FW202" s="3"/>
      <c r="FX202" s="3"/>
      <c r="FY202" s="3"/>
      <c r="FZ202" s="3"/>
      <c r="GA202" s="3"/>
      <c r="GB202" s="3"/>
      <c r="GC202" s="3"/>
      <c r="GD202" s="3"/>
      <c r="GE202" s="3"/>
      <c r="GF202" s="3"/>
      <c r="GG202" s="3"/>
      <c r="GH202" s="3"/>
      <c r="GI202" s="3"/>
      <c r="GJ202" s="3"/>
      <c r="GK202" s="3"/>
      <c r="GL202" s="3"/>
      <c r="GM202" s="3"/>
      <c r="GN202" s="3"/>
      <c r="GO202" s="3"/>
      <c r="GP202" s="3"/>
      <c r="GQ202" s="3"/>
      <c r="GR202" s="3"/>
      <c r="GS202" s="3"/>
      <c r="GT202" s="3"/>
      <c r="GU202" s="3"/>
      <c r="GV202" s="3"/>
      <c r="GW202" s="3"/>
      <c r="GX202" s="3"/>
      <c r="GY202" s="3"/>
      <c r="GZ202" s="3"/>
      <c r="HA202" s="3"/>
      <c r="HB202" s="3"/>
      <c r="HC202" s="3"/>
      <c r="HD202" s="3"/>
      <c r="HE202" s="3"/>
      <c r="HF202" s="3"/>
      <c r="HG202" s="3"/>
      <c r="HH202" s="3"/>
      <c r="HI202" s="3"/>
      <c r="HJ202" s="3"/>
      <c r="HK202" s="3"/>
      <c r="HL202" s="3"/>
      <c r="HM202" s="3"/>
      <c r="HN202" s="3"/>
      <c r="HO202" s="3"/>
      <c r="HP202" s="3"/>
      <c r="HQ202" s="3"/>
      <c r="HR202" s="3"/>
      <c r="HS202" s="3"/>
      <c r="HT202" s="3"/>
      <c r="HU202" s="3"/>
      <c r="HV202" s="3"/>
      <c r="HW202" s="3"/>
      <c r="HX202" s="3"/>
      <c r="HY202" s="3"/>
      <c r="HZ202" s="3"/>
      <c r="IA202" s="3"/>
      <c r="IB202" s="3"/>
      <c r="IC202" s="3"/>
      <c r="ID202" s="3"/>
      <c r="IE202" s="3"/>
      <c r="IF202" s="3"/>
      <c r="IG202" s="3"/>
      <c r="IH202" s="3"/>
      <c r="II202" s="3"/>
      <c r="IJ202" s="3"/>
      <c r="IK202" s="3"/>
      <c r="IL202" s="3"/>
    </row>
    <row r="203" spans="11:246" x14ac:dyDescent="0.35">
      <c r="K203" s="205"/>
      <c r="L203" t="s">
        <v>630</v>
      </c>
      <c r="M203" s="278">
        <f t="shared" si="47"/>
        <v>3.6969449652337144E-2</v>
      </c>
      <c r="R203" s="205" t="s">
        <v>774</v>
      </c>
      <c r="S203" s="16">
        <f>E158</f>
        <v>2236080.0000000005</v>
      </c>
      <c r="T203">
        <f>S203/S$204</f>
        <v>2.8206584755959799E-3</v>
      </c>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c r="DA203" s="3"/>
      <c r="DB203" s="3"/>
      <c r="DC203" s="3"/>
      <c r="DD203" s="3"/>
      <c r="DE203" s="3"/>
      <c r="DF203" s="3"/>
      <c r="DG203" s="3"/>
      <c r="DH203" s="3"/>
      <c r="DI203" s="3"/>
      <c r="DJ203" s="3"/>
      <c r="DK203" s="3"/>
      <c r="DL203" s="3"/>
      <c r="DM203" s="3"/>
      <c r="DN203" s="3"/>
      <c r="DO203" s="3"/>
      <c r="DP203" s="3"/>
      <c r="DQ203" s="3"/>
      <c r="DR203" s="3"/>
      <c r="DS203" s="3"/>
      <c r="DT203" s="3"/>
      <c r="DU203" s="3"/>
      <c r="DV203" s="3"/>
      <c r="DW203" s="3"/>
      <c r="DX203" s="3"/>
      <c r="DY203" s="3"/>
      <c r="DZ203" s="3"/>
      <c r="EA203" s="3"/>
      <c r="EB203" s="3"/>
      <c r="EC203" s="3"/>
      <c r="ED203" s="3"/>
      <c r="EE203" s="3"/>
      <c r="EF203" s="3"/>
      <c r="EG203" s="3"/>
      <c r="EH203" s="3"/>
      <c r="EI203" s="3"/>
      <c r="EJ203" s="3"/>
      <c r="EK203" s="3"/>
      <c r="EL203" s="3"/>
      <c r="EM203" s="3"/>
      <c r="EN203" s="3"/>
      <c r="EO203" s="3"/>
      <c r="EP203" s="3"/>
      <c r="EQ203" s="3"/>
      <c r="ER203" s="3"/>
      <c r="ES203" s="3"/>
      <c r="ET203" s="3"/>
      <c r="EU203" s="3"/>
      <c r="EV203" s="3"/>
      <c r="EW203" s="3"/>
      <c r="EX203" s="3"/>
      <c r="EY203" s="3"/>
      <c r="EZ203" s="3"/>
      <c r="FA203" s="3"/>
      <c r="FB203" s="3"/>
      <c r="FC203" s="3"/>
      <c r="FD203" s="3"/>
      <c r="FE203" s="3"/>
      <c r="FF203" s="3"/>
      <c r="FG203" s="3"/>
      <c r="FH203" s="3"/>
      <c r="FI203" s="3"/>
      <c r="FJ203" s="3"/>
      <c r="FK203" s="3"/>
      <c r="FL203" s="3"/>
      <c r="FM203" s="3"/>
      <c r="FN203" s="3"/>
      <c r="FO203" s="3"/>
      <c r="FP203" s="3"/>
      <c r="FQ203" s="3"/>
      <c r="FR203" s="3"/>
      <c r="FS203" s="3"/>
      <c r="FT203" s="3"/>
      <c r="FU203" s="3"/>
      <c r="FV203" s="3"/>
      <c r="FW203" s="3"/>
      <c r="FX203" s="3"/>
      <c r="FY203" s="3"/>
      <c r="FZ203" s="3"/>
      <c r="GA203" s="3"/>
      <c r="GB203" s="3"/>
      <c r="GC203" s="3"/>
      <c r="GD203" s="3"/>
      <c r="GE203" s="3"/>
      <c r="GF203" s="3"/>
      <c r="GG203" s="3"/>
      <c r="GH203" s="3"/>
      <c r="GI203" s="3"/>
      <c r="GJ203" s="3"/>
      <c r="GK203" s="3"/>
      <c r="GL203" s="3"/>
      <c r="GM203" s="3"/>
      <c r="GN203" s="3"/>
      <c r="GO203" s="3"/>
      <c r="GP203" s="3"/>
      <c r="GQ203" s="3"/>
      <c r="GR203" s="3"/>
      <c r="GS203" s="3"/>
      <c r="GT203" s="3"/>
      <c r="GU203" s="3"/>
      <c r="GV203" s="3"/>
      <c r="GW203" s="3"/>
      <c r="GX203" s="3"/>
      <c r="GY203" s="3"/>
      <c r="GZ203" s="3"/>
      <c r="HA203" s="3"/>
      <c r="HB203" s="3"/>
      <c r="HC203" s="3"/>
      <c r="HD203" s="3"/>
      <c r="HE203" s="3"/>
      <c r="HF203" s="3"/>
      <c r="HG203" s="3"/>
      <c r="HH203" s="3"/>
      <c r="HI203" s="3"/>
      <c r="HJ203" s="3"/>
      <c r="HK203" s="3"/>
      <c r="HL203" s="3"/>
      <c r="HM203" s="3"/>
      <c r="HN203" s="3"/>
      <c r="HO203" s="3"/>
      <c r="HP203" s="3"/>
      <c r="HQ203" s="3"/>
      <c r="HR203" s="3"/>
      <c r="HS203" s="3"/>
      <c r="HT203" s="3"/>
      <c r="HU203" s="3"/>
      <c r="HV203" s="3"/>
      <c r="HW203" s="3"/>
      <c r="HX203" s="3"/>
      <c r="HY203" s="3"/>
      <c r="HZ203" s="3"/>
      <c r="IA203" s="3"/>
      <c r="IB203" s="3"/>
      <c r="IC203" s="3"/>
      <c r="ID203" s="3"/>
      <c r="IE203" s="3"/>
      <c r="IF203" s="3"/>
      <c r="IG203" s="3"/>
      <c r="IH203" s="3"/>
      <c r="II203" s="3"/>
      <c r="IJ203" s="3"/>
      <c r="IK203" s="3"/>
      <c r="IL203" s="3"/>
    </row>
    <row r="204" spans="11:246" x14ac:dyDescent="0.35">
      <c r="K204" s="205"/>
      <c r="L204" t="s">
        <v>631</v>
      </c>
      <c r="M204" s="278">
        <f t="shared" si="47"/>
        <v>6.4962753511464098E-3</v>
      </c>
      <c r="R204" s="4"/>
      <c r="S204" s="16">
        <f>SUM(S199:S203)</f>
        <v>792751061.26683307</v>
      </c>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c r="DT204" s="3"/>
      <c r="DU204" s="3"/>
      <c r="DV204" s="3"/>
      <c r="DW204" s="3"/>
      <c r="DX204" s="3"/>
      <c r="DY204" s="3"/>
      <c r="DZ204" s="3"/>
      <c r="EA204" s="3"/>
      <c r="EB204" s="3"/>
      <c r="EC204" s="3"/>
      <c r="ED204" s="3"/>
      <c r="EE204" s="3"/>
      <c r="EF204" s="3"/>
      <c r="EG204" s="3"/>
      <c r="EH204" s="3"/>
      <c r="EI204" s="3"/>
      <c r="EJ204" s="3"/>
      <c r="EK204" s="3"/>
      <c r="EL204" s="3"/>
      <c r="EM204" s="3"/>
      <c r="EN204" s="3"/>
      <c r="EO204" s="3"/>
      <c r="EP204" s="3"/>
      <c r="EQ204" s="3"/>
      <c r="ER204" s="3"/>
      <c r="ES204" s="3"/>
      <c r="ET204" s="3"/>
      <c r="EU204" s="3"/>
      <c r="EV204" s="3"/>
      <c r="EW204" s="3"/>
      <c r="EX204" s="3"/>
      <c r="EY204" s="3"/>
      <c r="EZ204" s="3"/>
      <c r="FA204" s="3"/>
      <c r="FB204" s="3"/>
      <c r="FC204" s="3"/>
      <c r="FD204" s="3"/>
      <c r="FE204" s="3"/>
      <c r="FF204" s="3"/>
      <c r="FG204" s="3"/>
      <c r="FH204" s="3"/>
      <c r="FI204" s="3"/>
      <c r="FJ204" s="3"/>
      <c r="FK204" s="3"/>
      <c r="FL204" s="3"/>
      <c r="FM204" s="3"/>
      <c r="FN204" s="3"/>
      <c r="FO204" s="3"/>
      <c r="FP204" s="3"/>
      <c r="FQ204" s="3"/>
      <c r="FR204" s="3"/>
      <c r="FS204" s="3"/>
      <c r="FT204" s="3"/>
      <c r="FU204" s="3"/>
      <c r="FV204" s="3"/>
      <c r="FW204" s="3"/>
      <c r="FX204" s="3"/>
      <c r="FY204" s="3"/>
      <c r="FZ204" s="3"/>
      <c r="GA204" s="3"/>
      <c r="GB204" s="3"/>
      <c r="GC204" s="3"/>
      <c r="GD204" s="3"/>
      <c r="GE204" s="3"/>
      <c r="GF204" s="3"/>
      <c r="GG204" s="3"/>
      <c r="GH204" s="3"/>
      <c r="GI204" s="3"/>
      <c r="GJ204" s="3"/>
      <c r="GK204" s="3"/>
      <c r="GL204" s="3"/>
      <c r="GM204" s="3"/>
      <c r="GN204" s="3"/>
      <c r="GO204" s="3"/>
      <c r="GP204" s="3"/>
      <c r="GQ204" s="3"/>
      <c r="GR204" s="3"/>
      <c r="GS204" s="3"/>
      <c r="GT204" s="3"/>
      <c r="GU204" s="3"/>
      <c r="GV204" s="3"/>
      <c r="GW204" s="3"/>
      <c r="GX204" s="3"/>
      <c r="GY204" s="3"/>
      <c r="GZ204" s="3"/>
      <c r="HA204" s="3"/>
      <c r="HB204" s="3"/>
      <c r="HC204" s="3"/>
      <c r="HD204" s="3"/>
      <c r="HE204" s="3"/>
      <c r="HF204" s="3"/>
      <c r="HG204" s="3"/>
      <c r="HH204" s="3"/>
      <c r="HI204" s="3"/>
      <c r="HJ204" s="3"/>
      <c r="HK204" s="3"/>
      <c r="HL204" s="3"/>
      <c r="HM204" s="3"/>
      <c r="HN204" s="3"/>
      <c r="HO204" s="3"/>
      <c r="HP204" s="3"/>
      <c r="HQ204" s="3"/>
      <c r="HR204" s="3"/>
      <c r="HS204" s="3"/>
      <c r="HT204" s="3"/>
      <c r="HU204" s="3"/>
      <c r="HV204" s="3"/>
      <c r="HW204" s="3"/>
      <c r="HX204" s="3"/>
      <c r="HY204" s="3"/>
      <c r="HZ204" s="3"/>
      <c r="IA204" s="3"/>
      <c r="IB204" s="3"/>
      <c r="IC204" s="3"/>
      <c r="ID204" s="3"/>
      <c r="IE204" s="3"/>
      <c r="IF204" s="3"/>
      <c r="IG204" s="3"/>
      <c r="IH204" s="3"/>
      <c r="II204" s="3"/>
      <c r="IJ204" s="3"/>
      <c r="IK204" s="3"/>
      <c r="IL204" s="3"/>
    </row>
    <row r="205" spans="11:246" x14ac:dyDescent="0.35">
      <c r="K205" s="205"/>
      <c r="L205" t="s">
        <v>648</v>
      </c>
      <c r="M205" s="278">
        <f t="shared" si="47"/>
        <v>1.2047377602078234E-2</v>
      </c>
      <c r="R205" s="4"/>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c r="DA205" s="3"/>
      <c r="DB205" s="3"/>
      <c r="DC205" s="3"/>
      <c r="DD205" s="3"/>
      <c r="DE205" s="3"/>
      <c r="DF205" s="3"/>
      <c r="DG205" s="3"/>
      <c r="DH205" s="3"/>
      <c r="DI205" s="3"/>
      <c r="DJ205" s="3"/>
      <c r="DK205" s="3"/>
      <c r="DL205" s="3"/>
      <c r="DM205" s="3"/>
      <c r="DN205" s="3"/>
      <c r="DO205" s="3"/>
      <c r="DP205" s="3"/>
      <c r="DQ205" s="3"/>
      <c r="DR205" s="3"/>
      <c r="DS205" s="3"/>
      <c r="DT205" s="3"/>
      <c r="DU205" s="3"/>
      <c r="DV205" s="3"/>
      <c r="DW205" s="3"/>
      <c r="DX205" s="3"/>
      <c r="DY205" s="3"/>
      <c r="DZ205" s="3"/>
      <c r="EA205" s="3"/>
      <c r="EB205" s="3"/>
      <c r="EC205" s="3"/>
      <c r="ED205" s="3"/>
      <c r="EE205" s="3"/>
      <c r="EF205" s="3"/>
      <c r="EG205" s="3"/>
      <c r="EH205" s="3"/>
      <c r="EI205" s="3"/>
      <c r="EJ205" s="3"/>
      <c r="EK205" s="3"/>
      <c r="EL205" s="3"/>
      <c r="EM205" s="3"/>
      <c r="EN205" s="3"/>
      <c r="EO205" s="3"/>
      <c r="EP205" s="3"/>
      <c r="EQ205" s="3"/>
      <c r="ER205" s="3"/>
      <c r="ES205" s="3"/>
      <c r="ET205" s="3"/>
      <c r="EU205" s="3"/>
      <c r="EV205" s="3"/>
      <c r="EW205" s="3"/>
      <c r="EX205" s="3"/>
      <c r="EY205" s="3"/>
      <c r="EZ205" s="3"/>
      <c r="FA205" s="3"/>
      <c r="FB205" s="3"/>
      <c r="FC205" s="3"/>
      <c r="FD205" s="3"/>
      <c r="FE205" s="3"/>
      <c r="FF205" s="3"/>
      <c r="FG205" s="3"/>
      <c r="FH205" s="3"/>
      <c r="FI205" s="3"/>
      <c r="FJ205" s="3"/>
      <c r="FK205" s="3"/>
      <c r="FL205" s="3"/>
      <c r="FM205" s="3"/>
      <c r="FN205" s="3"/>
      <c r="FO205" s="3"/>
      <c r="FP205" s="3"/>
      <c r="FQ205" s="3"/>
      <c r="FR205" s="3"/>
      <c r="FS205" s="3"/>
      <c r="FT205" s="3"/>
      <c r="FU205" s="3"/>
      <c r="FV205" s="3"/>
      <c r="FW205" s="3"/>
      <c r="FX205" s="3"/>
      <c r="FY205" s="3"/>
      <c r="FZ205" s="3"/>
      <c r="GA205" s="3"/>
      <c r="GB205" s="3"/>
      <c r="GC205" s="3"/>
      <c r="GD205" s="3"/>
      <c r="GE205" s="3"/>
      <c r="GF205" s="3"/>
      <c r="GG205" s="3"/>
      <c r="GH205" s="3"/>
      <c r="GI205" s="3"/>
      <c r="GJ205" s="3"/>
      <c r="GK205" s="3"/>
      <c r="GL205" s="3"/>
      <c r="GM205" s="3"/>
      <c r="GN205" s="3"/>
      <c r="GO205" s="3"/>
      <c r="GP205" s="3"/>
      <c r="GQ205" s="3"/>
      <c r="GR205" s="3"/>
      <c r="GS205" s="3"/>
      <c r="GT205" s="3"/>
      <c r="GU205" s="3"/>
      <c r="GV205" s="3"/>
      <c r="GW205" s="3"/>
      <c r="GX205" s="3"/>
      <c r="GY205" s="3"/>
      <c r="GZ205" s="3"/>
      <c r="HA205" s="3"/>
      <c r="HB205" s="3"/>
      <c r="HC205" s="3"/>
      <c r="HD205" s="3"/>
      <c r="HE205" s="3"/>
      <c r="HF205" s="3"/>
      <c r="HG205" s="3"/>
      <c r="HH205" s="3"/>
      <c r="HI205" s="3"/>
      <c r="HJ205" s="3"/>
      <c r="HK205" s="3"/>
      <c r="HL205" s="3"/>
      <c r="HM205" s="3"/>
      <c r="HN205" s="3"/>
      <c r="HO205" s="3"/>
      <c r="HP205" s="3"/>
      <c r="HQ205" s="3"/>
      <c r="HR205" s="3"/>
      <c r="HS205" s="3"/>
      <c r="HT205" s="3"/>
      <c r="HU205" s="3"/>
      <c r="HV205" s="3"/>
      <c r="HW205" s="3"/>
      <c r="HX205" s="3"/>
      <c r="HY205" s="3"/>
      <c r="HZ205" s="3"/>
      <c r="IA205" s="3"/>
      <c r="IB205" s="3"/>
      <c r="IC205" s="3"/>
      <c r="ID205" s="3"/>
      <c r="IE205" s="3"/>
      <c r="IF205" s="3"/>
      <c r="IG205" s="3"/>
      <c r="IH205" s="3"/>
      <c r="II205" s="3"/>
      <c r="IJ205" s="3"/>
      <c r="IK205" s="3"/>
      <c r="IL205" s="3"/>
    </row>
    <row r="206" spans="11:246" x14ac:dyDescent="0.35">
      <c r="K206" s="205"/>
      <c r="L206" t="s">
        <v>137</v>
      </c>
      <c r="M206" s="278">
        <f t="shared" si="47"/>
        <v>0.11168219248938559</v>
      </c>
      <c r="P206" t="s">
        <v>791</v>
      </c>
      <c r="Q206" s="123">
        <f>S223</f>
        <v>0.81823535415144177</v>
      </c>
      <c r="R206" s="210" t="s">
        <v>807</v>
      </c>
      <c r="S206" s="207">
        <f>T206*MESP</f>
        <v>0.44574258651123566</v>
      </c>
      <c r="T206">
        <f>T199</f>
        <v>0.18337331530412518</v>
      </c>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c r="CE206" s="3"/>
      <c r="CF206" s="3"/>
      <c r="CG206" s="3"/>
      <c r="CH206" s="3"/>
      <c r="CI206" s="3"/>
      <c r="CJ206" s="3"/>
      <c r="CK206" s="3"/>
      <c r="CL206" s="3"/>
      <c r="CM206" s="3"/>
      <c r="CN206" s="3"/>
      <c r="CO206" s="3"/>
      <c r="CP206" s="3"/>
      <c r="CQ206" s="3"/>
      <c r="CR206" s="3"/>
      <c r="CS206" s="3"/>
      <c r="CT206" s="3"/>
      <c r="CU206" s="3"/>
      <c r="CV206" s="3"/>
      <c r="CW206" s="3"/>
      <c r="CX206" s="3"/>
      <c r="CY206" s="3"/>
      <c r="CZ206" s="3"/>
      <c r="DA206" s="3"/>
      <c r="DB206" s="3"/>
      <c r="DC206" s="3"/>
      <c r="DD206" s="3"/>
      <c r="DE206" s="3"/>
      <c r="DF206" s="3"/>
      <c r="DG206" s="3"/>
      <c r="DH206" s="3"/>
      <c r="DI206" s="3"/>
      <c r="DJ206" s="3"/>
      <c r="DK206" s="3"/>
      <c r="DL206" s="3"/>
      <c r="DM206" s="3"/>
      <c r="DN206" s="3"/>
      <c r="DO206" s="3"/>
      <c r="DP206" s="3"/>
      <c r="DQ206" s="3"/>
      <c r="DR206" s="3"/>
      <c r="DS206" s="3"/>
      <c r="DT206" s="3"/>
      <c r="DU206" s="3"/>
      <c r="DV206" s="3"/>
      <c r="DW206" s="3"/>
      <c r="DX206" s="3"/>
      <c r="DY206" s="3"/>
      <c r="DZ206" s="3"/>
      <c r="EA206" s="3"/>
      <c r="EB206" s="3"/>
      <c r="EC206" s="3"/>
      <c r="ED206" s="3"/>
      <c r="EE206" s="3"/>
      <c r="EF206" s="3"/>
      <c r="EG206" s="3"/>
      <c r="EH206" s="3"/>
      <c r="EI206" s="3"/>
      <c r="EJ206" s="3"/>
      <c r="EK206" s="3"/>
      <c r="EL206" s="3"/>
      <c r="EM206" s="3"/>
      <c r="EN206" s="3"/>
      <c r="EO206" s="3"/>
      <c r="EP206" s="3"/>
      <c r="EQ206" s="3"/>
      <c r="ER206" s="3"/>
      <c r="ES206" s="3"/>
      <c r="ET206" s="3"/>
      <c r="EU206" s="3"/>
      <c r="EV206" s="3"/>
      <c r="EW206" s="3"/>
      <c r="EX206" s="3"/>
      <c r="EY206" s="3"/>
      <c r="EZ206" s="3"/>
      <c r="FA206" s="3"/>
      <c r="FB206" s="3"/>
      <c r="FC206" s="3"/>
      <c r="FD206" s="3"/>
      <c r="FE206" s="3"/>
      <c r="FF206" s="3"/>
      <c r="FG206" s="3"/>
      <c r="FH206" s="3"/>
      <c r="FI206" s="3"/>
      <c r="FJ206" s="3"/>
      <c r="FK206" s="3"/>
      <c r="FL206" s="3"/>
      <c r="FM206" s="3"/>
      <c r="FN206" s="3"/>
      <c r="FO206" s="3"/>
      <c r="FP206" s="3"/>
      <c r="FQ206" s="3"/>
      <c r="FR206" s="3"/>
      <c r="FS206" s="3"/>
      <c r="FT206" s="3"/>
      <c r="FU206" s="3"/>
      <c r="FV206" s="3"/>
      <c r="FW206" s="3"/>
      <c r="FX206" s="3"/>
      <c r="FY206" s="3"/>
      <c r="FZ206" s="3"/>
      <c r="GA206" s="3"/>
      <c r="GB206" s="3"/>
      <c r="GC206" s="3"/>
      <c r="GD206" s="3"/>
      <c r="GE206" s="3"/>
      <c r="GF206" s="3"/>
      <c r="GG206" s="3"/>
      <c r="GH206" s="3"/>
      <c r="GI206" s="3"/>
      <c r="GJ206" s="3"/>
      <c r="GK206" s="3"/>
      <c r="GL206" s="3"/>
      <c r="GM206" s="3"/>
      <c r="GN206" s="3"/>
      <c r="GO206" s="3"/>
      <c r="GP206" s="3"/>
      <c r="GQ206" s="3"/>
      <c r="GR206" s="3"/>
      <c r="GS206" s="3"/>
      <c r="GT206" s="3"/>
      <c r="GU206" s="3"/>
      <c r="GV206" s="3"/>
      <c r="GW206" s="3"/>
      <c r="GX206" s="3"/>
      <c r="GY206" s="3"/>
      <c r="GZ206" s="3"/>
      <c r="HA206" s="3"/>
      <c r="HB206" s="3"/>
      <c r="HC206" s="3"/>
      <c r="HD206" s="3"/>
      <c r="HE206" s="3"/>
      <c r="HF206" s="3"/>
      <c r="HG206" s="3"/>
      <c r="HH206" s="3"/>
      <c r="HI206" s="3"/>
      <c r="HJ206" s="3"/>
      <c r="HK206" s="3"/>
      <c r="HL206" s="3"/>
      <c r="HM206" s="3"/>
      <c r="HN206" s="3"/>
      <c r="HO206" s="3"/>
      <c r="HP206" s="3"/>
      <c r="HQ206" s="3"/>
      <c r="HR206" s="3"/>
      <c r="HS206" s="3"/>
      <c r="HT206" s="3"/>
      <c r="HU206" s="3"/>
      <c r="HV206" s="3"/>
      <c r="HW206" s="3"/>
      <c r="HX206" s="3"/>
      <c r="HY206" s="3"/>
      <c r="HZ206" s="3"/>
      <c r="IA206" s="3"/>
      <c r="IB206" s="3"/>
      <c r="IC206" s="3"/>
      <c r="ID206" s="3"/>
      <c r="IE206" s="3"/>
      <c r="IF206" s="3"/>
      <c r="IG206" s="3"/>
      <c r="IH206" s="3"/>
      <c r="II206" s="3"/>
      <c r="IJ206" s="3"/>
      <c r="IK206" s="3"/>
      <c r="IL206" s="3"/>
    </row>
    <row r="207" spans="11:246" x14ac:dyDescent="0.35">
      <c r="K207" s="172"/>
      <c r="L207" t="s">
        <v>632</v>
      </c>
      <c r="M207" s="278">
        <f t="shared" si="47"/>
        <v>3.6969449652337148E-3</v>
      </c>
      <c r="P207" t="s">
        <v>980</v>
      </c>
      <c r="Q207" s="123">
        <f>S206+S208+S209</f>
        <v>0.80203242337545055</v>
      </c>
      <c r="R207" s="4" t="s">
        <v>780</v>
      </c>
      <c r="S207" s="207">
        <f t="shared" ref="S207:S225" si="48">T207*MESP</f>
        <v>9.2678112012315253E-3</v>
      </c>
      <c r="T207">
        <f>T200</f>
        <v>3.8126697269023312E-3</v>
      </c>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c r="CE207" s="3"/>
      <c r="CF207" s="3"/>
      <c r="CG207" s="3"/>
      <c r="CH207" s="3"/>
      <c r="CI207" s="3"/>
      <c r="CJ207" s="3"/>
      <c r="CK207" s="3"/>
      <c r="CL207" s="3"/>
      <c r="CM207" s="3"/>
      <c r="CN207" s="3"/>
      <c r="CO207" s="3"/>
      <c r="CP207" s="3"/>
      <c r="CQ207" s="3"/>
      <c r="CR207" s="3"/>
      <c r="CS207" s="3"/>
      <c r="CT207" s="3"/>
      <c r="CU207" s="3"/>
      <c r="CV207" s="3"/>
      <c r="CW207" s="3"/>
      <c r="CX207" s="3"/>
      <c r="CY207" s="3"/>
      <c r="CZ207" s="3"/>
      <c r="DA207" s="3"/>
      <c r="DB207" s="3"/>
      <c r="DC207" s="3"/>
      <c r="DD207" s="3"/>
      <c r="DE207" s="3"/>
      <c r="DF207" s="3"/>
      <c r="DG207" s="3"/>
      <c r="DH207" s="3"/>
      <c r="DI207" s="3"/>
      <c r="DJ207" s="3"/>
      <c r="DK207" s="3"/>
      <c r="DL207" s="3"/>
      <c r="DM207" s="3"/>
      <c r="DN207" s="3"/>
      <c r="DO207" s="3"/>
      <c r="DP207" s="3"/>
      <c r="DQ207" s="3"/>
      <c r="DR207" s="3"/>
      <c r="DS207" s="3"/>
      <c r="DT207" s="3"/>
      <c r="DU207" s="3"/>
      <c r="DV207" s="3"/>
      <c r="DW207" s="3"/>
      <c r="DX207" s="3"/>
      <c r="DY207" s="3"/>
      <c r="DZ207" s="3"/>
      <c r="EA207" s="3"/>
      <c r="EB207" s="3"/>
      <c r="EC207" s="3"/>
      <c r="ED207" s="3"/>
      <c r="EE207" s="3"/>
      <c r="EF207" s="3"/>
      <c r="EG207" s="3"/>
      <c r="EH207" s="3"/>
      <c r="EI207" s="3"/>
      <c r="EJ207" s="3"/>
      <c r="EK207" s="3"/>
      <c r="EL207" s="3"/>
      <c r="EM207" s="3"/>
      <c r="EN207" s="3"/>
      <c r="EO207" s="3"/>
      <c r="EP207" s="3"/>
      <c r="EQ207" s="3"/>
      <c r="ER207" s="3"/>
      <c r="ES207" s="3"/>
      <c r="ET207" s="3"/>
      <c r="EU207" s="3"/>
      <c r="EV207" s="3"/>
      <c r="EW207" s="3"/>
      <c r="EX207" s="3"/>
      <c r="EY207" s="3"/>
      <c r="EZ207" s="3"/>
      <c r="FA207" s="3"/>
      <c r="FB207" s="3"/>
      <c r="FC207" s="3"/>
      <c r="FD207" s="3"/>
      <c r="FE207" s="3"/>
      <c r="FF207" s="3"/>
      <c r="FG207" s="3"/>
      <c r="FH207" s="3"/>
      <c r="FI207" s="3"/>
      <c r="FJ207" s="3"/>
      <c r="FK207" s="3"/>
      <c r="FL207" s="3"/>
      <c r="FM207" s="3"/>
      <c r="FN207" s="3"/>
      <c r="FO207" s="3"/>
      <c r="FP207" s="3"/>
      <c r="FQ207" s="3"/>
      <c r="FR207" s="3"/>
      <c r="FS207" s="3"/>
      <c r="FT207" s="3"/>
      <c r="FU207" s="3"/>
      <c r="FV207" s="3"/>
      <c r="FW207" s="3"/>
      <c r="FX207" s="3"/>
      <c r="FY207" s="3"/>
      <c r="FZ207" s="3"/>
      <c r="GA207" s="3"/>
      <c r="GB207" s="3"/>
      <c r="GC207" s="3"/>
      <c r="GD207" s="3"/>
      <c r="GE207" s="3"/>
      <c r="GF207" s="3"/>
      <c r="GG207" s="3"/>
      <c r="GH207" s="3"/>
      <c r="GI207" s="3"/>
      <c r="GJ207" s="3"/>
      <c r="GK207" s="3"/>
      <c r="GL207" s="3"/>
      <c r="GM207" s="3"/>
      <c r="GN207" s="3"/>
      <c r="GO207" s="3"/>
      <c r="GP207" s="3"/>
      <c r="GQ207" s="3"/>
      <c r="GR207" s="3"/>
      <c r="GS207" s="3"/>
      <c r="GT207" s="3"/>
      <c r="GU207" s="3"/>
      <c r="GV207" s="3"/>
      <c r="GW207" s="3"/>
      <c r="GX207" s="3"/>
      <c r="GY207" s="3"/>
      <c r="GZ207" s="3"/>
      <c r="HA207" s="3"/>
      <c r="HB207" s="3"/>
      <c r="HC207" s="3"/>
      <c r="HD207" s="3"/>
      <c r="HE207" s="3"/>
      <c r="HF207" s="3"/>
      <c r="HG207" s="3"/>
      <c r="HH207" s="3"/>
      <c r="HI207" s="3"/>
      <c r="HJ207" s="3"/>
      <c r="HK207" s="3"/>
      <c r="HL207" s="3"/>
      <c r="HM207" s="3"/>
      <c r="HN207" s="3"/>
      <c r="HO207" s="3"/>
      <c r="HP207" s="3"/>
      <c r="HQ207" s="3"/>
      <c r="HR207" s="3"/>
      <c r="HS207" s="3"/>
      <c r="HT207" s="3"/>
      <c r="HU207" s="3"/>
      <c r="HV207" s="3"/>
      <c r="HW207" s="3"/>
      <c r="HX207" s="3"/>
      <c r="HY207" s="3"/>
      <c r="HZ207" s="3"/>
      <c r="IA207" s="3"/>
      <c r="IB207" s="3"/>
      <c r="IC207" s="3"/>
      <c r="ID207" s="3"/>
      <c r="IE207" s="3"/>
      <c r="IF207" s="3"/>
      <c r="IG207" s="3"/>
      <c r="IH207" s="3"/>
      <c r="II207" s="3"/>
      <c r="IJ207" s="3"/>
      <c r="IK207" s="3"/>
      <c r="IL207" s="3"/>
    </row>
    <row r="208" spans="11:246" x14ac:dyDescent="0.35">
      <c r="L208" t="s">
        <v>424</v>
      </c>
      <c r="M208" s="278">
        <f t="shared" si="47"/>
        <v>3.8501027414210163E-4</v>
      </c>
      <c r="P208" t="s">
        <v>983</v>
      </c>
      <c r="Q208" s="123">
        <f>SUM(S213:S219)</f>
        <v>0.30288814827221366</v>
      </c>
      <c r="R208" s="4" t="s">
        <v>804</v>
      </c>
      <c r="S208" s="207">
        <f t="shared" si="48"/>
        <v>0.34943339975125892</v>
      </c>
      <c r="T208">
        <f>T202</f>
        <v>0.14375283611983272</v>
      </c>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c r="DU208" s="3"/>
      <c r="DV208" s="3"/>
      <c r="DW208" s="3"/>
      <c r="DX208" s="3"/>
      <c r="DY208" s="3"/>
      <c r="DZ208" s="3"/>
      <c r="EA208" s="3"/>
      <c r="EB208" s="3"/>
      <c r="EC208" s="3"/>
      <c r="ED208" s="3"/>
      <c r="EE208" s="3"/>
      <c r="EF208" s="3"/>
      <c r="EG208" s="3"/>
      <c r="EH208" s="3"/>
      <c r="EI208" s="3"/>
      <c r="EJ208" s="3"/>
      <c r="EK208" s="3"/>
      <c r="EL208" s="3"/>
      <c r="EM208" s="3"/>
      <c r="EN208" s="3"/>
      <c r="EO208" s="3"/>
      <c r="EP208" s="3"/>
      <c r="EQ208" s="3"/>
      <c r="ER208" s="3"/>
      <c r="ES208" s="3"/>
      <c r="ET208" s="3"/>
      <c r="EU208" s="3"/>
      <c r="EV208" s="3"/>
      <c r="EW208" s="3"/>
      <c r="EX208" s="3"/>
      <c r="EY208" s="3"/>
      <c r="EZ208" s="3"/>
      <c r="FA208" s="3"/>
      <c r="FB208" s="3"/>
      <c r="FC208" s="3"/>
      <c r="FD208" s="3"/>
      <c r="FE208" s="3"/>
      <c r="FF208" s="3"/>
      <c r="FG208" s="3"/>
      <c r="FH208" s="3"/>
      <c r="FI208" s="3"/>
      <c r="FJ208" s="3"/>
      <c r="FK208" s="3"/>
      <c r="FL208" s="3"/>
      <c r="FM208" s="3"/>
      <c r="FN208" s="3"/>
      <c r="FO208" s="3"/>
      <c r="FP208" s="3"/>
      <c r="FQ208" s="3"/>
      <c r="FR208" s="3"/>
      <c r="FS208" s="3"/>
      <c r="FT208" s="3"/>
      <c r="FU208" s="3"/>
      <c r="FV208" s="3"/>
      <c r="FW208" s="3"/>
      <c r="FX208" s="3"/>
      <c r="FY208" s="3"/>
      <c r="FZ208" s="3"/>
      <c r="GA208" s="3"/>
      <c r="GB208" s="3"/>
      <c r="GC208" s="3"/>
      <c r="GD208" s="3"/>
      <c r="GE208" s="3"/>
      <c r="GF208" s="3"/>
      <c r="GG208" s="3"/>
      <c r="GH208" s="3"/>
      <c r="GI208" s="3"/>
      <c r="GJ208" s="3"/>
      <c r="GK208" s="3"/>
      <c r="GL208" s="3"/>
      <c r="GM208" s="3"/>
      <c r="GN208" s="3"/>
      <c r="GO208" s="3"/>
      <c r="GP208" s="3"/>
      <c r="GQ208" s="3"/>
      <c r="GR208" s="3"/>
      <c r="GS208" s="3"/>
      <c r="GT208" s="3"/>
      <c r="GU208" s="3"/>
      <c r="GV208" s="3"/>
      <c r="GW208" s="3"/>
      <c r="GX208" s="3"/>
      <c r="GY208" s="3"/>
      <c r="GZ208" s="3"/>
      <c r="HA208" s="3"/>
      <c r="HB208" s="3"/>
      <c r="HC208" s="3"/>
      <c r="HD208" s="3"/>
      <c r="HE208" s="3"/>
      <c r="HF208" s="3"/>
      <c r="HG208" s="3"/>
      <c r="HH208" s="3"/>
      <c r="HI208" s="3"/>
      <c r="HJ208" s="3"/>
      <c r="HK208" s="3"/>
      <c r="HL208" s="3"/>
      <c r="HM208" s="3"/>
      <c r="HN208" s="3"/>
      <c r="HO208" s="3"/>
      <c r="HP208" s="3"/>
      <c r="HQ208" s="3"/>
      <c r="HR208" s="3"/>
      <c r="HS208" s="3"/>
      <c r="HT208" s="3"/>
      <c r="HU208" s="3"/>
      <c r="HV208" s="3"/>
      <c r="HW208" s="3"/>
      <c r="HX208" s="3"/>
      <c r="HY208" s="3"/>
      <c r="HZ208" s="3"/>
      <c r="IA208" s="3"/>
      <c r="IB208" s="3"/>
      <c r="IC208" s="3"/>
      <c r="ID208" s="3"/>
      <c r="IE208" s="3"/>
      <c r="IF208" s="3"/>
      <c r="IG208" s="3"/>
      <c r="IH208" s="3"/>
      <c r="II208" s="3"/>
      <c r="IJ208" s="3"/>
      <c r="IK208" s="3"/>
      <c r="IL208" s="3"/>
    </row>
    <row r="209" spans="12:246" x14ac:dyDescent="0.35">
      <c r="L209" t="s">
        <v>425</v>
      </c>
      <c r="M209" s="278">
        <f t="shared" si="47"/>
        <v>6.2885481209013459E-3</v>
      </c>
      <c r="P209" t="s">
        <v>985</v>
      </c>
      <c r="Q209" s="123">
        <f>S207+S225</f>
        <v>0.39362536669814557</v>
      </c>
      <c r="R209" s="4" t="s">
        <v>805</v>
      </c>
      <c r="S209" s="207">
        <f t="shared" si="48"/>
        <v>6.8564371129560264E-3</v>
      </c>
      <c r="T209">
        <f>T203</f>
        <v>2.8206584755959799E-3</v>
      </c>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c r="CE209" s="3"/>
      <c r="CF209" s="3"/>
      <c r="CG209" s="3"/>
      <c r="CH209" s="3"/>
      <c r="CI209" s="3"/>
      <c r="CJ209" s="3"/>
      <c r="CK209" s="3"/>
      <c r="CL209" s="3"/>
      <c r="CM209" s="3"/>
      <c r="CN209" s="3"/>
      <c r="CO209" s="3"/>
      <c r="CP209" s="3"/>
      <c r="CQ209" s="3"/>
      <c r="CR209" s="3"/>
      <c r="CS209" s="3"/>
      <c r="CT209" s="3"/>
      <c r="CU209" s="3"/>
      <c r="CV209" s="3"/>
      <c r="CW209" s="3"/>
      <c r="CX209" s="3"/>
      <c r="CY209" s="3"/>
      <c r="CZ209" s="3"/>
      <c r="DA209" s="3"/>
      <c r="DB209" s="3"/>
      <c r="DC209" s="3"/>
      <c r="DD209" s="3"/>
      <c r="DE209" s="3"/>
      <c r="DF209" s="3"/>
      <c r="DG209" s="3"/>
      <c r="DH209" s="3"/>
      <c r="DI209" s="3"/>
      <c r="DJ209" s="3"/>
      <c r="DK209" s="3"/>
      <c r="DL209" s="3"/>
      <c r="DM209" s="3"/>
      <c r="DN209" s="3"/>
      <c r="DO209" s="3"/>
      <c r="DP209" s="3"/>
      <c r="DQ209" s="3"/>
      <c r="DR209" s="3"/>
      <c r="DS209" s="3"/>
      <c r="DT209" s="3"/>
      <c r="DU209" s="3"/>
      <c r="DV209" s="3"/>
      <c r="DW209" s="3"/>
      <c r="DX209" s="3"/>
      <c r="DY209" s="3"/>
      <c r="DZ209" s="3"/>
      <c r="EA209" s="3"/>
      <c r="EB209" s="3"/>
      <c r="EC209" s="3"/>
      <c r="ED209" s="3"/>
      <c r="EE209" s="3"/>
      <c r="EF209" s="3"/>
      <c r="EG209" s="3"/>
      <c r="EH209" s="3"/>
      <c r="EI209" s="3"/>
      <c r="EJ209" s="3"/>
      <c r="EK209" s="3"/>
      <c r="EL209" s="3"/>
      <c r="EM209" s="3"/>
      <c r="EN209" s="3"/>
      <c r="EO209" s="3"/>
      <c r="EP209" s="3"/>
      <c r="EQ209" s="3"/>
      <c r="ER209" s="3"/>
      <c r="ES209" s="3"/>
      <c r="ET209" s="3"/>
      <c r="EU209" s="3"/>
      <c r="EV209" s="3"/>
      <c r="EW209" s="3"/>
      <c r="EX209" s="3"/>
      <c r="EY209" s="3"/>
      <c r="EZ209" s="3"/>
      <c r="FA209" s="3"/>
      <c r="FB209" s="3"/>
      <c r="FC209" s="3"/>
      <c r="FD209" s="3"/>
      <c r="FE209" s="3"/>
      <c r="FF209" s="3"/>
      <c r="FG209" s="3"/>
      <c r="FH209" s="3"/>
      <c r="FI209" s="3"/>
      <c r="FJ209" s="3"/>
      <c r="FK209" s="3"/>
      <c r="FL209" s="3"/>
      <c r="FM209" s="3"/>
      <c r="FN209" s="3"/>
      <c r="FO209" s="3"/>
      <c r="FP209" s="3"/>
      <c r="FQ209" s="3"/>
      <c r="FR209" s="3"/>
      <c r="FS209" s="3"/>
      <c r="FT209" s="3"/>
      <c r="FU209" s="3"/>
      <c r="FV209" s="3"/>
      <c r="FW209" s="3"/>
      <c r="FX209" s="3"/>
      <c r="FY209" s="3"/>
      <c r="FZ209" s="3"/>
      <c r="GA209" s="3"/>
      <c r="GB209" s="3"/>
      <c r="GC209" s="3"/>
      <c r="GD209" s="3"/>
      <c r="GE209" s="3"/>
      <c r="GF209" s="3"/>
      <c r="GG209" s="3"/>
      <c r="GH209" s="3"/>
      <c r="GI209" s="3"/>
      <c r="GJ209" s="3"/>
      <c r="GK209" s="3"/>
      <c r="GL209" s="3"/>
      <c r="GM209" s="3"/>
      <c r="GN209" s="3"/>
      <c r="GO209" s="3"/>
      <c r="GP209" s="3"/>
      <c r="GQ209" s="3"/>
      <c r="GR209" s="3"/>
      <c r="GS209" s="3"/>
      <c r="GT209" s="3"/>
      <c r="GU209" s="3"/>
      <c r="GV209" s="3"/>
      <c r="GW209" s="3"/>
      <c r="GX209" s="3"/>
      <c r="GY209" s="3"/>
      <c r="GZ209" s="3"/>
      <c r="HA209" s="3"/>
      <c r="HB209" s="3"/>
      <c r="HC209" s="3"/>
      <c r="HD209" s="3"/>
      <c r="HE209" s="3"/>
      <c r="HF209" s="3"/>
      <c r="HG209" s="3"/>
      <c r="HH209" s="3"/>
      <c r="HI209" s="3"/>
      <c r="HJ209" s="3"/>
      <c r="HK209" s="3"/>
      <c r="HL209" s="3"/>
      <c r="HM209" s="3"/>
      <c r="HN209" s="3"/>
      <c r="HO209" s="3"/>
      <c r="HP209" s="3"/>
      <c r="HQ209" s="3"/>
      <c r="HR209" s="3"/>
      <c r="HS209" s="3"/>
      <c r="HT209" s="3"/>
      <c r="HU209" s="3"/>
      <c r="HV209" s="3"/>
      <c r="HW209" s="3"/>
      <c r="HX209" s="3"/>
      <c r="HY209" s="3"/>
      <c r="HZ209" s="3"/>
      <c r="IA209" s="3"/>
      <c r="IB209" s="3"/>
      <c r="IC209" s="3"/>
      <c r="ID209" s="3"/>
      <c r="IE209" s="3"/>
      <c r="IF209" s="3"/>
      <c r="IG209" s="3"/>
      <c r="IH209" s="3"/>
      <c r="II209" s="3"/>
      <c r="IJ209" s="3"/>
      <c r="IK209" s="3"/>
      <c r="IL209" s="3"/>
    </row>
    <row r="210" spans="12:246" x14ac:dyDescent="0.35">
      <c r="L210" t="s">
        <v>800</v>
      </c>
      <c r="M210" s="278">
        <f>J38</f>
        <v>8.9783125171761055E-2</v>
      </c>
      <c r="P210" t="s">
        <v>984</v>
      </c>
      <c r="Q210" s="123">
        <f>SUM(S220:S222)</f>
        <v>0.10821035427598241</v>
      </c>
      <c r="R210" s="4" t="s">
        <v>628</v>
      </c>
      <c r="S210" s="207">
        <f t="shared" si="48"/>
        <v>8.7778889487367083E-3</v>
      </c>
      <c r="T210">
        <f t="shared" ref="T210:T224" si="49">M201*W$201*T$201</f>
        <v>3.6111214109013994E-3</v>
      </c>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c r="CE210" s="3"/>
      <c r="CF210" s="3"/>
      <c r="CG210" s="3"/>
      <c r="CH210" s="3"/>
      <c r="CI210" s="3"/>
      <c r="CJ210" s="3"/>
      <c r="CK210" s="3"/>
      <c r="CL210" s="3"/>
      <c r="CM210" s="3"/>
      <c r="CN210" s="3"/>
      <c r="CO210" s="3"/>
      <c r="CP210" s="3"/>
      <c r="CQ210" s="3"/>
      <c r="CR210" s="3"/>
      <c r="CS210" s="3"/>
      <c r="CT210" s="3"/>
      <c r="CU210" s="3"/>
      <c r="CV210" s="3"/>
      <c r="CW210" s="3"/>
      <c r="CX210" s="3"/>
      <c r="CY210" s="3"/>
      <c r="CZ210" s="3"/>
      <c r="DA210" s="3"/>
      <c r="DB210" s="3"/>
      <c r="DC210" s="3"/>
      <c r="DD210" s="3"/>
      <c r="DE210" s="3"/>
      <c r="DF210" s="3"/>
      <c r="DG210" s="3"/>
      <c r="DH210" s="3"/>
      <c r="DI210" s="3"/>
      <c r="DJ210" s="3"/>
      <c r="DK210" s="3"/>
      <c r="DL210" s="3"/>
      <c r="DM210" s="3"/>
      <c r="DN210" s="3"/>
      <c r="DO210" s="3"/>
      <c r="DP210" s="3"/>
      <c r="DQ210" s="3"/>
      <c r="DR210" s="3"/>
      <c r="DS210" s="3"/>
      <c r="DT210" s="3"/>
      <c r="DU210" s="3"/>
      <c r="DV210" s="3"/>
      <c r="DW210" s="3"/>
      <c r="DX210" s="3"/>
      <c r="DY210" s="3"/>
      <c r="DZ210" s="3"/>
      <c r="EA210" s="3"/>
      <c r="EB210" s="3"/>
      <c r="EC210" s="3"/>
      <c r="ED210" s="3"/>
      <c r="EE210" s="3"/>
      <c r="EF210" s="3"/>
      <c r="EG210" s="3"/>
      <c r="EH210" s="3"/>
      <c r="EI210" s="3"/>
      <c r="EJ210" s="3"/>
      <c r="EK210" s="3"/>
      <c r="EL210" s="3"/>
      <c r="EM210" s="3"/>
      <c r="EN210" s="3"/>
      <c r="EO210" s="3"/>
      <c r="EP210" s="3"/>
      <c r="EQ210" s="3"/>
      <c r="ER210" s="3"/>
      <c r="ES210" s="3"/>
      <c r="ET210" s="3"/>
      <c r="EU210" s="3"/>
      <c r="EV210" s="3"/>
      <c r="EW210" s="3"/>
      <c r="EX210" s="3"/>
      <c r="EY210" s="3"/>
      <c r="EZ210" s="3"/>
      <c r="FA210" s="3"/>
      <c r="FB210" s="3"/>
      <c r="FC210" s="3"/>
      <c r="FD210" s="3"/>
      <c r="FE210" s="3"/>
      <c r="FF210" s="3"/>
      <c r="FG210" s="3"/>
      <c r="FH210" s="3"/>
      <c r="FI210" s="3"/>
      <c r="FJ210" s="3"/>
      <c r="FK210" s="3"/>
      <c r="FL210" s="3"/>
      <c r="FM210" s="3"/>
      <c r="FN210" s="3"/>
      <c r="FO210" s="3"/>
      <c r="FP210" s="3"/>
      <c r="FQ210" s="3"/>
      <c r="FR210" s="3"/>
      <c r="FS210" s="3"/>
      <c r="FT210" s="3"/>
      <c r="FU210" s="3"/>
      <c r="FV210" s="3"/>
      <c r="FW210" s="3"/>
      <c r="FX210" s="3"/>
      <c r="FY210" s="3"/>
      <c r="FZ210" s="3"/>
      <c r="GA210" s="3"/>
      <c r="GB210" s="3"/>
      <c r="GC210" s="3"/>
      <c r="GD210" s="3"/>
      <c r="GE210" s="3"/>
      <c r="GF210" s="3"/>
      <c r="GG210" s="3"/>
      <c r="GH210" s="3"/>
      <c r="GI210" s="3"/>
      <c r="GJ210" s="3"/>
      <c r="GK210" s="3"/>
      <c r="GL210" s="3"/>
      <c r="GM210" s="3"/>
      <c r="GN210" s="3"/>
      <c r="GO210" s="3"/>
      <c r="GP210" s="3"/>
      <c r="GQ210" s="3"/>
      <c r="GR210" s="3"/>
      <c r="GS210" s="3"/>
      <c r="GT210" s="3"/>
      <c r="GU210" s="3"/>
      <c r="GV210" s="3"/>
      <c r="GW210" s="3"/>
      <c r="GX210" s="3"/>
      <c r="GY210" s="3"/>
      <c r="GZ210" s="3"/>
      <c r="HA210" s="3"/>
      <c r="HB210" s="3"/>
      <c r="HC210" s="3"/>
      <c r="HD210" s="3"/>
      <c r="HE210" s="3"/>
      <c r="HF210" s="3"/>
      <c r="HG210" s="3"/>
      <c r="HH210" s="3"/>
      <c r="HI210" s="3"/>
      <c r="HJ210" s="3"/>
      <c r="HK210" s="3"/>
      <c r="HL210" s="3"/>
      <c r="HM210" s="3"/>
      <c r="HN210" s="3"/>
      <c r="HO210" s="3"/>
      <c r="HP210" s="3"/>
      <c r="HQ210" s="3"/>
      <c r="HR210" s="3"/>
      <c r="HS210" s="3"/>
      <c r="HT210" s="3"/>
      <c r="HU210" s="3"/>
      <c r="HV210" s="3"/>
      <c r="HW210" s="3"/>
      <c r="HX210" s="3"/>
      <c r="HY210" s="3"/>
      <c r="HZ210" s="3"/>
      <c r="IA210" s="3"/>
      <c r="IB210" s="3"/>
      <c r="IC210" s="3"/>
      <c r="ID210" s="3"/>
      <c r="IE210" s="3"/>
      <c r="IF210" s="3"/>
      <c r="IG210" s="3"/>
      <c r="IH210" s="3"/>
      <c r="II210" s="3"/>
      <c r="IJ210" s="3"/>
      <c r="IK210" s="3"/>
      <c r="IL210" s="3"/>
    </row>
    <row r="211" spans="12:246" x14ac:dyDescent="0.35">
      <c r="L211" t="s">
        <v>647</v>
      </c>
      <c r="M211" s="278">
        <f>J41</f>
        <v>2.2896908841234971E-2</v>
      </c>
      <c r="P211" t="s">
        <v>982</v>
      </c>
      <c r="Q211" s="123">
        <f>SUM(S210:S212)</f>
        <v>8.5401970440692559E-2</v>
      </c>
      <c r="R211" s="4" t="s">
        <v>629</v>
      </c>
      <c r="S211" s="207">
        <f t="shared" si="48"/>
        <v>2.8019021524367572E-2</v>
      </c>
      <c r="T211">
        <f t="shared" si="49"/>
        <v>1.1526699543597266E-2</v>
      </c>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c r="CE211" s="3"/>
      <c r="CF211" s="3"/>
      <c r="CG211" s="3"/>
      <c r="CH211" s="3"/>
      <c r="CI211" s="3"/>
      <c r="CJ211" s="3"/>
      <c r="CK211" s="3"/>
      <c r="CL211" s="3"/>
      <c r="CM211" s="3"/>
      <c r="CN211" s="3"/>
      <c r="CO211" s="3"/>
      <c r="CP211" s="3"/>
      <c r="CQ211" s="3"/>
      <c r="CR211" s="3"/>
      <c r="CS211" s="3"/>
      <c r="CT211" s="3"/>
      <c r="CU211" s="3"/>
      <c r="CV211" s="3"/>
      <c r="CW211" s="3"/>
      <c r="CX211" s="3"/>
      <c r="CY211" s="3"/>
      <c r="CZ211" s="3"/>
      <c r="DA211" s="3"/>
      <c r="DB211" s="3"/>
      <c r="DC211" s="3"/>
      <c r="DD211" s="3"/>
      <c r="DE211" s="3"/>
      <c r="DF211" s="3"/>
      <c r="DG211" s="3"/>
      <c r="DH211" s="3"/>
      <c r="DI211" s="3"/>
      <c r="DJ211" s="3"/>
      <c r="DK211" s="3"/>
      <c r="DL211" s="3"/>
      <c r="DM211" s="3"/>
      <c r="DN211" s="3"/>
      <c r="DO211" s="3"/>
      <c r="DP211" s="3"/>
      <c r="DQ211" s="3"/>
      <c r="DR211" s="3"/>
      <c r="DS211" s="3"/>
      <c r="DT211" s="3"/>
      <c r="DU211" s="3"/>
      <c r="DV211" s="3"/>
      <c r="DW211" s="3"/>
      <c r="DX211" s="3"/>
      <c r="DY211" s="3"/>
      <c r="DZ211" s="3"/>
      <c r="EA211" s="3"/>
      <c r="EB211" s="3"/>
      <c r="EC211" s="3"/>
      <c r="ED211" s="3"/>
      <c r="EE211" s="3"/>
      <c r="EF211" s="3"/>
      <c r="EG211" s="3"/>
      <c r="EH211" s="3"/>
      <c r="EI211" s="3"/>
      <c r="EJ211" s="3"/>
      <c r="EK211" s="3"/>
      <c r="EL211" s="3"/>
      <c r="EM211" s="3"/>
      <c r="EN211" s="3"/>
      <c r="EO211" s="3"/>
      <c r="EP211" s="3"/>
      <c r="EQ211" s="3"/>
      <c r="ER211" s="3"/>
      <c r="ES211" s="3"/>
      <c r="ET211" s="3"/>
      <c r="EU211" s="3"/>
      <c r="EV211" s="3"/>
      <c r="EW211" s="3"/>
      <c r="EX211" s="3"/>
      <c r="EY211" s="3"/>
      <c r="EZ211" s="3"/>
      <c r="FA211" s="3"/>
      <c r="FB211" s="3"/>
      <c r="FC211" s="3"/>
      <c r="FD211" s="3"/>
      <c r="FE211" s="3"/>
      <c r="FF211" s="3"/>
      <c r="FG211" s="3"/>
      <c r="FH211" s="3"/>
      <c r="FI211" s="3"/>
      <c r="FJ211" s="3"/>
      <c r="FK211" s="3"/>
      <c r="FL211" s="3"/>
      <c r="FM211" s="3"/>
      <c r="FN211" s="3"/>
      <c r="FO211" s="3"/>
      <c r="FP211" s="3"/>
      <c r="FQ211" s="3"/>
      <c r="FR211" s="3"/>
      <c r="FS211" s="3"/>
      <c r="FT211" s="3"/>
      <c r="FU211" s="3"/>
      <c r="FV211" s="3"/>
      <c r="FW211" s="3"/>
      <c r="FX211" s="3"/>
      <c r="FY211" s="3"/>
      <c r="FZ211" s="3"/>
      <c r="GA211" s="3"/>
      <c r="GB211" s="3"/>
      <c r="GC211" s="3"/>
      <c r="GD211" s="3"/>
      <c r="GE211" s="3"/>
      <c r="GF211" s="3"/>
      <c r="GG211" s="3"/>
      <c r="GH211" s="3"/>
      <c r="GI211" s="3"/>
      <c r="GJ211" s="3"/>
      <c r="GK211" s="3"/>
      <c r="GL211" s="3"/>
      <c r="GM211" s="3"/>
      <c r="GN211" s="3"/>
      <c r="GO211" s="3"/>
      <c r="GP211" s="3"/>
      <c r="GQ211" s="3"/>
      <c r="GR211" s="3"/>
      <c r="GS211" s="3"/>
      <c r="GT211" s="3"/>
      <c r="GU211" s="3"/>
      <c r="GV211" s="3"/>
      <c r="GW211" s="3"/>
      <c r="GX211" s="3"/>
      <c r="GY211" s="3"/>
      <c r="GZ211" s="3"/>
      <c r="HA211" s="3"/>
      <c r="HB211" s="3"/>
      <c r="HC211" s="3"/>
      <c r="HD211" s="3"/>
      <c r="HE211" s="3"/>
      <c r="HF211" s="3"/>
      <c r="HG211" s="3"/>
      <c r="HH211" s="3"/>
      <c r="HI211" s="3"/>
      <c r="HJ211" s="3"/>
      <c r="HK211" s="3"/>
      <c r="HL211" s="3"/>
      <c r="HM211" s="3"/>
      <c r="HN211" s="3"/>
      <c r="HO211" s="3"/>
      <c r="HP211" s="3"/>
      <c r="HQ211" s="3"/>
      <c r="HR211" s="3"/>
      <c r="HS211" s="3"/>
      <c r="HT211" s="3"/>
      <c r="HU211" s="3"/>
      <c r="HV211" s="3"/>
      <c r="HW211" s="3"/>
      <c r="HX211" s="3"/>
      <c r="HY211" s="3"/>
      <c r="HZ211" s="3"/>
      <c r="IA211" s="3"/>
      <c r="IB211" s="3"/>
      <c r="IC211" s="3"/>
      <c r="ID211" s="3"/>
      <c r="IE211" s="3"/>
      <c r="IF211" s="3"/>
      <c r="IG211" s="3"/>
      <c r="IH211" s="3"/>
      <c r="II211" s="3"/>
      <c r="IJ211" s="3"/>
      <c r="IK211" s="3"/>
      <c r="IL211" s="3"/>
    </row>
    <row r="212" spans="12:246" x14ac:dyDescent="0.35">
      <c r="L212" t="s">
        <v>646</v>
      </c>
      <c r="M212" s="278">
        <f t="shared" ref="M212:M214" si="50">J42</f>
        <v>2.6528999292290752E-2</v>
      </c>
      <c r="P212" t="s">
        <v>595</v>
      </c>
      <c r="Q212" s="123">
        <f>S224</f>
        <v>-7.9600533869328235E-2</v>
      </c>
      <c r="R212" s="4" t="s">
        <v>630</v>
      </c>
      <c r="S212" s="207">
        <f t="shared" si="48"/>
        <v>4.8605059967588279E-2</v>
      </c>
      <c r="T212">
        <f>M203*W$201*T$201</f>
        <v>1.999555630654962E-2</v>
      </c>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c r="CA212" s="3"/>
      <c r="CB212" s="3"/>
      <c r="CC212" s="3"/>
      <c r="CD212" s="3"/>
      <c r="CE212" s="3"/>
      <c r="CF212" s="3"/>
      <c r="CG212" s="3"/>
      <c r="CH212" s="3"/>
      <c r="CI212" s="3"/>
      <c r="CJ212" s="3"/>
      <c r="CK212" s="3"/>
      <c r="CL212" s="3"/>
      <c r="CM212" s="3"/>
      <c r="CN212" s="3"/>
      <c r="CO212" s="3"/>
      <c r="CP212" s="3"/>
      <c r="CQ212" s="3"/>
      <c r="CR212" s="3"/>
      <c r="CS212" s="3"/>
      <c r="CT212" s="3"/>
      <c r="CU212" s="3"/>
      <c r="CV212" s="3"/>
      <c r="CW212" s="3"/>
      <c r="CX212" s="3"/>
      <c r="CY212" s="3"/>
      <c r="CZ212" s="3"/>
      <c r="DA212" s="3"/>
      <c r="DB212" s="3"/>
      <c r="DC212" s="3"/>
      <c r="DD212" s="3"/>
      <c r="DE212" s="3"/>
      <c r="DF212" s="3"/>
      <c r="DG212" s="3"/>
      <c r="DH212" s="3"/>
      <c r="DI212" s="3"/>
      <c r="DJ212" s="3"/>
      <c r="DK212" s="3"/>
      <c r="DL212" s="3"/>
      <c r="DM212" s="3"/>
      <c r="DN212" s="3"/>
      <c r="DO212" s="3"/>
      <c r="DP212" s="3"/>
      <c r="DQ212" s="3"/>
      <c r="DR212" s="3"/>
      <c r="DS212" s="3"/>
      <c r="DT212" s="3"/>
      <c r="DU212" s="3"/>
      <c r="DV212" s="3"/>
      <c r="DW212" s="3"/>
      <c r="DX212" s="3"/>
      <c r="DY212" s="3"/>
      <c r="DZ212" s="3"/>
      <c r="EA212" s="3"/>
      <c r="EB212" s="3"/>
      <c r="EC212" s="3"/>
      <c r="ED212" s="3"/>
      <c r="EE212" s="3"/>
      <c r="EF212" s="3"/>
      <c r="EG212" s="3"/>
      <c r="EH212" s="3"/>
      <c r="EI212" s="3"/>
      <c r="EJ212" s="3"/>
      <c r="EK212" s="3"/>
      <c r="EL212" s="3"/>
      <c r="EM212" s="3"/>
      <c r="EN212" s="3"/>
      <c r="EO212" s="3"/>
      <c r="EP212" s="3"/>
      <c r="EQ212" s="3"/>
      <c r="ER212" s="3"/>
      <c r="ES212" s="3"/>
      <c r="ET212" s="3"/>
      <c r="EU212" s="3"/>
      <c r="EV212" s="3"/>
      <c r="EW212" s="3"/>
      <c r="EX212" s="3"/>
      <c r="EY212" s="3"/>
      <c r="EZ212" s="3"/>
      <c r="FA212" s="3"/>
      <c r="FB212" s="3"/>
      <c r="FC212" s="3"/>
      <c r="FD212" s="3"/>
      <c r="FE212" s="3"/>
      <c r="FF212" s="3"/>
      <c r="FG212" s="3"/>
      <c r="FH212" s="3"/>
      <c r="FI212" s="3"/>
      <c r="FJ212" s="3"/>
      <c r="FK212" s="3"/>
      <c r="FL212" s="3"/>
      <c r="FM212" s="3"/>
      <c r="FN212" s="3"/>
      <c r="FO212" s="3"/>
      <c r="FP212" s="3"/>
      <c r="FQ212" s="3"/>
      <c r="FR212" s="3"/>
      <c r="FS212" s="3"/>
      <c r="FT212" s="3"/>
      <c r="FU212" s="3"/>
      <c r="FV212" s="3"/>
      <c r="FW212" s="3"/>
      <c r="FX212" s="3"/>
      <c r="FY212" s="3"/>
      <c r="FZ212" s="3"/>
      <c r="GA212" s="3"/>
      <c r="GB212" s="3"/>
      <c r="GC212" s="3"/>
      <c r="GD212" s="3"/>
      <c r="GE212" s="3"/>
      <c r="GF212" s="3"/>
      <c r="GG212" s="3"/>
      <c r="GH212" s="3"/>
      <c r="GI212" s="3"/>
      <c r="GJ212" s="3"/>
      <c r="GK212" s="3"/>
      <c r="GL212" s="3"/>
      <c r="GM212" s="3"/>
      <c r="GN212" s="3"/>
      <c r="GO212" s="3"/>
      <c r="GP212" s="3"/>
      <c r="GQ212" s="3"/>
      <c r="GR212" s="3"/>
      <c r="GS212" s="3"/>
      <c r="GT212" s="3"/>
      <c r="GU212" s="3"/>
      <c r="GV212" s="3"/>
      <c r="GW212" s="3"/>
      <c r="GX212" s="3"/>
      <c r="GY212" s="3"/>
      <c r="GZ212" s="3"/>
      <c r="HA212" s="3"/>
      <c r="HB212" s="3"/>
      <c r="HC212" s="3"/>
      <c r="HD212" s="3"/>
      <c r="HE212" s="3"/>
      <c r="HF212" s="3"/>
      <c r="HG212" s="3"/>
      <c r="HH212" s="3"/>
      <c r="HI212" s="3"/>
      <c r="HJ212" s="3"/>
      <c r="HK212" s="3"/>
      <c r="HL212" s="3"/>
      <c r="HM212" s="3"/>
      <c r="HN212" s="3"/>
      <c r="HO212" s="3"/>
      <c r="HP212" s="3"/>
      <c r="HQ212" s="3"/>
      <c r="HR212" s="3"/>
      <c r="HS212" s="3"/>
      <c r="HT212" s="3"/>
      <c r="HU212" s="3"/>
      <c r="HV212" s="3"/>
      <c r="HW212" s="3"/>
      <c r="HX212" s="3"/>
      <c r="HY212" s="3"/>
      <c r="HZ212" s="3"/>
      <c r="IA212" s="3"/>
      <c r="IB212" s="3"/>
      <c r="IC212" s="3"/>
      <c r="ID212" s="3"/>
      <c r="IE212" s="3"/>
      <c r="IF212" s="3"/>
      <c r="IG212" s="3"/>
      <c r="IH212" s="3"/>
      <c r="II212" s="3"/>
      <c r="IJ212" s="3"/>
      <c r="IK212" s="3"/>
      <c r="IL212" s="3"/>
    </row>
    <row r="213" spans="12:246" x14ac:dyDescent="0.35">
      <c r="L213" t="s">
        <v>674</v>
      </c>
      <c r="M213" s="278">
        <f t="shared" si="50"/>
        <v>3.2879869226592119E-2</v>
      </c>
      <c r="P213" t="s">
        <v>981</v>
      </c>
      <c r="Q213" s="123">
        <f>SUM(Q206:Q212)</f>
        <v>2.4307930833445983</v>
      </c>
      <c r="R213" s="4" t="s">
        <v>631</v>
      </c>
      <c r="S213" s="207">
        <f t="shared" si="48"/>
        <v>8.5408859471208156E-3</v>
      </c>
      <c r="T213">
        <f t="shared" si="49"/>
        <v>3.5136211328070607E-3</v>
      </c>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c r="CA213" s="3"/>
      <c r="CB213" s="3"/>
      <c r="CC213" s="3"/>
      <c r="CD213" s="3"/>
      <c r="CE213" s="3"/>
      <c r="CF213" s="3"/>
      <c r="CG213" s="3"/>
      <c r="CH213" s="3"/>
      <c r="CI213" s="3"/>
      <c r="CJ213" s="3"/>
      <c r="CK213" s="3"/>
      <c r="CL213" s="3"/>
      <c r="CM213" s="3"/>
      <c r="CN213" s="3"/>
      <c r="CO213" s="3"/>
      <c r="CP213" s="3"/>
      <c r="CQ213" s="3"/>
      <c r="CR213" s="3"/>
      <c r="CS213" s="3"/>
      <c r="CT213" s="3"/>
      <c r="CU213" s="3"/>
      <c r="CV213" s="3"/>
      <c r="CW213" s="3"/>
      <c r="CX213" s="3"/>
      <c r="CY213" s="3"/>
      <c r="CZ213" s="3"/>
      <c r="DA213" s="3"/>
      <c r="DB213" s="3"/>
      <c r="DC213" s="3"/>
      <c r="DD213" s="3"/>
      <c r="DE213" s="3"/>
      <c r="DF213" s="3"/>
      <c r="DG213" s="3"/>
      <c r="DH213" s="3"/>
      <c r="DI213" s="3"/>
      <c r="DJ213" s="3"/>
      <c r="DK213" s="3"/>
      <c r="DL213" s="3"/>
      <c r="DM213" s="3"/>
      <c r="DN213" s="3"/>
      <c r="DO213" s="3"/>
      <c r="DP213" s="3"/>
      <c r="DQ213" s="3"/>
      <c r="DR213" s="3"/>
      <c r="DS213" s="3"/>
      <c r="DT213" s="3"/>
      <c r="DU213" s="3"/>
      <c r="DV213" s="3"/>
      <c r="DW213" s="3"/>
      <c r="DX213" s="3"/>
      <c r="DY213" s="3"/>
      <c r="DZ213" s="3"/>
      <c r="EA213" s="3"/>
      <c r="EB213" s="3"/>
      <c r="EC213" s="3"/>
      <c r="ED213" s="3"/>
      <c r="EE213" s="3"/>
      <c r="EF213" s="3"/>
      <c r="EG213" s="3"/>
      <c r="EH213" s="3"/>
      <c r="EI213" s="3"/>
      <c r="EJ213" s="3"/>
      <c r="EK213" s="3"/>
      <c r="EL213" s="3"/>
      <c r="EM213" s="3"/>
      <c r="EN213" s="3"/>
      <c r="EO213" s="3"/>
      <c r="EP213" s="3"/>
      <c r="EQ213" s="3"/>
      <c r="ER213" s="3"/>
      <c r="ES213" s="3"/>
      <c r="ET213" s="3"/>
      <c r="EU213" s="3"/>
      <c r="EV213" s="3"/>
      <c r="EW213" s="3"/>
      <c r="EX213" s="3"/>
      <c r="EY213" s="3"/>
      <c r="EZ213" s="3"/>
      <c r="FA213" s="3"/>
      <c r="FB213" s="3"/>
      <c r="FC213" s="3"/>
      <c r="FD213" s="3"/>
      <c r="FE213" s="3"/>
      <c r="FF213" s="3"/>
      <c r="FG213" s="3"/>
      <c r="FH213" s="3"/>
      <c r="FI213" s="3"/>
      <c r="FJ213" s="3"/>
      <c r="FK213" s="3"/>
      <c r="FL213" s="3"/>
      <c r="FM213" s="3"/>
      <c r="FN213" s="3"/>
      <c r="FO213" s="3"/>
      <c r="FP213" s="3"/>
      <c r="FQ213" s="3"/>
      <c r="FR213" s="3"/>
      <c r="FS213" s="3"/>
      <c r="FT213" s="3"/>
      <c r="FU213" s="3"/>
      <c r="FV213" s="3"/>
      <c r="FW213" s="3"/>
      <c r="FX213" s="3"/>
      <c r="FY213" s="3"/>
      <c r="FZ213" s="3"/>
      <c r="GA213" s="3"/>
      <c r="GB213" s="3"/>
      <c r="GC213" s="3"/>
      <c r="GD213" s="3"/>
      <c r="GE213" s="3"/>
      <c r="GF213" s="3"/>
      <c r="GG213" s="3"/>
      <c r="GH213" s="3"/>
      <c r="GI213" s="3"/>
      <c r="GJ213" s="3"/>
      <c r="GK213" s="3"/>
      <c r="GL213" s="3"/>
      <c r="GM213" s="3"/>
      <c r="GN213" s="3"/>
      <c r="GO213" s="3"/>
      <c r="GP213" s="3"/>
      <c r="GQ213" s="3"/>
      <c r="GR213" s="3"/>
      <c r="GS213" s="3"/>
      <c r="GT213" s="3"/>
      <c r="GU213" s="3"/>
      <c r="GV213" s="3"/>
      <c r="GW213" s="3"/>
      <c r="GX213" s="3"/>
      <c r="GY213" s="3"/>
      <c r="GZ213" s="3"/>
      <c r="HA213" s="3"/>
      <c r="HB213" s="3"/>
      <c r="HC213" s="3"/>
      <c r="HD213" s="3"/>
      <c r="HE213" s="3"/>
      <c r="HF213" s="3"/>
      <c r="HG213" s="3"/>
      <c r="HH213" s="3"/>
      <c r="HI213" s="3"/>
      <c r="HJ213" s="3"/>
      <c r="HK213" s="3"/>
      <c r="HL213" s="3"/>
      <c r="HM213" s="3"/>
      <c r="HN213" s="3"/>
      <c r="HO213" s="3"/>
      <c r="HP213" s="3"/>
      <c r="HQ213" s="3"/>
      <c r="HR213" s="3"/>
      <c r="HS213" s="3"/>
      <c r="HT213" s="3"/>
      <c r="HU213" s="3"/>
      <c r="HV213" s="3"/>
      <c r="HW213" s="3"/>
      <c r="HX213" s="3"/>
      <c r="HY213" s="3"/>
      <c r="HZ213" s="3"/>
      <c r="IA213" s="3"/>
      <c r="IB213" s="3"/>
      <c r="IC213" s="3"/>
      <c r="ID213" s="3"/>
      <c r="IE213" s="3"/>
      <c r="IF213" s="3"/>
      <c r="IG213" s="3"/>
      <c r="IH213" s="3"/>
      <c r="II213" s="3"/>
      <c r="IJ213" s="3"/>
      <c r="IK213" s="3"/>
      <c r="IL213" s="3"/>
    </row>
    <row r="214" spans="12:246" x14ac:dyDescent="0.35">
      <c r="L214" t="s">
        <v>791</v>
      </c>
      <c r="M214" s="278">
        <f t="shared" si="50"/>
        <v>0.62235723501289064</v>
      </c>
      <c r="R214" s="4" t="s">
        <v>648</v>
      </c>
      <c r="S214" s="207">
        <f t="shared" si="48"/>
        <v>1.5839118956540218E-2</v>
      </c>
      <c r="T214">
        <f t="shared" si="49"/>
        <v>6.5160293013285676E-3</v>
      </c>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c r="CA214" s="3"/>
      <c r="CB214" s="3"/>
      <c r="CC214" s="3"/>
      <c r="CD214" s="3"/>
      <c r="CE214" s="3"/>
      <c r="CF214" s="3"/>
      <c r="CG214" s="3"/>
      <c r="CH214" s="3"/>
      <c r="CI214" s="3"/>
      <c r="CJ214" s="3"/>
      <c r="CK214" s="3"/>
      <c r="CL214" s="3"/>
      <c r="CM214" s="3"/>
      <c r="CN214" s="3"/>
      <c r="CO214" s="3"/>
      <c r="CP214" s="3"/>
      <c r="CQ214" s="3"/>
      <c r="CR214" s="3"/>
      <c r="CS214" s="3"/>
      <c r="CT214" s="3"/>
      <c r="CU214" s="3"/>
      <c r="CV214" s="3"/>
      <c r="CW214" s="3"/>
      <c r="CX214" s="3"/>
      <c r="CY214" s="3"/>
      <c r="CZ214" s="3"/>
      <c r="DA214" s="3"/>
      <c r="DB214" s="3"/>
      <c r="DC214" s="3"/>
      <c r="DD214" s="3"/>
      <c r="DE214" s="3"/>
      <c r="DF214" s="3"/>
      <c r="DG214" s="3"/>
      <c r="DH214" s="3"/>
      <c r="DI214" s="3"/>
      <c r="DJ214" s="3"/>
      <c r="DK214" s="3"/>
      <c r="DL214" s="3"/>
      <c r="DM214" s="3"/>
      <c r="DN214" s="3"/>
      <c r="DO214" s="3"/>
      <c r="DP214" s="3"/>
      <c r="DQ214" s="3"/>
      <c r="DR214" s="3"/>
      <c r="DS214" s="3"/>
      <c r="DT214" s="3"/>
      <c r="DU214" s="3"/>
      <c r="DV214" s="3"/>
      <c r="DW214" s="3"/>
      <c r="DX214" s="3"/>
      <c r="DY214" s="3"/>
      <c r="DZ214" s="3"/>
      <c r="EA214" s="3"/>
      <c r="EB214" s="3"/>
      <c r="EC214" s="3"/>
      <c r="ED214" s="3"/>
      <c r="EE214" s="3"/>
      <c r="EF214" s="3"/>
      <c r="EG214" s="3"/>
      <c r="EH214" s="3"/>
      <c r="EI214" s="3"/>
      <c r="EJ214" s="3"/>
      <c r="EK214" s="3"/>
      <c r="EL214" s="3"/>
      <c r="EM214" s="3"/>
      <c r="EN214" s="3"/>
      <c r="EO214" s="3"/>
      <c r="EP214" s="3"/>
      <c r="EQ214" s="3"/>
      <c r="ER214" s="3"/>
      <c r="ES214" s="3"/>
      <c r="ET214" s="3"/>
      <c r="EU214" s="3"/>
      <c r="EV214" s="3"/>
      <c r="EW214" s="3"/>
      <c r="EX214" s="3"/>
      <c r="EY214" s="3"/>
      <c r="EZ214" s="3"/>
      <c r="FA214" s="3"/>
      <c r="FB214" s="3"/>
      <c r="FC214" s="3"/>
      <c r="FD214" s="3"/>
      <c r="FE214" s="3"/>
      <c r="FF214" s="3"/>
      <c r="FG214" s="3"/>
      <c r="FH214" s="3"/>
      <c r="FI214" s="3"/>
      <c r="FJ214" s="3"/>
      <c r="FK214" s="3"/>
      <c r="FL214" s="3"/>
      <c r="FM214" s="3"/>
      <c r="FN214" s="3"/>
      <c r="FO214" s="3"/>
      <c r="FP214" s="3"/>
      <c r="FQ214" s="3"/>
      <c r="FR214" s="3"/>
      <c r="FS214" s="3"/>
      <c r="FT214" s="3"/>
      <c r="FU214" s="3"/>
      <c r="FV214" s="3"/>
      <c r="FW214" s="3"/>
      <c r="FX214" s="3"/>
      <c r="FY214" s="3"/>
      <c r="FZ214" s="3"/>
      <c r="GA214" s="3"/>
      <c r="GB214" s="3"/>
      <c r="GC214" s="3"/>
      <c r="GD214" s="3"/>
      <c r="GE214" s="3"/>
      <c r="GF214" s="3"/>
      <c r="GG214" s="3"/>
      <c r="GH214" s="3"/>
      <c r="GI214" s="3"/>
      <c r="GJ214" s="3"/>
      <c r="GK214" s="3"/>
      <c r="GL214" s="3"/>
      <c r="GM214" s="3"/>
      <c r="GN214" s="3"/>
      <c r="GO214" s="3"/>
      <c r="GP214" s="3"/>
      <c r="GQ214" s="3"/>
      <c r="GR214" s="3"/>
      <c r="GS214" s="3"/>
      <c r="GT214" s="3"/>
      <c r="GU214" s="3"/>
      <c r="GV214" s="3"/>
      <c r="GW214" s="3"/>
      <c r="GX214" s="3"/>
      <c r="GY214" s="3"/>
      <c r="GZ214" s="3"/>
      <c r="HA214" s="3"/>
      <c r="HB214" s="3"/>
      <c r="HC214" s="3"/>
      <c r="HD214" s="3"/>
      <c r="HE214" s="3"/>
      <c r="HF214" s="3"/>
      <c r="HG214" s="3"/>
      <c r="HH214" s="3"/>
      <c r="HI214" s="3"/>
      <c r="HJ214" s="3"/>
      <c r="HK214" s="3"/>
      <c r="HL214" s="3"/>
      <c r="HM214" s="3"/>
      <c r="HN214" s="3"/>
      <c r="HO214" s="3"/>
      <c r="HP214" s="3"/>
      <c r="HQ214" s="3"/>
      <c r="HR214" s="3"/>
      <c r="HS214" s="3"/>
      <c r="HT214" s="3"/>
      <c r="HU214" s="3"/>
      <c r="HV214" s="3"/>
      <c r="HW214" s="3"/>
      <c r="HX214" s="3"/>
      <c r="HY214" s="3"/>
      <c r="HZ214" s="3"/>
      <c r="IA214" s="3"/>
      <c r="IB214" s="3"/>
      <c r="IC214" s="3"/>
      <c r="ID214" s="3"/>
      <c r="IE214" s="3"/>
      <c r="IF214" s="3"/>
      <c r="IG214" s="3"/>
      <c r="IH214" s="3"/>
      <c r="II214" s="3"/>
      <c r="IJ214" s="3"/>
      <c r="IK214" s="3"/>
      <c r="IL214" s="3"/>
    </row>
    <row r="215" spans="12:246" x14ac:dyDescent="0.35">
      <c r="L215" t="s">
        <v>595</v>
      </c>
      <c r="M215" s="278">
        <f>J47</f>
        <v>-6.0544888354086016E-2</v>
      </c>
      <c r="R215" s="4" t="s">
        <v>137</v>
      </c>
      <c r="S215" s="207">
        <f t="shared" si="48"/>
        <v>0.14683257971937796</v>
      </c>
      <c r="T215">
        <f t="shared" si="49"/>
        <v>6.0405215370016925E-2</v>
      </c>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c r="CA215" s="3"/>
      <c r="CB215" s="3"/>
      <c r="CC215" s="3"/>
      <c r="CD215" s="3"/>
      <c r="CE215" s="3"/>
      <c r="CF215" s="3"/>
      <c r="CG215" s="3"/>
      <c r="CH215" s="3"/>
      <c r="CI215" s="3"/>
      <c r="CJ215" s="3"/>
      <c r="CK215" s="3"/>
      <c r="CL215" s="3"/>
      <c r="CM215" s="3"/>
      <c r="CN215" s="3"/>
      <c r="CO215" s="3"/>
      <c r="CP215" s="3"/>
      <c r="CQ215" s="3"/>
      <c r="CR215" s="3"/>
      <c r="CS215" s="3"/>
      <c r="CT215" s="3"/>
      <c r="CU215" s="3"/>
      <c r="CV215" s="3"/>
      <c r="CW215" s="3"/>
      <c r="CX215" s="3"/>
      <c r="CY215" s="3"/>
      <c r="CZ215" s="3"/>
      <c r="DA215" s="3"/>
      <c r="DB215" s="3"/>
      <c r="DC215" s="3"/>
      <c r="DD215" s="3"/>
      <c r="DE215" s="3"/>
      <c r="DF215" s="3"/>
      <c r="DG215" s="3"/>
      <c r="DH215" s="3"/>
      <c r="DI215" s="3"/>
      <c r="DJ215" s="3"/>
      <c r="DK215" s="3"/>
      <c r="DL215" s="3"/>
      <c r="DM215" s="3"/>
      <c r="DN215" s="3"/>
      <c r="DO215" s="3"/>
      <c r="DP215" s="3"/>
      <c r="DQ215" s="3"/>
      <c r="DR215" s="3"/>
      <c r="DS215" s="3"/>
      <c r="DT215" s="3"/>
      <c r="DU215" s="3"/>
      <c r="DV215" s="3"/>
      <c r="DW215" s="3"/>
      <c r="DX215" s="3"/>
      <c r="DY215" s="3"/>
      <c r="DZ215" s="3"/>
      <c r="EA215" s="3"/>
      <c r="EB215" s="3"/>
      <c r="EC215" s="3"/>
      <c r="ED215" s="3"/>
      <c r="EE215" s="3"/>
      <c r="EF215" s="3"/>
      <c r="EG215" s="3"/>
      <c r="EH215" s="3"/>
      <c r="EI215" s="3"/>
      <c r="EJ215" s="3"/>
      <c r="EK215" s="3"/>
      <c r="EL215" s="3"/>
      <c r="EM215" s="3"/>
      <c r="EN215" s="3"/>
      <c r="EO215" s="3"/>
      <c r="EP215" s="3"/>
      <c r="EQ215" s="3"/>
      <c r="ER215" s="3"/>
      <c r="ES215" s="3"/>
      <c r="ET215" s="3"/>
      <c r="EU215" s="3"/>
      <c r="EV215" s="3"/>
      <c r="EW215" s="3"/>
      <c r="EX215" s="3"/>
      <c r="EY215" s="3"/>
      <c r="EZ215" s="3"/>
      <c r="FA215" s="3"/>
      <c r="FB215" s="3"/>
      <c r="FC215" s="3"/>
      <c r="FD215" s="3"/>
      <c r="FE215" s="3"/>
      <c r="FF215" s="3"/>
      <c r="FG215" s="3"/>
      <c r="FH215" s="3"/>
      <c r="FI215" s="3"/>
      <c r="FJ215" s="3"/>
      <c r="FK215" s="3"/>
      <c r="FL215" s="3"/>
      <c r="FM215" s="3"/>
      <c r="FN215" s="3"/>
      <c r="FO215" s="3"/>
      <c r="FP215" s="3"/>
      <c r="FQ215" s="3"/>
      <c r="FR215" s="3"/>
      <c r="FS215" s="3"/>
      <c r="FT215" s="3"/>
      <c r="FU215" s="3"/>
      <c r="FV215" s="3"/>
      <c r="FW215" s="3"/>
      <c r="FX215" s="3"/>
      <c r="FY215" s="3"/>
      <c r="FZ215" s="3"/>
      <c r="GA215" s="3"/>
      <c r="GB215" s="3"/>
      <c r="GC215" s="3"/>
      <c r="GD215" s="3"/>
      <c r="GE215" s="3"/>
      <c r="GF215" s="3"/>
      <c r="GG215" s="3"/>
      <c r="GH215" s="3"/>
      <c r="GI215" s="3"/>
      <c r="GJ215" s="3"/>
      <c r="GK215" s="3"/>
      <c r="GL215" s="3"/>
      <c r="GM215" s="3"/>
      <c r="GN215" s="3"/>
      <c r="GO215" s="3"/>
      <c r="GP215" s="3"/>
      <c r="GQ215" s="3"/>
      <c r="GR215" s="3"/>
      <c r="GS215" s="3"/>
      <c r="GT215" s="3"/>
      <c r="GU215" s="3"/>
      <c r="GV215" s="3"/>
      <c r="GW215" s="3"/>
      <c r="GX215" s="3"/>
      <c r="GY215" s="3"/>
      <c r="GZ215" s="3"/>
      <c r="HA215" s="3"/>
      <c r="HB215" s="3"/>
      <c r="HC215" s="3"/>
      <c r="HD215" s="3"/>
      <c r="HE215" s="3"/>
      <c r="HF215" s="3"/>
      <c r="HG215" s="3"/>
      <c r="HH215" s="3"/>
      <c r="HI215" s="3"/>
      <c r="HJ215" s="3"/>
      <c r="HK215" s="3"/>
      <c r="HL215" s="3"/>
      <c r="HM215" s="3"/>
      <c r="HN215" s="3"/>
      <c r="HO215" s="3"/>
      <c r="HP215" s="3"/>
      <c r="HQ215" s="3"/>
      <c r="HR215" s="3"/>
      <c r="HS215" s="3"/>
      <c r="HT215" s="3"/>
      <c r="HU215" s="3"/>
      <c r="HV215" s="3"/>
      <c r="HW215" s="3"/>
      <c r="HX215" s="3"/>
      <c r="HY215" s="3"/>
      <c r="HZ215" s="3"/>
      <c r="IA215" s="3"/>
      <c r="IB215" s="3"/>
      <c r="IC215" s="3"/>
      <c r="ID215" s="3"/>
      <c r="IE215" s="3"/>
      <c r="IF215" s="3"/>
      <c r="IG215" s="3"/>
      <c r="IH215" s="3"/>
      <c r="II215" s="3"/>
      <c r="IJ215" s="3"/>
      <c r="IK215" s="3"/>
      <c r="IL215" s="3"/>
    </row>
    <row r="216" spans="12:246" x14ac:dyDescent="0.35">
      <c r="M216" s="278">
        <f>SUM(M201:M215)</f>
        <v>0.939455111645914</v>
      </c>
      <c r="R216" s="4" t="s">
        <v>632</v>
      </c>
      <c r="S216" s="207">
        <f t="shared" si="48"/>
        <v>4.8605059967588276E-3</v>
      </c>
      <c r="T216">
        <f t="shared" si="49"/>
        <v>1.9995556306549619E-3</v>
      </c>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c r="CE216" s="3"/>
      <c r="CF216" s="3"/>
      <c r="CG216" s="3"/>
      <c r="CH216" s="3"/>
      <c r="CI216" s="3"/>
      <c r="CJ216" s="3"/>
      <c r="CK216" s="3"/>
      <c r="CL216" s="3"/>
      <c r="CM216" s="3"/>
      <c r="CN216" s="3"/>
      <c r="CO216" s="3"/>
      <c r="CP216" s="3"/>
      <c r="CQ216" s="3"/>
      <c r="CR216" s="3"/>
      <c r="CS216" s="3"/>
      <c r="CT216" s="3"/>
      <c r="CU216" s="3"/>
      <c r="CV216" s="3"/>
      <c r="CW216" s="3"/>
      <c r="CX216" s="3"/>
      <c r="CY216" s="3"/>
      <c r="CZ216" s="3"/>
      <c r="DA216" s="3"/>
      <c r="DB216" s="3"/>
      <c r="DC216" s="3"/>
      <c r="DD216" s="3"/>
      <c r="DE216" s="3"/>
      <c r="DF216" s="3"/>
      <c r="DG216" s="3"/>
      <c r="DH216" s="3"/>
      <c r="DI216" s="3"/>
      <c r="DJ216" s="3"/>
      <c r="DK216" s="3"/>
      <c r="DL216" s="3"/>
      <c r="DM216" s="3"/>
      <c r="DN216" s="3"/>
      <c r="DO216" s="3"/>
      <c r="DP216" s="3"/>
      <c r="DQ216" s="3"/>
      <c r="DR216" s="3"/>
      <c r="DS216" s="3"/>
      <c r="DT216" s="3"/>
      <c r="DU216" s="3"/>
      <c r="DV216" s="3"/>
      <c r="DW216" s="3"/>
      <c r="DX216" s="3"/>
      <c r="DY216" s="3"/>
      <c r="DZ216" s="3"/>
      <c r="EA216" s="3"/>
      <c r="EB216" s="3"/>
      <c r="EC216" s="3"/>
      <c r="ED216" s="3"/>
      <c r="EE216" s="3"/>
      <c r="EF216" s="3"/>
      <c r="EG216" s="3"/>
      <c r="EH216" s="3"/>
      <c r="EI216" s="3"/>
      <c r="EJ216" s="3"/>
      <c r="EK216" s="3"/>
      <c r="EL216" s="3"/>
      <c r="EM216" s="3"/>
      <c r="EN216" s="3"/>
      <c r="EO216" s="3"/>
      <c r="EP216" s="3"/>
      <c r="EQ216" s="3"/>
      <c r="ER216" s="3"/>
      <c r="ES216" s="3"/>
      <c r="ET216" s="3"/>
      <c r="EU216" s="3"/>
      <c r="EV216" s="3"/>
      <c r="EW216" s="3"/>
      <c r="EX216" s="3"/>
      <c r="EY216" s="3"/>
      <c r="EZ216" s="3"/>
      <c r="FA216" s="3"/>
      <c r="FB216" s="3"/>
      <c r="FC216" s="3"/>
      <c r="FD216" s="3"/>
      <c r="FE216" s="3"/>
      <c r="FF216" s="3"/>
      <c r="FG216" s="3"/>
      <c r="FH216" s="3"/>
      <c r="FI216" s="3"/>
      <c r="FJ216" s="3"/>
      <c r="FK216" s="3"/>
      <c r="FL216" s="3"/>
      <c r="FM216" s="3"/>
      <c r="FN216" s="3"/>
      <c r="FO216" s="3"/>
      <c r="FP216" s="3"/>
      <c r="FQ216" s="3"/>
      <c r="FR216" s="3"/>
      <c r="FS216" s="3"/>
      <c r="FT216" s="3"/>
      <c r="FU216" s="3"/>
      <c r="FV216" s="3"/>
      <c r="FW216" s="3"/>
      <c r="FX216" s="3"/>
      <c r="FY216" s="3"/>
      <c r="FZ216" s="3"/>
      <c r="GA216" s="3"/>
      <c r="GB216" s="3"/>
      <c r="GC216" s="3"/>
      <c r="GD216" s="3"/>
      <c r="GE216" s="3"/>
      <c r="GF216" s="3"/>
      <c r="GG216" s="3"/>
      <c r="GH216" s="3"/>
      <c r="GI216" s="3"/>
      <c r="GJ216" s="3"/>
      <c r="GK216" s="3"/>
      <c r="GL216" s="3"/>
      <c r="GM216" s="3"/>
      <c r="GN216" s="3"/>
      <c r="GO216" s="3"/>
      <c r="GP216" s="3"/>
      <c r="GQ216" s="3"/>
      <c r="GR216" s="3"/>
      <c r="GS216" s="3"/>
      <c r="GT216" s="3"/>
      <c r="GU216" s="3"/>
      <c r="GV216" s="3"/>
      <c r="GW216" s="3"/>
      <c r="GX216" s="3"/>
      <c r="GY216" s="3"/>
      <c r="GZ216" s="3"/>
      <c r="HA216" s="3"/>
      <c r="HB216" s="3"/>
      <c r="HC216" s="3"/>
      <c r="HD216" s="3"/>
      <c r="HE216" s="3"/>
      <c r="HF216" s="3"/>
      <c r="HG216" s="3"/>
      <c r="HH216" s="3"/>
      <c r="HI216" s="3"/>
      <c r="HJ216" s="3"/>
      <c r="HK216" s="3"/>
      <c r="HL216" s="3"/>
      <c r="HM216" s="3"/>
      <c r="HN216" s="3"/>
      <c r="HO216" s="3"/>
      <c r="HP216" s="3"/>
      <c r="HQ216" s="3"/>
      <c r="HR216" s="3"/>
      <c r="HS216" s="3"/>
      <c r="HT216" s="3"/>
      <c r="HU216" s="3"/>
      <c r="HV216" s="3"/>
      <c r="HW216" s="3"/>
      <c r="HX216" s="3"/>
      <c r="HY216" s="3"/>
      <c r="HZ216" s="3"/>
      <c r="IA216" s="3"/>
      <c r="IB216" s="3"/>
      <c r="IC216" s="3"/>
      <c r="ID216" s="3"/>
      <c r="IE216" s="3"/>
      <c r="IF216" s="3"/>
      <c r="IG216" s="3"/>
      <c r="IH216" s="3"/>
      <c r="II216" s="3"/>
      <c r="IJ216" s="3"/>
      <c r="IK216" s="3"/>
      <c r="IL216" s="3"/>
    </row>
    <row r="217" spans="12:246" x14ac:dyDescent="0.35">
      <c r="R217" s="4" t="s">
        <v>424</v>
      </c>
      <c r="S217" s="207">
        <f t="shared" si="48"/>
        <v>5.0618680123174138E-4</v>
      </c>
      <c r="T217">
        <f t="shared" si="49"/>
        <v>2.0823936216539846E-4</v>
      </c>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c r="CA217" s="3"/>
      <c r="CB217" s="3"/>
      <c r="CC217" s="3"/>
      <c r="CD217" s="3"/>
      <c r="CE217" s="3"/>
      <c r="CF217" s="3"/>
      <c r="CG217" s="3"/>
      <c r="CH217" s="3"/>
      <c r="CI217" s="3"/>
      <c r="CJ217" s="3"/>
      <c r="CK217" s="3"/>
      <c r="CL217" s="3"/>
      <c r="CM217" s="3"/>
      <c r="CN217" s="3"/>
      <c r="CO217" s="3"/>
      <c r="CP217" s="3"/>
      <c r="CQ217" s="3"/>
      <c r="CR217" s="3"/>
      <c r="CS217" s="3"/>
      <c r="CT217" s="3"/>
      <c r="CU217" s="3"/>
      <c r="CV217" s="3"/>
      <c r="CW217" s="3"/>
      <c r="CX217" s="3"/>
      <c r="CY217" s="3"/>
      <c r="CZ217" s="3"/>
      <c r="DA217" s="3"/>
      <c r="DB217" s="3"/>
      <c r="DC217" s="3"/>
      <c r="DD217" s="3"/>
      <c r="DE217" s="3"/>
      <c r="DF217" s="3"/>
      <c r="DG217" s="3"/>
      <c r="DH217" s="3"/>
      <c r="DI217" s="3"/>
      <c r="DJ217" s="3"/>
      <c r="DK217" s="3"/>
      <c r="DL217" s="3"/>
      <c r="DM217" s="3"/>
      <c r="DN217" s="3"/>
      <c r="DO217" s="3"/>
      <c r="DP217" s="3"/>
      <c r="DQ217" s="3"/>
      <c r="DR217" s="3"/>
      <c r="DS217" s="3"/>
      <c r="DT217" s="3"/>
      <c r="DU217" s="3"/>
      <c r="DV217" s="3"/>
      <c r="DW217" s="3"/>
      <c r="DX217" s="3"/>
      <c r="DY217" s="3"/>
      <c r="DZ217" s="3"/>
      <c r="EA217" s="3"/>
      <c r="EB217" s="3"/>
      <c r="EC217" s="3"/>
      <c r="ED217" s="3"/>
      <c r="EE217" s="3"/>
      <c r="EF217" s="3"/>
      <c r="EG217" s="3"/>
      <c r="EH217" s="3"/>
      <c r="EI217" s="3"/>
      <c r="EJ217" s="3"/>
      <c r="EK217" s="3"/>
      <c r="EL217" s="3"/>
      <c r="EM217" s="3"/>
      <c r="EN217" s="3"/>
      <c r="EO217" s="3"/>
      <c r="EP217" s="3"/>
      <c r="EQ217" s="3"/>
      <c r="ER217" s="3"/>
      <c r="ES217" s="3"/>
      <c r="ET217" s="3"/>
      <c r="EU217" s="3"/>
      <c r="EV217" s="3"/>
      <c r="EW217" s="3"/>
      <c r="EX217" s="3"/>
      <c r="EY217" s="3"/>
      <c r="EZ217" s="3"/>
      <c r="FA217" s="3"/>
      <c r="FB217" s="3"/>
      <c r="FC217" s="3"/>
      <c r="FD217" s="3"/>
      <c r="FE217" s="3"/>
      <c r="FF217" s="3"/>
      <c r="FG217" s="3"/>
      <c r="FH217" s="3"/>
      <c r="FI217" s="3"/>
      <c r="FJ217" s="3"/>
      <c r="FK217" s="3"/>
      <c r="FL217" s="3"/>
      <c r="FM217" s="3"/>
      <c r="FN217" s="3"/>
      <c r="FO217" s="3"/>
      <c r="FP217" s="3"/>
      <c r="FQ217" s="3"/>
      <c r="FR217" s="3"/>
      <c r="FS217" s="3"/>
      <c r="FT217" s="3"/>
      <c r="FU217" s="3"/>
      <c r="FV217" s="3"/>
      <c r="FW217" s="3"/>
      <c r="FX217" s="3"/>
      <c r="FY217" s="3"/>
      <c r="FZ217" s="3"/>
      <c r="GA217" s="3"/>
      <c r="GB217" s="3"/>
      <c r="GC217" s="3"/>
      <c r="GD217" s="3"/>
      <c r="GE217" s="3"/>
      <c r="GF217" s="3"/>
      <c r="GG217" s="3"/>
      <c r="GH217" s="3"/>
      <c r="GI217" s="3"/>
      <c r="GJ217" s="3"/>
      <c r="GK217" s="3"/>
      <c r="GL217" s="3"/>
      <c r="GM217" s="3"/>
      <c r="GN217" s="3"/>
      <c r="GO217" s="3"/>
      <c r="GP217" s="3"/>
      <c r="GQ217" s="3"/>
      <c r="GR217" s="3"/>
      <c r="GS217" s="3"/>
      <c r="GT217" s="3"/>
      <c r="GU217" s="3"/>
      <c r="GV217" s="3"/>
      <c r="GW217" s="3"/>
      <c r="GX217" s="3"/>
      <c r="GY217" s="3"/>
      <c r="GZ217" s="3"/>
      <c r="HA217" s="3"/>
      <c r="HB217" s="3"/>
      <c r="HC217" s="3"/>
      <c r="HD217" s="3"/>
      <c r="HE217" s="3"/>
      <c r="HF217" s="3"/>
      <c r="HG217" s="3"/>
      <c r="HH217" s="3"/>
      <c r="HI217" s="3"/>
      <c r="HJ217" s="3"/>
      <c r="HK217" s="3"/>
      <c r="HL217" s="3"/>
      <c r="HM217" s="3"/>
      <c r="HN217" s="3"/>
      <c r="HO217" s="3"/>
      <c r="HP217" s="3"/>
      <c r="HQ217" s="3"/>
      <c r="HR217" s="3"/>
      <c r="HS217" s="3"/>
      <c r="HT217" s="3"/>
      <c r="HU217" s="3"/>
      <c r="HV217" s="3"/>
      <c r="HW217" s="3"/>
      <c r="HX217" s="3"/>
      <c r="HY217" s="3"/>
      <c r="HZ217" s="3"/>
      <c r="IA217" s="3"/>
      <c r="IB217" s="3"/>
      <c r="IC217" s="3"/>
      <c r="ID217" s="3"/>
      <c r="IE217" s="3"/>
      <c r="IF217" s="3"/>
      <c r="IG217" s="3"/>
      <c r="IH217" s="3"/>
      <c r="II217" s="3"/>
      <c r="IJ217" s="3"/>
      <c r="IK217" s="3"/>
      <c r="IL217" s="3"/>
    </row>
    <row r="218" spans="12:246" x14ac:dyDescent="0.35">
      <c r="R218" s="4" t="s">
        <v>425</v>
      </c>
      <c r="S218" s="207">
        <f t="shared" si="48"/>
        <v>8.2677795152450023E-3</v>
      </c>
      <c r="T218">
        <f t="shared" si="49"/>
        <v>3.4012683234515072E-3</v>
      </c>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c r="CA218" s="3"/>
      <c r="CB218" s="3"/>
      <c r="CC218" s="3"/>
      <c r="CD218" s="3"/>
      <c r="CE218" s="3"/>
      <c r="CF218" s="3"/>
      <c r="CG218" s="3"/>
      <c r="CH218" s="3"/>
      <c r="CI218" s="3"/>
      <c r="CJ218" s="3"/>
      <c r="CK218" s="3"/>
      <c r="CL218" s="3"/>
      <c r="CM218" s="3"/>
      <c r="CN218" s="3"/>
      <c r="CO218" s="3"/>
      <c r="CP218" s="3"/>
      <c r="CQ218" s="3"/>
      <c r="CR218" s="3"/>
      <c r="CS218" s="3"/>
      <c r="CT218" s="3"/>
      <c r="CU218" s="3"/>
      <c r="CV218" s="3"/>
      <c r="CW218" s="3"/>
      <c r="CX218" s="3"/>
      <c r="CY218" s="3"/>
      <c r="CZ218" s="3"/>
      <c r="DA218" s="3"/>
      <c r="DB218" s="3"/>
      <c r="DC218" s="3"/>
      <c r="DD218" s="3"/>
      <c r="DE218" s="3"/>
      <c r="DF218" s="3"/>
      <c r="DG218" s="3"/>
      <c r="DH218" s="3"/>
      <c r="DI218" s="3"/>
      <c r="DJ218" s="3"/>
      <c r="DK218" s="3"/>
      <c r="DL218" s="3"/>
      <c r="DM218" s="3"/>
      <c r="DN218" s="3"/>
      <c r="DO218" s="3"/>
      <c r="DP218" s="3"/>
      <c r="DQ218" s="3"/>
      <c r="DR218" s="3"/>
      <c r="DS218" s="3"/>
      <c r="DT218" s="3"/>
      <c r="DU218" s="3"/>
      <c r="DV218" s="3"/>
      <c r="DW218" s="3"/>
      <c r="DX218" s="3"/>
      <c r="DY218" s="3"/>
      <c r="DZ218" s="3"/>
      <c r="EA218" s="3"/>
      <c r="EB218" s="3"/>
      <c r="EC218" s="3"/>
      <c r="ED218" s="3"/>
      <c r="EE218" s="3"/>
      <c r="EF218" s="3"/>
      <c r="EG218" s="3"/>
      <c r="EH218" s="3"/>
      <c r="EI218" s="3"/>
      <c r="EJ218" s="3"/>
      <c r="EK218" s="3"/>
      <c r="EL218" s="3"/>
      <c r="EM218" s="3"/>
      <c r="EN218" s="3"/>
      <c r="EO218" s="3"/>
      <c r="EP218" s="3"/>
      <c r="EQ218" s="3"/>
      <c r="ER218" s="3"/>
      <c r="ES218" s="3"/>
      <c r="ET218" s="3"/>
      <c r="EU218" s="3"/>
      <c r="EV218" s="3"/>
      <c r="EW218" s="3"/>
      <c r="EX218" s="3"/>
      <c r="EY218" s="3"/>
      <c r="EZ218" s="3"/>
      <c r="FA218" s="3"/>
      <c r="FB218" s="3"/>
      <c r="FC218" s="3"/>
      <c r="FD218" s="3"/>
      <c r="FE218" s="3"/>
      <c r="FF218" s="3"/>
      <c r="FG218" s="3"/>
      <c r="FH218" s="3"/>
      <c r="FI218" s="3"/>
      <c r="FJ218" s="3"/>
      <c r="FK218" s="3"/>
      <c r="FL218" s="3"/>
      <c r="FM218" s="3"/>
      <c r="FN218" s="3"/>
      <c r="FO218" s="3"/>
      <c r="FP218" s="3"/>
      <c r="FQ218" s="3"/>
      <c r="FR218" s="3"/>
      <c r="FS218" s="3"/>
      <c r="FT218" s="3"/>
      <c r="FU218" s="3"/>
      <c r="FV218" s="3"/>
      <c r="FW218" s="3"/>
      <c r="FX218" s="3"/>
      <c r="FY218" s="3"/>
      <c r="FZ218" s="3"/>
      <c r="GA218" s="3"/>
      <c r="GB218" s="3"/>
      <c r="GC218" s="3"/>
      <c r="GD218" s="3"/>
      <c r="GE218" s="3"/>
      <c r="GF218" s="3"/>
      <c r="GG218" s="3"/>
      <c r="GH218" s="3"/>
      <c r="GI218" s="3"/>
      <c r="GJ218" s="3"/>
      <c r="GK218" s="3"/>
      <c r="GL218" s="3"/>
      <c r="GM218" s="3"/>
      <c r="GN218" s="3"/>
      <c r="GO218" s="3"/>
      <c r="GP218" s="3"/>
      <c r="GQ218" s="3"/>
      <c r="GR218" s="3"/>
      <c r="GS218" s="3"/>
      <c r="GT218" s="3"/>
      <c r="GU218" s="3"/>
      <c r="GV218" s="3"/>
      <c r="GW218" s="3"/>
      <c r="GX218" s="3"/>
      <c r="GY218" s="3"/>
      <c r="GZ218" s="3"/>
      <c r="HA218" s="3"/>
      <c r="HB218" s="3"/>
      <c r="HC218" s="3"/>
      <c r="HD218" s="3"/>
      <c r="HE218" s="3"/>
      <c r="HF218" s="3"/>
      <c r="HG218" s="3"/>
      <c r="HH218" s="3"/>
      <c r="HI218" s="3"/>
      <c r="HJ218" s="3"/>
      <c r="HK218" s="3"/>
      <c r="HL218" s="3"/>
      <c r="HM218" s="3"/>
      <c r="HN218" s="3"/>
      <c r="HO218" s="3"/>
      <c r="HP218" s="3"/>
      <c r="HQ218" s="3"/>
      <c r="HR218" s="3"/>
      <c r="HS218" s="3"/>
      <c r="HT218" s="3"/>
      <c r="HU218" s="3"/>
      <c r="HV218" s="3"/>
      <c r="HW218" s="3"/>
      <c r="HX218" s="3"/>
      <c r="HY218" s="3"/>
      <c r="HZ218" s="3"/>
      <c r="IA218" s="3"/>
      <c r="IB218" s="3"/>
      <c r="IC218" s="3"/>
      <c r="ID218" s="3"/>
      <c r="IE218" s="3"/>
      <c r="IF218" s="3"/>
      <c r="IG218" s="3"/>
      <c r="IH218" s="3"/>
      <c r="II218" s="3"/>
      <c r="IJ218" s="3"/>
      <c r="IK218" s="3"/>
      <c r="IL218" s="3"/>
    </row>
    <row r="219" spans="12:246" x14ac:dyDescent="0.35">
      <c r="R219" s="4" t="s">
        <v>800</v>
      </c>
      <c r="S219" s="207">
        <f t="shared" si="48"/>
        <v>0.1180410913359391</v>
      </c>
      <c r="T219">
        <f>M210*W$201*T$201</f>
        <v>4.856073194577424E-2</v>
      </c>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c r="CA219" s="3"/>
      <c r="CB219" s="3"/>
      <c r="CC219" s="3"/>
      <c r="CD219" s="3"/>
      <c r="CE219" s="3"/>
      <c r="CF219" s="3"/>
      <c r="CG219" s="3"/>
      <c r="CH219" s="3"/>
      <c r="CI219" s="3"/>
      <c r="CJ219" s="3"/>
      <c r="CK219" s="3"/>
      <c r="CL219" s="3"/>
      <c r="CM219" s="3"/>
      <c r="CN219" s="3"/>
      <c r="CO219" s="3"/>
      <c r="CP219" s="3"/>
      <c r="CQ219" s="3"/>
      <c r="CR219" s="3"/>
      <c r="CS219" s="3"/>
      <c r="CT219" s="3"/>
      <c r="CU219" s="3"/>
      <c r="CV219" s="3"/>
      <c r="CW219" s="3"/>
      <c r="CX219" s="3"/>
      <c r="CY219" s="3"/>
      <c r="CZ219" s="3"/>
      <c r="DA219" s="3"/>
      <c r="DB219" s="3"/>
      <c r="DC219" s="3"/>
      <c r="DD219" s="3"/>
      <c r="DE219" s="3"/>
      <c r="DF219" s="3"/>
      <c r="DG219" s="3"/>
      <c r="DH219" s="3"/>
      <c r="DI219" s="3"/>
      <c r="DJ219" s="3"/>
      <c r="DK219" s="3"/>
      <c r="DL219" s="3"/>
      <c r="DM219" s="3"/>
      <c r="DN219" s="3"/>
      <c r="DO219" s="3"/>
      <c r="DP219" s="3"/>
      <c r="DQ219" s="3"/>
      <c r="DR219" s="3"/>
      <c r="DS219" s="3"/>
      <c r="DT219" s="3"/>
      <c r="DU219" s="3"/>
      <c r="DV219" s="3"/>
      <c r="DW219" s="3"/>
      <c r="DX219" s="3"/>
      <c r="DY219" s="3"/>
      <c r="DZ219" s="3"/>
      <c r="EA219" s="3"/>
      <c r="EB219" s="3"/>
      <c r="EC219" s="3"/>
      <c r="ED219" s="3"/>
      <c r="EE219" s="3"/>
      <c r="EF219" s="3"/>
      <c r="EG219" s="3"/>
      <c r="EH219" s="3"/>
      <c r="EI219" s="3"/>
      <c r="EJ219" s="3"/>
      <c r="EK219" s="3"/>
      <c r="EL219" s="3"/>
      <c r="EM219" s="3"/>
      <c r="EN219" s="3"/>
      <c r="EO219" s="3"/>
      <c r="EP219" s="3"/>
      <c r="EQ219" s="3"/>
      <c r="ER219" s="3"/>
      <c r="ES219" s="3"/>
      <c r="ET219" s="3"/>
      <c r="EU219" s="3"/>
      <c r="EV219" s="3"/>
      <c r="EW219" s="3"/>
      <c r="EX219" s="3"/>
      <c r="EY219" s="3"/>
      <c r="EZ219" s="3"/>
      <c r="FA219" s="3"/>
      <c r="FB219" s="3"/>
      <c r="FC219" s="3"/>
      <c r="FD219" s="3"/>
      <c r="FE219" s="3"/>
      <c r="FF219" s="3"/>
      <c r="FG219" s="3"/>
      <c r="FH219" s="3"/>
      <c r="FI219" s="3"/>
      <c r="FJ219" s="3"/>
      <c r="FK219" s="3"/>
      <c r="FL219" s="3"/>
      <c r="FM219" s="3"/>
      <c r="FN219" s="3"/>
      <c r="FO219" s="3"/>
      <c r="FP219" s="3"/>
      <c r="FQ219" s="3"/>
      <c r="FR219" s="3"/>
      <c r="FS219" s="3"/>
      <c r="FT219" s="3"/>
      <c r="FU219" s="3"/>
      <c r="FV219" s="3"/>
      <c r="FW219" s="3"/>
      <c r="FX219" s="3"/>
      <c r="FY219" s="3"/>
      <c r="FZ219" s="3"/>
      <c r="GA219" s="3"/>
      <c r="GB219" s="3"/>
      <c r="GC219" s="3"/>
      <c r="GD219" s="3"/>
      <c r="GE219" s="3"/>
      <c r="GF219" s="3"/>
      <c r="GG219" s="3"/>
      <c r="GH219" s="3"/>
      <c r="GI219" s="3"/>
      <c r="GJ219" s="3"/>
      <c r="GK219" s="3"/>
      <c r="GL219" s="3"/>
      <c r="GM219" s="3"/>
      <c r="GN219" s="3"/>
      <c r="GO219" s="3"/>
      <c r="GP219" s="3"/>
      <c r="GQ219" s="3"/>
      <c r="GR219" s="3"/>
      <c r="GS219" s="3"/>
      <c r="GT219" s="3"/>
      <c r="GU219" s="3"/>
      <c r="GV219" s="3"/>
      <c r="GW219" s="3"/>
      <c r="GX219" s="3"/>
      <c r="GY219" s="3"/>
      <c r="GZ219" s="3"/>
      <c r="HA219" s="3"/>
      <c r="HB219" s="3"/>
      <c r="HC219" s="3"/>
      <c r="HD219" s="3"/>
      <c r="HE219" s="3"/>
      <c r="HF219" s="3"/>
      <c r="HG219" s="3"/>
      <c r="HH219" s="3"/>
      <c r="HI219" s="3"/>
      <c r="HJ219" s="3"/>
      <c r="HK219" s="3"/>
      <c r="HL219" s="3"/>
      <c r="HM219" s="3"/>
      <c r="HN219" s="3"/>
      <c r="HO219" s="3"/>
      <c r="HP219" s="3"/>
      <c r="HQ219" s="3"/>
      <c r="HR219" s="3"/>
      <c r="HS219" s="3"/>
      <c r="HT219" s="3"/>
      <c r="HU219" s="3"/>
      <c r="HV219" s="3"/>
      <c r="HW219" s="3"/>
      <c r="HX219" s="3"/>
      <c r="HY219" s="3"/>
      <c r="HZ219" s="3"/>
      <c r="IA219" s="3"/>
      <c r="IB219" s="3"/>
      <c r="IC219" s="3"/>
      <c r="ID219" s="3"/>
      <c r="IE219" s="3"/>
      <c r="IF219" s="3"/>
      <c r="IG219" s="3"/>
      <c r="IH219" s="3"/>
      <c r="II219" s="3"/>
      <c r="IJ219" s="3"/>
      <c r="IK219" s="3"/>
      <c r="IL219" s="3"/>
    </row>
    <row r="220" spans="12:246" x14ac:dyDescent="0.35">
      <c r="R220" s="4" t="s">
        <v>647</v>
      </c>
      <c r="S220" s="207">
        <f t="shared" si="48"/>
        <v>3.0103386384337804E-2</v>
      </c>
      <c r="T220">
        <f t="shared" si="49"/>
        <v>1.238418300208329E-2</v>
      </c>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c r="CA220" s="3"/>
      <c r="CB220" s="3"/>
      <c r="CC220" s="3"/>
      <c r="CD220" s="3"/>
      <c r="CE220" s="3"/>
      <c r="CF220" s="3"/>
      <c r="CG220" s="3"/>
      <c r="CH220" s="3"/>
      <c r="CI220" s="3"/>
      <c r="CJ220" s="3"/>
      <c r="CK220" s="3"/>
      <c r="CL220" s="3"/>
      <c r="CM220" s="3"/>
      <c r="CN220" s="3"/>
      <c r="CO220" s="3"/>
      <c r="CP220" s="3"/>
      <c r="CQ220" s="3"/>
      <c r="CR220" s="3"/>
      <c r="CS220" s="3"/>
      <c r="CT220" s="3"/>
      <c r="CU220" s="3"/>
      <c r="CV220" s="3"/>
      <c r="CW220" s="3"/>
      <c r="CX220" s="3"/>
      <c r="CY220" s="3"/>
      <c r="CZ220" s="3"/>
      <c r="DA220" s="3"/>
      <c r="DB220" s="3"/>
      <c r="DC220" s="3"/>
      <c r="DD220" s="3"/>
      <c r="DE220" s="3"/>
      <c r="DF220" s="3"/>
      <c r="DG220" s="3"/>
      <c r="DH220" s="3"/>
      <c r="DI220" s="3"/>
      <c r="DJ220" s="3"/>
      <c r="DK220" s="3"/>
      <c r="DL220" s="3"/>
      <c r="DM220" s="3"/>
      <c r="DN220" s="3"/>
      <c r="DO220" s="3"/>
      <c r="DP220" s="3"/>
      <c r="DQ220" s="3"/>
      <c r="DR220" s="3"/>
      <c r="DS220" s="3"/>
      <c r="DT220" s="3"/>
      <c r="DU220" s="3"/>
      <c r="DV220" s="3"/>
      <c r="DW220" s="3"/>
      <c r="DX220" s="3"/>
      <c r="DY220" s="3"/>
      <c r="DZ220" s="3"/>
      <c r="EA220" s="3"/>
      <c r="EB220" s="3"/>
      <c r="EC220" s="3"/>
      <c r="ED220" s="3"/>
      <c r="EE220" s="3"/>
      <c r="EF220" s="3"/>
      <c r="EG220" s="3"/>
      <c r="EH220" s="3"/>
      <c r="EI220" s="3"/>
      <c r="EJ220" s="3"/>
      <c r="EK220" s="3"/>
      <c r="EL220" s="3"/>
      <c r="EM220" s="3"/>
      <c r="EN220" s="3"/>
      <c r="EO220" s="3"/>
      <c r="EP220" s="3"/>
      <c r="EQ220" s="3"/>
      <c r="ER220" s="3"/>
      <c r="ES220" s="3"/>
      <c r="ET220" s="3"/>
      <c r="EU220" s="3"/>
      <c r="EV220" s="3"/>
      <c r="EW220" s="3"/>
      <c r="EX220" s="3"/>
      <c r="EY220" s="3"/>
      <c r="EZ220" s="3"/>
      <c r="FA220" s="3"/>
      <c r="FB220" s="3"/>
      <c r="FC220" s="3"/>
      <c r="FD220" s="3"/>
      <c r="FE220" s="3"/>
      <c r="FF220" s="3"/>
      <c r="FG220" s="3"/>
      <c r="FH220" s="3"/>
      <c r="FI220" s="3"/>
      <c r="FJ220" s="3"/>
      <c r="FK220" s="3"/>
      <c r="FL220" s="3"/>
      <c r="FM220" s="3"/>
      <c r="FN220" s="3"/>
      <c r="FO220" s="3"/>
      <c r="FP220" s="3"/>
      <c r="FQ220" s="3"/>
      <c r="FR220" s="3"/>
      <c r="FS220" s="3"/>
      <c r="FT220" s="3"/>
      <c r="FU220" s="3"/>
      <c r="FV220" s="3"/>
      <c r="FW220" s="3"/>
      <c r="FX220" s="3"/>
      <c r="FY220" s="3"/>
      <c r="FZ220" s="3"/>
      <c r="GA220" s="3"/>
      <c r="GB220" s="3"/>
      <c r="GC220" s="3"/>
      <c r="GD220" s="3"/>
      <c r="GE220" s="3"/>
      <c r="GF220" s="3"/>
      <c r="GG220" s="3"/>
      <c r="GH220" s="3"/>
      <c r="GI220" s="3"/>
      <c r="GJ220" s="3"/>
      <c r="GK220" s="3"/>
      <c r="GL220" s="3"/>
      <c r="GM220" s="3"/>
      <c r="GN220" s="3"/>
      <c r="GO220" s="3"/>
      <c r="GP220" s="3"/>
      <c r="GQ220" s="3"/>
      <c r="GR220" s="3"/>
      <c r="GS220" s="3"/>
      <c r="GT220" s="3"/>
      <c r="GU220" s="3"/>
      <c r="GV220" s="3"/>
      <c r="GW220" s="3"/>
      <c r="GX220" s="3"/>
      <c r="GY220" s="3"/>
      <c r="GZ220" s="3"/>
      <c r="HA220" s="3"/>
      <c r="HB220" s="3"/>
      <c r="HC220" s="3"/>
      <c r="HD220" s="3"/>
      <c r="HE220" s="3"/>
      <c r="HF220" s="3"/>
      <c r="HG220" s="3"/>
      <c r="HH220" s="3"/>
      <c r="HI220" s="3"/>
      <c r="HJ220" s="3"/>
      <c r="HK220" s="3"/>
      <c r="HL220" s="3"/>
      <c r="HM220" s="3"/>
      <c r="HN220" s="3"/>
      <c r="HO220" s="3"/>
      <c r="HP220" s="3"/>
      <c r="HQ220" s="3"/>
      <c r="HR220" s="3"/>
      <c r="HS220" s="3"/>
      <c r="HT220" s="3"/>
      <c r="HU220" s="3"/>
      <c r="HV220" s="3"/>
      <c r="HW220" s="3"/>
      <c r="HX220" s="3"/>
      <c r="HY220" s="3"/>
      <c r="HZ220" s="3"/>
      <c r="IA220" s="3"/>
      <c r="IB220" s="3"/>
      <c r="IC220" s="3"/>
      <c r="ID220" s="3"/>
      <c r="IE220" s="3"/>
      <c r="IF220" s="3"/>
      <c r="IG220" s="3"/>
      <c r="IH220" s="3"/>
      <c r="II220" s="3"/>
      <c r="IJ220" s="3"/>
      <c r="IK220" s="3"/>
      <c r="IL220" s="3"/>
    </row>
    <row r="221" spans="12:246" x14ac:dyDescent="0.35">
      <c r="R221" s="4" t="s">
        <v>646</v>
      </c>
      <c r="S221" s="207">
        <f t="shared" si="48"/>
        <v>3.4878625827755125E-2</v>
      </c>
      <c r="T221">
        <f t="shared" si="49"/>
        <v>1.4348660964496664E-2</v>
      </c>
    </row>
    <row r="222" spans="12:246" x14ac:dyDescent="0.35">
      <c r="R222" s="4" t="s">
        <v>674</v>
      </c>
      <c r="S222" s="207">
        <f t="shared" si="48"/>
        <v>4.3228342063889487E-2</v>
      </c>
      <c r="T222">
        <f t="shared" si="49"/>
        <v>1.7783637101850876E-2</v>
      </c>
    </row>
    <row r="223" spans="12:246" x14ac:dyDescent="0.35">
      <c r="R223" s="4" t="s">
        <v>791</v>
      </c>
      <c r="S223" s="207">
        <f t="shared" si="48"/>
        <v>0.81823535415144177</v>
      </c>
      <c r="T223">
        <f t="shared" si="49"/>
        <v>0.33661250715161989</v>
      </c>
    </row>
    <row r="224" spans="12:246" x14ac:dyDescent="0.35">
      <c r="R224" s="4" t="s">
        <v>595</v>
      </c>
      <c r="S224" s="207">
        <f t="shared" si="48"/>
        <v>-7.9600533869328235E-2</v>
      </c>
      <c r="T224">
        <f t="shared" si="49"/>
        <v>-3.2746733736712615E-2</v>
      </c>
    </row>
    <row r="225" spans="18:20" x14ac:dyDescent="0.35">
      <c r="R225" s="4" t="s">
        <v>654</v>
      </c>
      <c r="S225" s="207">
        <f t="shared" si="48"/>
        <v>0.38435755549691403</v>
      </c>
      <c r="T225">
        <f>1-SUM(T206:T224)</f>
        <v>0.15812022756295874</v>
      </c>
    </row>
    <row r="226" spans="18:20" x14ac:dyDescent="0.35">
      <c r="R226" s="4" t="s">
        <v>981</v>
      </c>
      <c r="S226" s="123">
        <f>SUM(S206:S225)</f>
        <v>2.4307930833445979</v>
      </c>
    </row>
  </sheetData>
  <mergeCells count="19">
    <mergeCell ref="C109:D109"/>
    <mergeCell ref="F109:G109"/>
    <mergeCell ref="F103:G103"/>
    <mergeCell ref="C89:D89"/>
    <mergeCell ref="H89:I89"/>
    <mergeCell ref="C103:D103"/>
    <mergeCell ref="A1:C1"/>
    <mergeCell ref="C24:D25"/>
    <mergeCell ref="A68:C68"/>
    <mergeCell ref="D57:F57"/>
    <mergeCell ref="A59:C59"/>
    <mergeCell ref="A60:C60"/>
    <mergeCell ref="A61:C61"/>
    <mergeCell ref="A62:C62"/>
    <mergeCell ref="A63:C63"/>
    <mergeCell ref="A64:C64"/>
    <mergeCell ref="A65:C65"/>
    <mergeCell ref="A66:C66"/>
    <mergeCell ref="A67:C67"/>
  </mergeCells>
  <conditionalFormatting sqref="G27:G43">
    <cfRule type="cellIs" dxfId="20" priority="21" operator="between">
      <formula>0.5</formula>
      <formula>2</formula>
    </cfRule>
  </conditionalFormatting>
  <conditionalFormatting sqref="G31:G43">
    <cfRule type="cellIs" dxfId="19" priority="20" operator="greaterThan">
      <formula>5</formula>
    </cfRule>
  </conditionalFormatting>
  <conditionalFormatting sqref="G33">
    <cfRule type="cellIs" dxfId="18" priority="19" operator="lessThan">
      <formula>0.1</formula>
    </cfRule>
  </conditionalFormatting>
  <conditionalFormatting sqref="R128">
    <cfRule type="cellIs" dxfId="17" priority="17" operator="equal">
      <formula>0</formula>
    </cfRule>
    <cfRule type="cellIs" dxfId="16" priority="18" operator="equal">
      <formula>" $-   "</formula>
    </cfRule>
  </conditionalFormatting>
  <conditionalFormatting sqref="J116">
    <cfRule type="cellIs" dxfId="15" priority="7" operator="greaterThan">
      <formula>1.2</formula>
    </cfRule>
    <cfRule type="cellIs" dxfId="14" priority="8" operator="lessThan">
      <formula>0.8</formula>
    </cfRule>
    <cfRule type="cellIs" dxfId="13" priority="9" operator="between">
      <formula>1.1</formula>
      <formula>1.2</formula>
    </cfRule>
    <cfRule type="cellIs" dxfId="12" priority="10" operator="between">
      <formula>0.8</formula>
      <formula>0.9</formula>
    </cfRule>
    <cfRule type="cellIs" dxfId="11" priority="11" operator="between">
      <formula>0.9</formula>
      <formula>1.1</formula>
    </cfRule>
    <cfRule type="cellIs" dxfId="10" priority="12" operator="greaterThan">
      <formula>1.2</formula>
    </cfRule>
    <cfRule type="cellIs" dxfId="9" priority="13" operator="lessThan">
      <formula>0.8</formula>
    </cfRule>
    <cfRule type="cellIs" dxfId="8" priority="14" operator="between">
      <formula>1.1</formula>
      <formula>1.2</formula>
    </cfRule>
    <cfRule type="cellIs" dxfId="7" priority="15" operator="between">
      <formula>0.8</formula>
      <formula>0.9</formula>
    </cfRule>
    <cfRule type="cellIs" dxfId="6" priority="16" operator="between">
      <formula>0.9</formula>
      <formula>1.1</formula>
    </cfRule>
  </conditionalFormatting>
  <conditionalFormatting sqref="H116">
    <cfRule type="cellIs" dxfId="5" priority="4" operator="lessThan">
      <formula>0</formula>
    </cfRule>
    <cfRule type="cellIs" dxfId="4" priority="5" operator="greaterThan">
      <formula>0</formula>
    </cfRule>
    <cfRule type="cellIs" dxfId="3" priority="6" operator="equal">
      <formula>0</formula>
    </cfRule>
  </conditionalFormatting>
  <conditionalFormatting sqref="AH191">
    <cfRule type="cellIs" dxfId="2" priority="3" operator="equal">
      <formula>0</formula>
    </cfRule>
  </conditionalFormatting>
  <conditionalFormatting sqref="B20">
    <cfRule type="cellIs" dxfId="1" priority="1" operator="between">
      <formula>-0.001</formula>
      <formula>0.001</formula>
    </cfRule>
    <cfRule type="cellIs" dxfId="0" priority="2" operator="equal">
      <formula>0</formula>
    </cfRule>
  </conditionalFormatting>
  <hyperlinks>
    <hyperlink ref="G137" r:id="rId1" display="Page 37 Table"/>
    <hyperlink ref="C14" r:id="rId2"/>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9252" r:id="rId6" name="Button 36">
              <controlPr defaultSize="0" print="0" autoFill="0" autoPict="0" macro="[0]!Goal_Seek_NPV">
                <anchor moveWithCells="1" sizeWithCells="1">
                  <from>
                    <xdr:col>5</xdr:col>
                    <xdr:colOff>298450</xdr:colOff>
                    <xdr:row>113</xdr:row>
                    <xdr:rowOff>107950</xdr:rowOff>
                  </from>
                  <to>
                    <xdr:col>6</xdr:col>
                    <xdr:colOff>742950</xdr:colOff>
                    <xdr:row>116</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BB42"/>
  <sheetViews>
    <sheetView zoomScaleNormal="100" workbookViewId="0">
      <selection activeCell="C10" sqref="C10"/>
    </sheetView>
  </sheetViews>
  <sheetFormatPr defaultRowHeight="14.5" x14ac:dyDescent="0.35"/>
  <cols>
    <col min="3" max="3" width="34.81640625" style="257" customWidth="1"/>
    <col min="4" max="5" width="18.26953125" customWidth="1"/>
    <col min="6" max="7" width="12.7265625" customWidth="1"/>
    <col min="8" max="8" width="7" customWidth="1"/>
    <col min="10" max="10" width="12.7265625" customWidth="1"/>
    <col min="11" max="11" width="12.26953125" customWidth="1"/>
    <col min="12" max="12" width="26.26953125" customWidth="1"/>
    <col min="15" max="16" width="11.7265625" customWidth="1"/>
    <col min="17" max="17" width="14.453125" customWidth="1"/>
    <col min="18" max="18" width="11.7265625" customWidth="1"/>
    <col min="19" max="19" width="13.453125" customWidth="1"/>
    <col min="20" max="20" width="17" customWidth="1"/>
    <col min="21" max="22" width="11.7265625" customWidth="1"/>
    <col min="23" max="23" width="28.7265625" customWidth="1"/>
    <col min="24" max="24" width="17.26953125" customWidth="1"/>
    <col min="25" max="25" width="11" customWidth="1"/>
    <col min="27" max="27" width="12" bestFit="1" customWidth="1"/>
  </cols>
  <sheetData>
    <row r="1" spans="2:54" x14ac:dyDescent="0.35">
      <c r="B1" t="s">
        <v>955</v>
      </c>
      <c r="C1" s="257" t="s">
        <v>947</v>
      </c>
      <c r="D1" s="258" t="s">
        <v>948</v>
      </c>
      <c r="E1" s="258" t="s">
        <v>949</v>
      </c>
      <c r="F1" s="258" t="s">
        <v>951</v>
      </c>
      <c r="G1" s="258" t="s">
        <v>950</v>
      </c>
      <c r="H1" s="270"/>
      <c r="I1" s="271">
        <v>0.2</v>
      </c>
      <c r="J1" s="264"/>
      <c r="L1">
        <v>2.2547356805713665</v>
      </c>
      <c r="O1" s="270" t="s">
        <v>487</v>
      </c>
      <c r="P1" s="270" t="s">
        <v>488</v>
      </c>
      <c r="Q1" s="270" t="s">
        <v>489</v>
      </c>
      <c r="R1" s="270" t="s">
        <v>476</v>
      </c>
      <c r="S1" s="270" t="s">
        <v>490</v>
      </c>
      <c r="T1" s="270" t="s">
        <v>491</v>
      </c>
      <c r="U1" s="270" t="s">
        <v>492</v>
      </c>
      <c r="V1" s="270" t="s">
        <v>493</v>
      </c>
      <c r="W1" s="270" t="s">
        <v>494</v>
      </c>
      <c r="X1" s="270" t="s">
        <v>495</v>
      </c>
      <c r="Z1" s="270" t="s">
        <v>487</v>
      </c>
      <c r="AA1" s="270" t="s">
        <v>488</v>
      </c>
      <c r="AB1" s="270" t="s">
        <v>489</v>
      </c>
      <c r="AC1" s="270" t="s">
        <v>476</v>
      </c>
      <c r="AD1" s="270" t="s">
        <v>490</v>
      </c>
      <c r="AE1" s="270" t="s">
        <v>491</v>
      </c>
      <c r="AF1" s="270" t="s">
        <v>492</v>
      </c>
      <c r="AG1" s="270" t="s">
        <v>493</v>
      </c>
      <c r="AH1" s="270" t="s">
        <v>494</v>
      </c>
      <c r="AI1" s="270" t="s">
        <v>495</v>
      </c>
    </row>
    <row r="2" spans="2:54" x14ac:dyDescent="0.35">
      <c r="B2">
        <v>17.694590000000002</v>
      </c>
      <c r="C2" s="267" t="s">
        <v>893</v>
      </c>
      <c r="D2">
        <f>(1-I$1)*B2</f>
        <v>14.155672000000003</v>
      </c>
      <c r="E2">
        <f>B2*(1+I$1)</f>
        <v>21.233508</v>
      </c>
      <c r="F2">
        <v>2.5606036340791971</v>
      </c>
      <c r="G2">
        <v>2.6033737827229704</v>
      </c>
      <c r="L2" t="s">
        <v>954</v>
      </c>
      <c r="N2" s="276">
        <v>-20</v>
      </c>
      <c r="O2">
        <v>1.3667120597244554E-2</v>
      </c>
      <c r="P2">
        <v>3.921239661197859</v>
      </c>
      <c r="Q2">
        <v>3.4010841557855307E-3</v>
      </c>
      <c r="R2">
        <v>2.7335516963267907</v>
      </c>
      <c r="S2">
        <v>1.5643885831813334E-8</v>
      </c>
      <c r="T2">
        <v>1.732798955991988E-7</v>
      </c>
      <c r="U2">
        <v>2.9687494248024515E-7</v>
      </c>
      <c r="V2">
        <v>0.12646188164239688</v>
      </c>
      <c r="W2">
        <v>3.4396962546934997</v>
      </c>
      <c r="X2">
        <v>2.4603143362039975E-4</v>
      </c>
      <c r="Z2">
        <v>1.3880017288231638E-2</v>
      </c>
      <c r="AA2">
        <v>3.9420604940377211</v>
      </c>
      <c r="AB2">
        <v>3.6002954192545225E-3</v>
      </c>
      <c r="AC2">
        <v>2.7426806490458153</v>
      </c>
      <c r="AD2">
        <v>1.5954573179893498E-8</v>
      </c>
      <c r="AE2">
        <v>1.7415431164284158E-7</v>
      </c>
      <c r="AF2">
        <v>2.9736417112975618E-7</v>
      </c>
      <c r="AG2">
        <v>0.12708981099614028</v>
      </c>
      <c r="AH2">
        <v>3.4443076367521654</v>
      </c>
      <c r="AI2">
        <v>2.3356003596278438E-4</v>
      </c>
      <c r="AK2" s="68"/>
      <c r="AL2" s="6"/>
      <c r="AS2" s="6">
        <f>LCA!D$78</f>
        <v>1.4616274807396204E-2</v>
      </c>
      <c r="AT2" s="6">
        <f>LCA!E$78</f>
        <v>5.8538054339090468</v>
      </c>
      <c r="AU2" s="6">
        <f>LCA!F$78</f>
        <v>4.9181927055286321E-3</v>
      </c>
      <c r="AV2" s="6">
        <f>LCA!G$78</f>
        <v>2.1459936216583624</v>
      </c>
      <c r="AW2" s="6">
        <f>LCA!H$78</f>
        <v>4.1956494264716438E-8</v>
      </c>
      <c r="AX2" s="6">
        <f>LCA!I$78</f>
        <v>2.6393056028445741E-7</v>
      </c>
      <c r="AY2" s="6">
        <f>LCA!J$78</f>
        <v>4.9366509253441599E-7</v>
      </c>
      <c r="AZ2" s="6">
        <f>LCA!K$78</f>
        <v>0.13759045322032798</v>
      </c>
      <c r="BA2" s="6">
        <f>LCA!L$78</f>
        <v>3.4596188656522004</v>
      </c>
      <c r="BB2" s="6">
        <f>LCA!M$78</f>
        <v>3.9814769202483816E-4</v>
      </c>
    </row>
    <row r="3" spans="2:54" x14ac:dyDescent="0.35">
      <c r="B3">
        <v>1</v>
      </c>
      <c r="C3" s="267" t="s">
        <v>846</v>
      </c>
      <c r="D3" s="92">
        <f t="shared" ref="D3:D8" si="0">(1-I$1)*B3</f>
        <v>0.8</v>
      </c>
      <c r="E3" s="92">
        <f t="shared" ref="E3:E8" si="1">B3*(1+I$1)</f>
        <v>1.2</v>
      </c>
      <c r="F3">
        <v>2.581988708401084</v>
      </c>
      <c r="G3">
        <v>2.581988708401084</v>
      </c>
      <c r="L3">
        <f t="shared" ref="L3:L13" si="2">MESP</f>
        <v>2.4307930833445983</v>
      </c>
      <c r="O3">
        <v>1.3773568942738096E-2</v>
      </c>
      <c r="P3">
        <v>3.9316500776177898</v>
      </c>
      <c r="Q3">
        <v>3.5006897875200262E-3</v>
      </c>
      <c r="R3">
        <v>2.7381161726863028</v>
      </c>
      <c r="S3">
        <v>1.5799229505853408E-8</v>
      </c>
      <c r="T3">
        <v>1.7371710362102015E-7</v>
      </c>
      <c r="U3">
        <v>2.9711955680500066E-7</v>
      </c>
      <c r="V3">
        <v>0.12677584631926858</v>
      </c>
      <c r="W3">
        <v>3.4420019457228319</v>
      </c>
      <c r="X3">
        <v>2.3979573479159208E-4</v>
      </c>
      <c r="Z3">
        <v>1.3773568942738096E-2</v>
      </c>
      <c r="AA3">
        <v>3.9316500776177898</v>
      </c>
      <c r="AB3">
        <v>3.5006897875200262E-3</v>
      </c>
      <c r="AC3">
        <v>2.7381161726863028</v>
      </c>
      <c r="AD3">
        <v>1.5799229505853408E-8</v>
      </c>
      <c r="AE3">
        <v>1.7371710362102015E-7</v>
      </c>
      <c r="AF3">
        <v>2.9711955680500066E-7</v>
      </c>
      <c r="AG3">
        <v>0.12677584631926858</v>
      </c>
      <c r="AH3">
        <v>3.4420019457228319</v>
      </c>
      <c r="AI3">
        <v>2.3979573479159208E-4</v>
      </c>
      <c r="AS3" s="6">
        <f>LCA!D$78</f>
        <v>1.4616274807396204E-2</v>
      </c>
      <c r="AT3" s="6">
        <f>LCA!E$78</f>
        <v>5.8538054339090468</v>
      </c>
      <c r="AU3" s="6">
        <f>LCA!F$78</f>
        <v>4.9181927055286321E-3</v>
      </c>
      <c r="AV3" s="6">
        <f>LCA!G$78</f>
        <v>2.1459936216583624</v>
      </c>
      <c r="AW3" s="6">
        <f>LCA!H$78</f>
        <v>4.1956494264716438E-8</v>
      </c>
      <c r="AX3" s="6">
        <f>LCA!I$78</f>
        <v>2.6393056028445741E-7</v>
      </c>
      <c r="AY3" s="6">
        <f>LCA!J$78</f>
        <v>4.9366509253441599E-7</v>
      </c>
      <c r="AZ3" s="6">
        <f>LCA!K$78</f>
        <v>0.13759045322032798</v>
      </c>
      <c r="BA3" s="6">
        <f>LCA!L$78</f>
        <v>3.4596188656522004</v>
      </c>
      <c r="BB3" s="6">
        <f>LCA!M$78</f>
        <v>3.9814769202483816E-4</v>
      </c>
    </row>
    <row r="4" spans="2:54" x14ac:dyDescent="0.35">
      <c r="B4">
        <v>1</v>
      </c>
      <c r="C4" s="267" t="s">
        <v>847</v>
      </c>
      <c r="D4" s="92">
        <f t="shared" si="0"/>
        <v>0.8</v>
      </c>
      <c r="E4" s="92">
        <f t="shared" si="1"/>
        <v>1.2</v>
      </c>
      <c r="F4">
        <v>2.581988708401084</v>
      </c>
      <c r="G4">
        <v>2.581988708401084</v>
      </c>
      <c r="L4">
        <f t="shared" si="2"/>
        <v>2.4307930833445983</v>
      </c>
      <c r="O4">
        <v>1.3773568942738096E-2</v>
      </c>
      <c r="P4">
        <v>3.9316500776177898</v>
      </c>
      <c r="Q4">
        <v>3.5006897875200262E-3</v>
      </c>
      <c r="R4">
        <v>2.7381161726863028</v>
      </c>
      <c r="S4">
        <v>1.5799229505853408E-8</v>
      </c>
      <c r="T4">
        <v>1.7371710362102015E-7</v>
      </c>
      <c r="U4">
        <v>2.9711955680500066E-7</v>
      </c>
      <c r="V4">
        <v>0.12677584631926858</v>
      </c>
      <c r="W4">
        <v>3.4420019457228319</v>
      </c>
      <c r="X4">
        <v>2.3979573479159208E-4</v>
      </c>
      <c r="Z4">
        <v>1.3773568942738096E-2</v>
      </c>
      <c r="AA4">
        <v>3.9316500776177898</v>
      </c>
      <c r="AB4">
        <v>3.5006897875200262E-3</v>
      </c>
      <c r="AC4">
        <v>2.7381161726863028</v>
      </c>
      <c r="AD4">
        <v>1.5799229505853408E-8</v>
      </c>
      <c r="AE4">
        <v>1.7371710362102015E-7</v>
      </c>
      <c r="AF4">
        <v>2.9711955680500066E-7</v>
      </c>
      <c r="AG4">
        <v>0.12677584631926858</v>
      </c>
      <c r="AH4">
        <v>3.4420019457228319</v>
      </c>
      <c r="AI4">
        <v>2.3979573479159208E-4</v>
      </c>
      <c r="AS4" s="6">
        <f>LCA!D$78</f>
        <v>1.4616274807396204E-2</v>
      </c>
      <c r="AT4" s="6">
        <f>LCA!E$78</f>
        <v>5.8538054339090468</v>
      </c>
      <c r="AU4" s="6">
        <f>LCA!F$78</f>
        <v>4.9181927055286321E-3</v>
      </c>
      <c r="AV4" s="6">
        <f>LCA!G$78</f>
        <v>2.1459936216583624</v>
      </c>
      <c r="AW4" s="6">
        <f>LCA!H$78</f>
        <v>4.1956494264716438E-8</v>
      </c>
      <c r="AX4" s="6">
        <f>LCA!I$78</f>
        <v>2.6393056028445741E-7</v>
      </c>
      <c r="AY4" s="6">
        <f>LCA!J$78</f>
        <v>4.9366509253441599E-7</v>
      </c>
      <c r="AZ4" s="6">
        <f>LCA!K$78</f>
        <v>0.13759045322032798</v>
      </c>
      <c r="BA4" s="6">
        <f>LCA!L$78</f>
        <v>3.4596188656522004</v>
      </c>
      <c r="BB4" s="6">
        <f>LCA!M$78</f>
        <v>3.9814769202483816E-4</v>
      </c>
    </row>
    <row r="5" spans="2:54" x14ac:dyDescent="0.35">
      <c r="B5">
        <v>1</v>
      </c>
      <c r="C5" s="267" t="s">
        <v>848</v>
      </c>
      <c r="D5" s="92">
        <f t="shared" si="0"/>
        <v>0.8</v>
      </c>
      <c r="E5" s="92">
        <f t="shared" si="1"/>
        <v>1.2</v>
      </c>
      <c r="F5">
        <v>2.581988708401084</v>
      </c>
      <c r="G5">
        <v>2.581988708401084</v>
      </c>
      <c r="L5">
        <f t="shared" si="2"/>
        <v>2.4307930833445983</v>
      </c>
      <c r="O5">
        <v>1.3773568942738096E-2</v>
      </c>
      <c r="P5">
        <v>3.9316500776177898</v>
      </c>
      <c r="Q5">
        <v>3.5006897875200262E-3</v>
      </c>
      <c r="R5">
        <v>2.7381161726863028</v>
      </c>
      <c r="S5">
        <v>1.5799229505853408E-8</v>
      </c>
      <c r="T5">
        <v>1.7371710362102015E-7</v>
      </c>
      <c r="U5">
        <v>2.9711955680500066E-7</v>
      </c>
      <c r="V5">
        <v>0.12677584631926858</v>
      </c>
      <c r="W5">
        <v>3.4420019457228319</v>
      </c>
      <c r="X5">
        <v>2.3979573479159208E-4</v>
      </c>
      <c r="Z5">
        <v>1.3773568942738096E-2</v>
      </c>
      <c r="AA5">
        <v>3.9316500776177898</v>
      </c>
      <c r="AB5">
        <v>3.5006897875200262E-3</v>
      </c>
      <c r="AC5">
        <v>2.7381161726863028</v>
      </c>
      <c r="AD5">
        <v>1.5799229505853408E-8</v>
      </c>
      <c r="AE5">
        <v>1.7371710362102015E-7</v>
      </c>
      <c r="AF5">
        <v>2.9711955680500066E-7</v>
      </c>
      <c r="AG5">
        <v>0.12677584631926858</v>
      </c>
      <c r="AH5">
        <v>3.4420019457228319</v>
      </c>
      <c r="AI5">
        <v>2.3979573479159208E-4</v>
      </c>
      <c r="AS5" s="6">
        <f>LCA!D$78</f>
        <v>1.4616274807396204E-2</v>
      </c>
      <c r="AT5" s="6">
        <f>LCA!E$78</f>
        <v>5.8538054339090468</v>
      </c>
      <c r="AU5" s="6">
        <f>LCA!F$78</f>
        <v>4.9181927055286321E-3</v>
      </c>
      <c r="AV5" s="6">
        <f>LCA!G$78</f>
        <v>2.1459936216583624</v>
      </c>
      <c r="AW5" s="6">
        <f>LCA!H$78</f>
        <v>4.1956494264716438E-8</v>
      </c>
      <c r="AX5" s="6">
        <f>LCA!I$78</f>
        <v>2.6393056028445741E-7</v>
      </c>
      <c r="AY5" s="6">
        <f>LCA!J$78</f>
        <v>4.9366509253441599E-7</v>
      </c>
      <c r="AZ5" s="6">
        <f>LCA!K$78</f>
        <v>0.13759045322032798</v>
      </c>
      <c r="BA5" s="6">
        <f>LCA!L$78</f>
        <v>3.4596188656522004</v>
      </c>
      <c r="BB5" s="6">
        <f>LCA!M$78</f>
        <v>3.9814769202483816E-4</v>
      </c>
    </row>
    <row r="6" spans="2:54" x14ac:dyDescent="0.35">
      <c r="B6">
        <v>161.37</v>
      </c>
      <c r="C6" s="267" t="s">
        <v>894</v>
      </c>
      <c r="D6">
        <f t="shared" si="0"/>
        <v>129.096</v>
      </c>
      <c r="E6">
        <f t="shared" si="1"/>
        <v>193.64400000000001</v>
      </c>
      <c r="F6">
        <v>2.5681491629850393</v>
      </c>
      <c r="G6">
        <v>2.5958282538171287</v>
      </c>
      <c r="L6">
        <f t="shared" si="2"/>
        <v>2.4307930833445983</v>
      </c>
      <c r="O6">
        <v>1.3318122240154747E-2</v>
      </c>
      <c r="P6">
        <v>3.6297538338322473</v>
      </c>
      <c r="Q6">
        <v>3.3532357722085115E-3</v>
      </c>
      <c r="R6">
        <v>2.6536094209760313</v>
      </c>
      <c r="S6">
        <v>1.3445994268048121E-8</v>
      </c>
      <c r="T6">
        <v>1.5965233070081768E-7</v>
      </c>
      <c r="U6">
        <v>2.8208880910770027E-7</v>
      </c>
      <c r="V6">
        <v>0.12406379960079161</v>
      </c>
      <c r="W6">
        <v>3.2523018517685438</v>
      </c>
      <c r="X6">
        <v>3.160390225721193E-4</v>
      </c>
      <c r="Z6">
        <v>1.4229015645321443E-2</v>
      </c>
      <c r="AA6">
        <v>4.2335463214033302</v>
      </c>
      <c r="AB6">
        <v>3.6481438028315417E-3</v>
      </c>
      <c r="AC6">
        <v>2.8226229243965739</v>
      </c>
      <c r="AD6">
        <v>1.8152464743658709E-8</v>
      </c>
      <c r="AE6">
        <v>1.8778187654122269E-7</v>
      </c>
      <c r="AF6">
        <v>3.1215030450230112E-7</v>
      </c>
      <c r="AG6">
        <v>0.12948789303774558</v>
      </c>
      <c r="AH6">
        <v>3.6317020396771214</v>
      </c>
      <c r="AI6">
        <v>1.6355244701106482E-4</v>
      </c>
      <c r="AS6" s="6">
        <f>LCA!D$78</f>
        <v>1.4616274807396204E-2</v>
      </c>
      <c r="AT6" s="6">
        <f>LCA!E$78</f>
        <v>5.8538054339090468</v>
      </c>
      <c r="AU6" s="6">
        <f>LCA!F$78</f>
        <v>4.9181927055286321E-3</v>
      </c>
      <c r="AV6" s="6">
        <f>LCA!G$78</f>
        <v>2.1459936216583624</v>
      </c>
      <c r="AW6" s="6">
        <f>LCA!H$78</f>
        <v>4.1956494264716438E-8</v>
      </c>
      <c r="AX6" s="6">
        <f>LCA!I$78</f>
        <v>2.6393056028445741E-7</v>
      </c>
      <c r="AY6" s="6">
        <f>LCA!J$78</f>
        <v>4.9366509253441599E-7</v>
      </c>
      <c r="AZ6" s="6">
        <f>LCA!K$78</f>
        <v>0.13759045322032798</v>
      </c>
      <c r="BA6" s="6">
        <f>LCA!L$78</f>
        <v>3.4596188656522004</v>
      </c>
      <c r="BB6" s="6">
        <f>LCA!M$78</f>
        <v>3.9814769202483816E-4</v>
      </c>
    </row>
    <row r="7" spans="2:54" x14ac:dyDescent="0.35">
      <c r="B7">
        <v>15.65</v>
      </c>
      <c r="C7" s="267" t="s">
        <v>895</v>
      </c>
      <c r="D7">
        <f t="shared" si="0"/>
        <v>12.520000000000001</v>
      </c>
      <c r="E7">
        <f t="shared" si="1"/>
        <v>18.78</v>
      </c>
      <c r="F7">
        <v>2.5808661511222146</v>
      </c>
      <c r="G7">
        <v>2.5831112656799533</v>
      </c>
      <c r="L7">
        <f t="shared" si="2"/>
        <v>2.4307930833445983</v>
      </c>
      <c r="O7">
        <v>1.3753143287927183E-2</v>
      </c>
      <c r="P7">
        <v>3.9135457240457363</v>
      </c>
      <c r="Q7">
        <v>3.4874875422957704E-3</v>
      </c>
      <c r="R7">
        <v>2.7353573670992382</v>
      </c>
      <c r="S7">
        <v>1.5653553589321534E-8</v>
      </c>
      <c r="T7">
        <v>1.7270714650341102E-7</v>
      </c>
      <c r="U7">
        <v>2.9678860506921918E-7</v>
      </c>
      <c r="V7">
        <v>0.12638673393460911</v>
      </c>
      <c r="W7">
        <v>3.4380117440285285</v>
      </c>
      <c r="X7">
        <v>2.4401752485406222E-4</v>
      </c>
      <c r="Z7">
        <v>1.3793994597549004E-2</v>
      </c>
      <c r="AA7">
        <v>3.9497544311898434</v>
      </c>
      <c r="AB7">
        <v>3.5138920327442832E-3</v>
      </c>
      <c r="AC7">
        <v>2.7408749782733679</v>
      </c>
      <c r="AD7">
        <v>1.5944905422385295E-8</v>
      </c>
      <c r="AE7">
        <v>1.7472706073862939E-7</v>
      </c>
      <c r="AF7">
        <v>2.974505085407822E-7</v>
      </c>
      <c r="AG7">
        <v>0.12716495870392805</v>
      </c>
      <c r="AH7">
        <v>3.4459921474171367</v>
      </c>
      <c r="AI7">
        <v>2.3557394472912191E-4</v>
      </c>
      <c r="AS7" s="6">
        <f>LCA!D$78</f>
        <v>1.4616274807396204E-2</v>
      </c>
      <c r="AT7" s="6">
        <f>LCA!E$78</f>
        <v>5.8538054339090468</v>
      </c>
      <c r="AU7" s="6">
        <f>LCA!F$78</f>
        <v>4.9181927055286321E-3</v>
      </c>
      <c r="AV7" s="6">
        <f>LCA!G$78</f>
        <v>2.1459936216583624</v>
      </c>
      <c r="AW7" s="6">
        <f>LCA!H$78</f>
        <v>4.1956494264716438E-8</v>
      </c>
      <c r="AX7" s="6">
        <f>LCA!I$78</f>
        <v>2.6393056028445741E-7</v>
      </c>
      <c r="AY7" s="6">
        <f>LCA!J$78</f>
        <v>4.9366509253441599E-7</v>
      </c>
      <c r="AZ7" s="6">
        <f>LCA!K$78</f>
        <v>0.13759045322032798</v>
      </c>
      <c r="BA7" s="6">
        <f>LCA!L$78</f>
        <v>3.4596188656522004</v>
      </c>
      <c r="BB7" s="6">
        <f>LCA!M$78</f>
        <v>3.9814769202483816E-4</v>
      </c>
    </row>
    <row r="8" spans="2:54" x14ac:dyDescent="0.35">
      <c r="B8">
        <v>76.09</v>
      </c>
      <c r="C8" s="267" t="s">
        <v>896</v>
      </c>
      <c r="D8">
        <f t="shared" si="0"/>
        <v>60.872000000000007</v>
      </c>
      <c r="E8">
        <f t="shared" si="1"/>
        <v>91.308000000000007</v>
      </c>
      <c r="F8">
        <v>2.5701238128115373</v>
      </c>
      <c r="G8">
        <v>2.5938536039906306</v>
      </c>
      <c r="L8">
        <f t="shared" si="2"/>
        <v>2.4307930833445983</v>
      </c>
      <c r="O8">
        <v>1.3749364564007523E-2</v>
      </c>
      <c r="P8">
        <v>3.870247246894706</v>
      </c>
      <c r="Q8">
        <v>3.4802821740805255E-3</v>
      </c>
      <c r="R8">
        <v>2.7318455775102701</v>
      </c>
      <c r="S8">
        <v>1.5351911230107682E-8</v>
      </c>
      <c r="T8">
        <v>1.7080128279661068E-7</v>
      </c>
      <c r="U8">
        <v>2.9600891278418706E-7</v>
      </c>
      <c r="V8">
        <v>0.12645537559891923</v>
      </c>
      <c r="W8">
        <v>3.4305423588830601</v>
      </c>
      <c r="X8">
        <v>2.4382979791335405E-4</v>
      </c>
      <c r="Z8">
        <v>1.3797773321468667E-2</v>
      </c>
      <c r="AA8">
        <v>3.9930529083408737</v>
      </c>
      <c r="AB8">
        <v>3.5210974009595277E-3</v>
      </c>
      <c r="AC8">
        <v>2.7443867678623359</v>
      </c>
      <c r="AD8">
        <v>1.624654778159913E-8</v>
      </c>
      <c r="AE8">
        <v>1.766329244454297E-7</v>
      </c>
      <c r="AF8">
        <v>2.9823020082581432E-7</v>
      </c>
      <c r="AG8">
        <v>0.12709631703961796</v>
      </c>
      <c r="AH8">
        <v>3.4534615325626041</v>
      </c>
      <c r="AI8">
        <v>2.3576167166983007E-4</v>
      </c>
      <c r="AS8" s="6">
        <f>LCA!D$78</f>
        <v>1.4616274807396204E-2</v>
      </c>
      <c r="AT8" s="6">
        <f>LCA!E$78</f>
        <v>5.8538054339090468</v>
      </c>
      <c r="AU8" s="6">
        <f>LCA!F$78</f>
        <v>4.9181927055286321E-3</v>
      </c>
      <c r="AV8" s="6">
        <f>LCA!G$78</f>
        <v>2.1459936216583624</v>
      </c>
      <c r="AW8" s="6">
        <f>LCA!H$78</f>
        <v>4.1956494264716438E-8</v>
      </c>
      <c r="AX8" s="6">
        <f>LCA!I$78</f>
        <v>2.6393056028445741E-7</v>
      </c>
      <c r="AY8" s="6">
        <f>LCA!J$78</f>
        <v>4.9366509253441599E-7</v>
      </c>
      <c r="AZ8" s="6">
        <f>LCA!K$78</f>
        <v>0.13759045322032798</v>
      </c>
      <c r="BA8" s="6">
        <f>LCA!L$78</f>
        <v>3.4596188656522004</v>
      </c>
      <c r="BB8" s="6">
        <f>LCA!M$78</f>
        <v>3.9814769202483816E-4</v>
      </c>
    </row>
    <row r="9" spans="2:54" x14ac:dyDescent="0.35">
      <c r="B9">
        <v>0.5</v>
      </c>
      <c r="C9" s="267" t="s">
        <v>577</v>
      </c>
      <c r="D9">
        <f>(1-I$1)*B9</f>
        <v>0.4</v>
      </c>
      <c r="E9">
        <f>B9*(1+I$1)</f>
        <v>0.6</v>
      </c>
      <c r="F9">
        <v>2.802695672710259</v>
      </c>
      <c r="G9">
        <v>2.4254075865054503</v>
      </c>
      <c r="L9">
        <f t="shared" si="2"/>
        <v>2.4307930833445983</v>
      </c>
      <c r="O9">
        <v>1.6584484395991712E-2</v>
      </c>
      <c r="P9">
        <v>5.5988198338036073</v>
      </c>
      <c r="Q9">
        <v>5.6791264043668035E-3</v>
      </c>
      <c r="R9">
        <v>3.3577203610614998</v>
      </c>
      <c r="S9">
        <v>3.1916069104026417E-8</v>
      </c>
      <c r="T9">
        <v>2.4443401725107151E-7</v>
      </c>
      <c r="U9">
        <v>3.5021309688465679E-7</v>
      </c>
      <c r="V9">
        <v>0.1547111035879889</v>
      </c>
      <c r="W9">
        <v>3.9741125298630107</v>
      </c>
      <c r="X9">
        <v>1.2283753932644656E-4</v>
      </c>
      <c r="Z9">
        <v>1.1893489760471091E-2</v>
      </c>
      <c r="AA9">
        <v>2.8165645462183844</v>
      </c>
      <c r="AB9">
        <v>2.0436437107762056E-3</v>
      </c>
      <c r="AC9">
        <v>2.3236942680853376</v>
      </c>
      <c r="AD9">
        <v>5.0194906213599626E-9</v>
      </c>
      <c r="AE9">
        <v>1.2641813666129178E-7</v>
      </c>
      <c r="AF9">
        <v>2.6160797309618454E-7</v>
      </c>
      <c r="AG9">
        <v>0.1080913655813644</v>
      </c>
      <c r="AH9">
        <v>3.0861000879320124</v>
      </c>
      <c r="AI9">
        <v>4.8234279136616604E-4</v>
      </c>
      <c r="AS9" s="6">
        <f>LCA!D$78</f>
        <v>1.4616274807396204E-2</v>
      </c>
      <c r="AT9" s="6">
        <f>LCA!E$78</f>
        <v>5.8538054339090468</v>
      </c>
      <c r="AU9" s="6">
        <f>LCA!F$78</f>
        <v>4.9181927055286321E-3</v>
      </c>
      <c r="AV9" s="6">
        <f>LCA!G$78</f>
        <v>2.1459936216583624</v>
      </c>
      <c r="AW9" s="6">
        <f>LCA!H$78</f>
        <v>4.1956494264716438E-8</v>
      </c>
      <c r="AX9" s="6">
        <f>LCA!I$78</f>
        <v>2.6393056028445741E-7</v>
      </c>
      <c r="AY9" s="6">
        <f>LCA!J$78</f>
        <v>4.9366509253441599E-7</v>
      </c>
      <c r="AZ9" s="6">
        <f>LCA!K$78</f>
        <v>0.13759045322032798</v>
      </c>
      <c r="BA9" s="6">
        <f>LCA!L$78</f>
        <v>3.4596188656522004</v>
      </c>
      <c r="BB9" s="6">
        <f>LCA!M$78</f>
        <v>3.9814769202483816E-4</v>
      </c>
    </row>
    <row r="10" spans="2:54" x14ac:dyDescent="0.35">
      <c r="B10">
        <v>34</v>
      </c>
      <c r="C10" s="267" t="s">
        <v>571</v>
      </c>
      <c r="D10">
        <f>(1-I$1)*B10</f>
        <v>27.200000000000003</v>
      </c>
      <c r="E10">
        <f>B10*(1+I$1)</f>
        <v>40.799999999999997</v>
      </c>
      <c r="F10">
        <v>2.9073487693691877</v>
      </c>
      <c r="G10">
        <v>2.3631935190459958</v>
      </c>
      <c r="L10">
        <f t="shared" si="2"/>
        <v>2.4307930833445983</v>
      </c>
      <c r="O10">
        <v>2.5491051376273608E-3</v>
      </c>
      <c r="P10">
        <v>-2.725642515101117</v>
      </c>
      <c r="Q10">
        <v>-5.1981784334477147E-3</v>
      </c>
      <c r="R10">
        <v>0.26393119045372482</v>
      </c>
      <c r="S10">
        <v>-4.8558054068250316E-8</v>
      </c>
      <c r="T10">
        <v>-1.0866756878092663E-7</v>
      </c>
      <c r="U10">
        <v>8.51080168209759E-8</v>
      </c>
      <c r="V10">
        <v>1.522561101293954E-2</v>
      </c>
      <c r="W10">
        <v>1.317193834134587</v>
      </c>
      <c r="X10">
        <v>1.6878521184868316E-3</v>
      </c>
      <c r="Z10">
        <v>2.2853098425233984E-3</v>
      </c>
      <c r="AA10">
        <v>-2.8821009839692722</v>
      </c>
      <c r="AB10">
        <v>-5.4026176222021364E-3</v>
      </c>
      <c r="AC10">
        <v>0.20578334955619065</v>
      </c>
      <c r="AD10">
        <v>-5.0070567176531953E-8</v>
      </c>
      <c r="AE10">
        <v>-1.1530412160596685E-7</v>
      </c>
      <c r="AF10">
        <v>8.0125360029540651E-8</v>
      </c>
      <c r="AG10">
        <v>1.2603977605529676E-2</v>
      </c>
      <c r="AH10">
        <v>1.2672569786811043</v>
      </c>
      <c r="AI10">
        <v>-1.7218840750527868E-3</v>
      </c>
      <c r="AS10" s="6">
        <f>LCA!D$78</f>
        <v>1.4616274807396204E-2</v>
      </c>
      <c r="AT10" s="6">
        <f>LCA!E$78</f>
        <v>5.8538054339090468</v>
      </c>
      <c r="AU10" s="6">
        <f>LCA!F$78</f>
        <v>4.9181927055286321E-3</v>
      </c>
      <c r="AV10" s="6">
        <f>LCA!G$78</f>
        <v>2.1459936216583624</v>
      </c>
      <c r="AW10" s="6">
        <f>LCA!H$78</f>
        <v>4.1956494264716438E-8</v>
      </c>
      <c r="AX10" s="6">
        <f>LCA!I$78</f>
        <v>2.6393056028445741E-7</v>
      </c>
      <c r="AY10" s="6">
        <f>LCA!J$78</f>
        <v>4.9366509253441599E-7</v>
      </c>
      <c r="AZ10" s="6">
        <f>LCA!K$78</f>
        <v>0.13759045322032798</v>
      </c>
      <c r="BA10" s="6">
        <f>LCA!L$78</f>
        <v>3.4596188656522004</v>
      </c>
      <c r="BB10" s="6">
        <f>LCA!M$78</f>
        <v>3.9814769202483816E-4</v>
      </c>
    </row>
    <row r="11" spans="2:54" x14ac:dyDescent="0.35">
      <c r="L11">
        <f t="shared" si="2"/>
        <v>2.4307930833445983</v>
      </c>
      <c r="O11">
        <v>1.5440609710347683E-2</v>
      </c>
      <c r="P11">
        <v>5.012606829670883</v>
      </c>
      <c r="Q11">
        <v>5.2828179442493206E-3</v>
      </c>
      <c r="R11">
        <v>3.151660645614788</v>
      </c>
      <c r="S11">
        <v>2.5336544114876591E-8</v>
      </c>
      <c r="T11">
        <v>2.1797120258543929E-7</v>
      </c>
      <c r="U11">
        <v>3.1980075441651583E-7</v>
      </c>
      <c r="V11">
        <v>0.13867922136979138</v>
      </c>
      <c r="W11">
        <v>3.6650995659927759</v>
      </c>
      <c r="X11">
        <v>3.1005516734321536E-5</v>
      </c>
      <c r="Z11">
        <v>1.257513076373557E-2</v>
      </c>
      <c r="AA11">
        <v>3.1650736265204498</v>
      </c>
      <c r="AB11">
        <v>2.2783395274895992E-3</v>
      </c>
      <c r="AC11">
        <v>2.4463173167171477</v>
      </c>
      <c r="AD11">
        <v>8.9308185269901828E-9</v>
      </c>
      <c r="AE11">
        <v>1.4212417803346751E-7</v>
      </c>
      <c r="AF11">
        <v>2.7985569089470672E-7</v>
      </c>
      <c r="AG11">
        <v>0.11776785789249893</v>
      </c>
      <c r="AH11">
        <v>3.2708568694014963</v>
      </c>
      <c r="AI11">
        <v>3.9101494970002307E-4</v>
      </c>
      <c r="AS11" s="6">
        <f>LCA!D$78</f>
        <v>1.4616274807396204E-2</v>
      </c>
      <c r="AT11" s="6">
        <f>LCA!E$78</f>
        <v>5.8538054339090468</v>
      </c>
      <c r="AU11" s="6">
        <f>LCA!F$78</f>
        <v>4.9181927055286321E-3</v>
      </c>
      <c r="AV11" s="6">
        <f>LCA!G$78</f>
        <v>2.1459936216583624</v>
      </c>
      <c r="AW11" s="6">
        <f>LCA!H$78</f>
        <v>4.1956494264716438E-8</v>
      </c>
      <c r="AX11" s="6">
        <f>LCA!I$78</f>
        <v>2.6393056028445741E-7</v>
      </c>
      <c r="AY11" s="6">
        <f>LCA!J$78</f>
        <v>4.9366509253441599E-7</v>
      </c>
      <c r="AZ11" s="6">
        <f>LCA!K$78</f>
        <v>0.13759045322032798</v>
      </c>
      <c r="BA11" s="6">
        <f>LCA!L$78</f>
        <v>3.4596188656522004</v>
      </c>
      <c r="BB11" s="6">
        <f>LCA!M$78</f>
        <v>3.9814769202483816E-4</v>
      </c>
    </row>
    <row r="12" spans="2:54" x14ac:dyDescent="0.35">
      <c r="L12">
        <f t="shared" si="2"/>
        <v>2.4307930833445983</v>
      </c>
      <c r="O12">
        <v>1.6584484395991712E-2</v>
      </c>
      <c r="P12">
        <v>5.5988198338036073</v>
      </c>
      <c r="Q12">
        <v>5.6791264043668035E-3</v>
      </c>
      <c r="R12">
        <v>3.3577203610614998</v>
      </c>
      <c r="S12">
        <v>3.1916069104026417E-8</v>
      </c>
      <c r="T12">
        <v>2.4443401725107151E-7</v>
      </c>
      <c r="U12">
        <v>3.5021309688465679E-7</v>
      </c>
      <c r="V12">
        <v>0.1547111035879889</v>
      </c>
      <c r="W12">
        <v>3.9741125298630107</v>
      </c>
      <c r="X12">
        <v>1.2283753932644656E-4</v>
      </c>
      <c r="Z12">
        <v>1.1893489760471091E-2</v>
      </c>
      <c r="AA12">
        <v>2.8165645462183844</v>
      </c>
      <c r="AB12">
        <v>2.0436437107762056E-3</v>
      </c>
      <c r="AC12">
        <v>2.3236942680853376</v>
      </c>
      <c r="AD12">
        <v>5.0194906213599626E-9</v>
      </c>
      <c r="AE12">
        <v>1.2641813666129178E-7</v>
      </c>
      <c r="AF12">
        <v>2.6160797309618454E-7</v>
      </c>
      <c r="AG12">
        <v>0.1080913655813644</v>
      </c>
      <c r="AH12">
        <v>3.0861000879320124</v>
      </c>
      <c r="AI12">
        <v>4.8234279136616604E-4</v>
      </c>
      <c r="AS12" s="6">
        <f>LCA!D$78</f>
        <v>1.4616274807396204E-2</v>
      </c>
      <c r="AT12" s="6">
        <f>LCA!E$78</f>
        <v>5.8538054339090468</v>
      </c>
      <c r="AU12" s="6">
        <f>LCA!F$78</f>
        <v>4.9181927055286321E-3</v>
      </c>
      <c r="AV12" s="6">
        <f>LCA!G$78</f>
        <v>2.1459936216583624</v>
      </c>
      <c r="AW12" s="6">
        <f>LCA!H$78</f>
        <v>4.1956494264716438E-8</v>
      </c>
      <c r="AX12" s="6">
        <f>LCA!I$78</f>
        <v>2.6393056028445741E-7</v>
      </c>
      <c r="AY12" s="6">
        <f>LCA!J$78</f>
        <v>4.9366509253441599E-7</v>
      </c>
      <c r="AZ12" s="6">
        <f>LCA!K$78</f>
        <v>0.13759045322032798</v>
      </c>
      <c r="BA12" s="6">
        <f>LCA!L$78</f>
        <v>3.4596188656522004</v>
      </c>
      <c r="BB12" s="6">
        <f>LCA!M$78</f>
        <v>3.9814769202483816E-4</v>
      </c>
    </row>
    <row r="13" spans="2:54" x14ac:dyDescent="0.35">
      <c r="L13">
        <f t="shared" si="2"/>
        <v>2.4307930833445983</v>
      </c>
      <c r="M13" s="15"/>
      <c r="AS13" s="6">
        <f>LCA!D$78</f>
        <v>1.4616274807396204E-2</v>
      </c>
      <c r="AT13" s="6">
        <f>LCA!E$78</f>
        <v>5.8538054339090468</v>
      </c>
      <c r="AU13" s="6">
        <f>LCA!F$78</f>
        <v>4.9181927055286321E-3</v>
      </c>
      <c r="AV13" s="6">
        <f>LCA!G$78</f>
        <v>2.1459936216583624</v>
      </c>
      <c r="AW13" s="6">
        <f>LCA!H$78</f>
        <v>4.1956494264716438E-8</v>
      </c>
      <c r="AX13" s="6">
        <f>LCA!I$78</f>
        <v>2.6393056028445741E-7</v>
      </c>
      <c r="AY13" s="6">
        <f>LCA!J$78</f>
        <v>4.9366509253441599E-7</v>
      </c>
      <c r="AZ13" s="6">
        <f>LCA!K$78</f>
        <v>0.13759045322032798</v>
      </c>
      <c r="BA13" s="6">
        <f>LCA!L$78</f>
        <v>3.4596188656522004</v>
      </c>
      <c r="BB13" s="6">
        <f>LCA!M$78</f>
        <v>3.9814769202483816E-4</v>
      </c>
    </row>
    <row r="14" spans="2:54" x14ac:dyDescent="0.35">
      <c r="J14" s="232"/>
      <c r="K14" s="232"/>
      <c r="M14" s="15"/>
      <c r="AA14" s="6"/>
      <c r="AB14" s="6"/>
      <c r="AC14" s="6"/>
      <c r="AD14" s="6"/>
      <c r="AE14" s="6"/>
      <c r="AF14" s="6"/>
      <c r="AG14" s="6"/>
      <c r="AH14" s="6"/>
      <c r="AI14" s="6"/>
      <c r="AJ14" s="6"/>
    </row>
    <row r="15" spans="2:54" x14ac:dyDescent="0.35">
      <c r="B15">
        <v>0.54169399100000004</v>
      </c>
      <c r="C15" s="266" t="s">
        <v>573</v>
      </c>
      <c r="D15">
        <f>(1-I$1)*B15</f>
        <v>0.43335519280000007</v>
      </c>
      <c r="E15">
        <f>B15*(1+I$1)</f>
        <v>0.65003278920000007</v>
      </c>
      <c r="F15">
        <v>2.8771555294726334</v>
      </c>
      <c r="G15">
        <v>2.3362502517368471</v>
      </c>
      <c r="J15" s="265"/>
      <c r="M15" s="15"/>
      <c r="AA15" s="6"/>
      <c r="AB15" s="6"/>
      <c r="AC15" s="6"/>
      <c r="AD15" s="6"/>
      <c r="AE15" s="6"/>
      <c r="AF15" s="6"/>
      <c r="AG15" s="6"/>
      <c r="AH15" s="6"/>
      <c r="AI15" s="6"/>
      <c r="AJ15" s="6"/>
    </row>
    <row r="16" spans="2:54" x14ac:dyDescent="0.35">
      <c r="B16">
        <v>0.99770064199999997</v>
      </c>
      <c r="C16" s="266" t="s">
        <v>575</v>
      </c>
      <c r="D16">
        <f>(1-I$1)*B16</f>
        <v>0.79816051360000007</v>
      </c>
      <c r="E16">
        <f>B16*(1+I$1)</f>
        <v>1.1972407703999999</v>
      </c>
      <c r="F16">
        <v>1.2587757702320022</v>
      </c>
      <c r="G16">
        <v>1.2283582888661206</v>
      </c>
      <c r="M16" s="15"/>
      <c r="AA16" s="6"/>
      <c r="AB16" s="6"/>
      <c r="AC16" s="6"/>
      <c r="AD16" s="6"/>
      <c r="AE16" s="6"/>
      <c r="AF16" s="6"/>
      <c r="AG16" s="6"/>
      <c r="AH16" s="6"/>
      <c r="AI16" s="6"/>
      <c r="AJ16" s="6"/>
    </row>
    <row r="17" spans="2:36" x14ac:dyDescent="0.35">
      <c r="K17" s="15"/>
      <c r="M17" s="15"/>
      <c r="AA17" s="6"/>
      <c r="AB17" s="6"/>
      <c r="AC17" s="6"/>
      <c r="AD17" s="6"/>
      <c r="AE17" s="6"/>
      <c r="AF17" s="6"/>
      <c r="AG17" s="6"/>
      <c r="AH17" s="6"/>
      <c r="AI17" s="6"/>
      <c r="AJ17" s="6"/>
    </row>
    <row r="18" spans="2:36" x14ac:dyDescent="0.35">
      <c r="K18" s="15"/>
      <c r="M18" s="15"/>
      <c r="O18" t="s">
        <v>487</v>
      </c>
      <c r="Q18" t="s">
        <v>488</v>
      </c>
      <c r="S18" t="s">
        <v>489</v>
      </c>
      <c r="U18" t="s">
        <v>476</v>
      </c>
      <c r="W18" t="s">
        <v>490</v>
      </c>
      <c r="Y18" t="s">
        <v>491</v>
      </c>
      <c r="AA18" t="s">
        <v>492</v>
      </c>
      <c r="AC18" t="s">
        <v>493</v>
      </c>
      <c r="AE18" t="s">
        <v>494</v>
      </c>
      <c r="AG18" t="s">
        <v>495</v>
      </c>
      <c r="AH18" s="6"/>
      <c r="AI18" s="6"/>
      <c r="AJ18" s="6"/>
    </row>
    <row r="19" spans="2:36" x14ac:dyDescent="0.35">
      <c r="K19" s="15"/>
      <c r="M19" s="15"/>
      <c r="O19">
        <v>-20</v>
      </c>
      <c r="P19">
        <v>20</v>
      </c>
      <c r="Q19">
        <v>-20</v>
      </c>
      <c r="R19">
        <v>20</v>
      </c>
      <c r="S19">
        <v>-20</v>
      </c>
      <c r="T19">
        <v>20</v>
      </c>
      <c r="U19">
        <v>-20</v>
      </c>
      <c r="V19">
        <v>20</v>
      </c>
      <c r="W19">
        <v>-20</v>
      </c>
      <c r="X19">
        <v>20</v>
      </c>
      <c r="Y19">
        <v>-20</v>
      </c>
      <c r="Z19">
        <v>20</v>
      </c>
      <c r="AA19" s="6">
        <v>-20</v>
      </c>
      <c r="AB19" s="6">
        <v>20</v>
      </c>
      <c r="AC19" s="6">
        <v>-20</v>
      </c>
      <c r="AD19" s="6">
        <v>20</v>
      </c>
      <c r="AE19" s="6">
        <v>-20</v>
      </c>
      <c r="AF19" s="6">
        <v>20</v>
      </c>
      <c r="AG19" s="6">
        <v>-20</v>
      </c>
      <c r="AH19" s="6">
        <v>20</v>
      </c>
      <c r="AI19" s="6"/>
      <c r="AJ19" s="6"/>
    </row>
    <row r="20" spans="2:36" x14ac:dyDescent="0.35">
      <c r="K20" s="15"/>
      <c r="N20" t="s">
        <v>956</v>
      </c>
      <c r="O20" s="68">
        <f t="shared" ref="O20:O30" si="3">O2</f>
        <v>1.3667120597244554E-2</v>
      </c>
      <c r="P20">
        <f t="shared" ref="P20:P30" si="4">Z2</f>
        <v>1.3880017288231638E-2</v>
      </c>
      <c r="Q20" s="68">
        <f t="shared" ref="Q20:Q30" si="5">P2</f>
        <v>3.921239661197859</v>
      </c>
      <c r="R20">
        <f t="shared" ref="R20:R30" si="6">AA2</f>
        <v>3.9420604940377211</v>
      </c>
      <c r="S20" s="68">
        <f t="shared" ref="S20:S30" si="7">Q2</f>
        <v>3.4010841557855307E-3</v>
      </c>
      <c r="T20">
        <f t="shared" ref="T20:T30" si="8">AB2</f>
        <v>3.6002954192545225E-3</v>
      </c>
      <c r="U20" s="68">
        <f t="shared" ref="U20:U30" si="9">R2</f>
        <v>2.7335516963267907</v>
      </c>
      <c r="V20">
        <f t="shared" ref="V20:V30" si="10">AC2</f>
        <v>2.7426806490458153</v>
      </c>
      <c r="W20" s="68">
        <f t="shared" ref="W20:W30" si="11">S2</f>
        <v>1.5643885831813334E-8</v>
      </c>
      <c r="X20">
        <f t="shared" ref="X20:X30" si="12">AD2</f>
        <v>1.5954573179893498E-8</v>
      </c>
      <c r="Y20" s="68">
        <f t="shared" ref="Y20:Y30" si="13">T2</f>
        <v>1.732798955991988E-7</v>
      </c>
      <c r="Z20">
        <f t="shared" ref="Z20:Z30" si="14">AE2</f>
        <v>1.7415431164284158E-7</v>
      </c>
      <c r="AA20" s="68">
        <f t="shared" ref="AA20:AA30" si="15">U2</f>
        <v>2.9687494248024515E-7</v>
      </c>
      <c r="AB20">
        <f t="shared" ref="AB20:AB30" si="16">AF2</f>
        <v>2.9736417112975618E-7</v>
      </c>
      <c r="AC20" s="68">
        <f t="shared" ref="AC20:AC30" si="17">V2</f>
        <v>0.12646188164239688</v>
      </c>
      <c r="AD20">
        <f t="shared" ref="AD20:AD30" si="18">AG2</f>
        <v>0.12708981099614028</v>
      </c>
      <c r="AE20" s="68">
        <f t="shared" ref="AE20:AE30" si="19">W2</f>
        <v>3.4396962546934997</v>
      </c>
      <c r="AF20">
        <f t="shared" ref="AF20:AF30" si="20">AH2</f>
        <v>3.4443076367521654</v>
      </c>
      <c r="AG20" s="68">
        <f t="shared" ref="AG20:AG30" si="21">X2</f>
        <v>2.4603143362039975E-4</v>
      </c>
      <c r="AH20">
        <f t="shared" ref="AH20:AH30" si="22">AI2</f>
        <v>2.3356003596278438E-4</v>
      </c>
      <c r="AI20" s="6"/>
      <c r="AJ20" s="6"/>
    </row>
    <row r="21" spans="2:36" x14ac:dyDescent="0.35">
      <c r="B21">
        <v>286.89</v>
      </c>
      <c r="C21" s="267" t="s">
        <v>849</v>
      </c>
      <c r="D21">
        <f>(1-I$1)*B21</f>
        <v>229.512</v>
      </c>
      <c r="E21">
        <f>B21*(1+I$1)</f>
        <v>344.26799999999997</v>
      </c>
      <c r="F21">
        <v>2.2547356805713665</v>
      </c>
      <c r="G21">
        <v>2.2547356805713665</v>
      </c>
      <c r="K21" s="15"/>
      <c r="N21" t="s">
        <v>957</v>
      </c>
      <c r="O21">
        <f t="shared" si="3"/>
        <v>1.3773568942738096E-2</v>
      </c>
      <c r="P21">
        <f t="shared" si="4"/>
        <v>1.3773568942738096E-2</v>
      </c>
      <c r="Q21">
        <f t="shared" si="5"/>
        <v>3.9316500776177898</v>
      </c>
      <c r="R21">
        <f t="shared" si="6"/>
        <v>3.9316500776177898</v>
      </c>
      <c r="S21">
        <f t="shared" si="7"/>
        <v>3.5006897875200262E-3</v>
      </c>
      <c r="T21">
        <f t="shared" si="8"/>
        <v>3.5006897875200262E-3</v>
      </c>
      <c r="U21">
        <f t="shared" si="9"/>
        <v>2.7381161726863028</v>
      </c>
      <c r="V21">
        <f t="shared" si="10"/>
        <v>2.7381161726863028</v>
      </c>
      <c r="W21">
        <f t="shared" si="11"/>
        <v>1.5799229505853408E-8</v>
      </c>
      <c r="X21">
        <f t="shared" si="12"/>
        <v>1.5799229505853408E-8</v>
      </c>
      <c r="Y21">
        <f t="shared" si="13"/>
        <v>1.7371710362102015E-7</v>
      </c>
      <c r="Z21">
        <f t="shared" si="14"/>
        <v>1.7371710362102015E-7</v>
      </c>
      <c r="AA21">
        <f t="shared" si="15"/>
        <v>2.9711955680500066E-7</v>
      </c>
      <c r="AB21">
        <f t="shared" si="16"/>
        <v>2.9711955680500066E-7</v>
      </c>
      <c r="AC21">
        <f t="shared" si="17"/>
        <v>0.12677584631926858</v>
      </c>
      <c r="AD21">
        <f t="shared" si="18"/>
        <v>0.12677584631926858</v>
      </c>
      <c r="AE21">
        <f t="shared" si="19"/>
        <v>3.4420019457228319</v>
      </c>
      <c r="AF21">
        <f t="shared" si="20"/>
        <v>3.4420019457228319</v>
      </c>
      <c r="AG21">
        <f t="shared" si="21"/>
        <v>2.3979573479159208E-4</v>
      </c>
      <c r="AH21">
        <f t="shared" si="22"/>
        <v>2.3979573479159208E-4</v>
      </c>
      <c r="AI21" s="6"/>
      <c r="AJ21" s="6"/>
    </row>
    <row r="22" spans="2:36" x14ac:dyDescent="0.35">
      <c r="B22">
        <v>113.19</v>
      </c>
      <c r="C22" s="267" t="s">
        <v>850</v>
      </c>
      <c r="D22">
        <f>(1-I$1)*B22</f>
        <v>90.552000000000007</v>
      </c>
      <c r="E22">
        <f>B22*(1+I$1)</f>
        <v>135.828</v>
      </c>
      <c r="F22">
        <v>2.2547356805713665</v>
      </c>
      <c r="G22">
        <v>2.2547356805713665</v>
      </c>
      <c r="K22" s="15"/>
      <c r="N22" t="s">
        <v>958</v>
      </c>
      <c r="O22">
        <f t="shared" si="3"/>
        <v>1.3773568942738096E-2</v>
      </c>
      <c r="P22">
        <f t="shared" si="4"/>
        <v>1.3773568942738096E-2</v>
      </c>
      <c r="Q22">
        <f t="shared" si="5"/>
        <v>3.9316500776177898</v>
      </c>
      <c r="R22">
        <f t="shared" si="6"/>
        <v>3.9316500776177898</v>
      </c>
      <c r="S22">
        <f t="shared" si="7"/>
        <v>3.5006897875200262E-3</v>
      </c>
      <c r="T22">
        <f t="shared" si="8"/>
        <v>3.5006897875200262E-3</v>
      </c>
      <c r="U22">
        <f t="shared" si="9"/>
        <v>2.7381161726863028</v>
      </c>
      <c r="V22">
        <f t="shared" si="10"/>
        <v>2.7381161726863028</v>
      </c>
      <c r="W22">
        <f t="shared" si="11"/>
        <v>1.5799229505853408E-8</v>
      </c>
      <c r="X22">
        <f t="shared" si="12"/>
        <v>1.5799229505853408E-8</v>
      </c>
      <c r="Y22">
        <f t="shared" si="13"/>
        <v>1.7371710362102015E-7</v>
      </c>
      <c r="Z22">
        <f t="shared" si="14"/>
        <v>1.7371710362102015E-7</v>
      </c>
      <c r="AA22">
        <f t="shared" si="15"/>
        <v>2.9711955680500066E-7</v>
      </c>
      <c r="AB22">
        <f t="shared" si="16"/>
        <v>2.9711955680500066E-7</v>
      </c>
      <c r="AC22">
        <f t="shared" si="17"/>
        <v>0.12677584631926858</v>
      </c>
      <c r="AD22">
        <f t="shared" si="18"/>
        <v>0.12677584631926858</v>
      </c>
      <c r="AE22">
        <f t="shared" si="19"/>
        <v>3.4420019457228319</v>
      </c>
      <c r="AF22">
        <f t="shared" si="20"/>
        <v>3.4420019457228319</v>
      </c>
      <c r="AG22">
        <f t="shared" si="21"/>
        <v>2.3979573479159208E-4</v>
      </c>
      <c r="AH22">
        <f t="shared" si="22"/>
        <v>2.3979573479159208E-4</v>
      </c>
      <c r="AI22" s="6"/>
      <c r="AJ22" s="6"/>
    </row>
    <row r="23" spans="2:36" x14ac:dyDescent="0.35">
      <c r="B23">
        <v>201.72</v>
      </c>
      <c r="C23" s="267" t="s">
        <v>851</v>
      </c>
      <c r="D23">
        <f>(1-I$1)*B23</f>
        <v>161.376</v>
      </c>
      <c r="E23">
        <f>B23*(1+I$1)</f>
        <v>242.06399999999999</v>
      </c>
      <c r="F23">
        <v>2.2547356805713665</v>
      </c>
      <c r="G23">
        <v>2.2547356805713665</v>
      </c>
      <c r="K23" s="15"/>
      <c r="N23" t="s">
        <v>959</v>
      </c>
      <c r="O23">
        <f t="shared" si="3"/>
        <v>1.3773568942738096E-2</v>
      </c>
      <c r="P23">
        <f t="shared" si="4"/>
        <v>1.3773568942738096E-2</v>
      </c>
      <c r="Q23">
        <f t="shared" si="5"/>
        <v>3.9316500776177898</v>
      </c>
      <c r="R23">
        <f t="shared" si="6"/>
        <v>3.9316500776177898</v>
      </c>
      <c r="S23">
        <f t="shared" si="7"/>
        <v>3.5006897875200262E-3</v>
      </c>
      <c r="T23">
        <f t="shared" si="8"/>
        <v>3.5006897875200262E-3</v>
      </c>
      <c r="U23">
        <f t="shared" si="9"/>
        <v>2.7381161726863028</v>
      </c>
      <c r="V23">
        <f t="shared" si="10"/>
        <v>2.7381161726863028</v>
      </c>
      <c r="W23">
        <f t="shared" si="11"/>
        <v>1.5799229505853408E-8</v>
      </c>
      <c r="X23">
        <f t="shared" si="12"/>
        <v>1.5799229505853408E-8</v>
      </c>
      <c r="Y23">
        <f t="shared" si="13"/>
        <v>1.7371710362102015E-7</v>
      </c>
      <c r="Z23">
        <f t="shared" si="14"/>
        <v>1.7371710362102015E-7</v>
      </c>
      <c r="AA23">
        <f t="shared" si="15"/>
        <v>2.9711955680500066E-7</v>
      </c>
      <c r="AB23">
        <f t="shared" si="16"/>
        <v>2.9711955680500066E-7</v>
      </c>
      <c r="AC23">
        <f t="shared" si="17"/>
        <v>0.12677584631926858</v>
      </c>
      <c r="AD23">
        <f t="shared" si="18"/>
        <v>0.12677584631926858</v>
      </c>
      <c r="AE23">
        <f t="shared" si="19"/>
        <v>3.4420019457228319</v>
      </c>
      <c r="AF23">
        <f t="shared" si="20"/>
        <v>3.4420019457228319</v>
      </c>
      <c r="AG23">
        <f t="shared" si="21"/>
        <v>2.3979573479159208E-4</v>
      </c>
      <c r="AH23">
        <f t="shared" si="22"/>
        <v>2.3979573479159208E-4</v>
      </c>
      <c r="AI23" s="6"/>
      <c r="AJ23" s="6"/>
    </row>
    <row r="24" spans="2:36" x14ac:dyDescent="0.35">
      <c r="B24">
        <v>25.78</v>
      </c>
      <c r="C24" s="267" t="s">
        <v>852</v>
      </c>
      <c r="D24">
        <f>(1-I$1)*B24</f>
        <v>20.624000000000002</v>
      </c>
      <c r="E24">
        <f>B24*(1+I$1)</f>
        <v>30.936</v>
      </c>
      <c r="F24">
        <v>2.2547356805713665</v>
      </c>
      <c r="G24">
        <v>2.2547356805713665</v>
      </c>
      <c r="K24" s="15"/>
      <c r="N24" t="s">
        <v>967</v>
      </c>
      <c r="O24">
        <f t="shared" si="3"/>
        <v>1.3318122240154747E-2</v>
      </c>
      <c r="P24">
        <f t="shared" si="4"/>
        <v>1.4229015645321443E-2</v>
      </c>
      <c r="Q24">
        <f t="shared" si="5"/>
        <v>3.6297538338322473</v>
      </c>
      <c r="R24">
        <f t="shared" si="6"/>
        <v>4.2335463214033302</v>
      </c>
      <c r="S24">
        <f t="shared" si="7"/>
        <v>3.3532357722085115E-3</v>
      </c>
      <c r="T24">
        <f t="shared" si="8"/>
        <v>3.6481438028315417E-3</v>
      </c>
      <c r="U24">
        <f t="shared" si="9"/>
        <v>2.6536094209760313</v>
      </c>
      <c r="V24">
        <f t="shared" si="10"/>
        <v>2.8226229243965739</v>
      </c>
      <c r="W24">
        <f t="shared" si="11"/>
        <v>1.3445994268048121E-8</v>
      </c>
      <c r="X24">
        <f t="shared" si="12"/>
        <v>1.8152464743658709E-8</v>
      </c>
      <c r="Y24">
        <f t="shared" si="13"/>
        <v>1.5965233070081768E-7</v>
      </c>
      <c r="Z24">
        <f t="shared" si="14"/>
        <v>1.8778187654122269E-7</v>
      </c>
      <c r="AA24">
        <f t="shared" si="15"/>
        <v>2.8208880910770027E-7</v>
      </c>
      <c r="AB24">
        <f t="shared" si="16"/>
        <v>3.1215030450230112E-7</v>
      </c>
      <c r="AC24">
        <f t="shared" si="17"/>
        <v>0.12406379960079161</v>
      </c>
      <c r="AD24">
        <f t="shared" si="18"/>
        <v>0.12948789303774558</v>
      </c>
      <c r="AE24">
        <f t="shared" si="19"/>
        <v>3.2523018517685438</v>
      </c>
      <c r="AF24">
        <f t="shared" si="20"/>
        <v>3.6317020396771214</v>
      </c>
      <c r="AG24">
        <f t="shared" si="21"/>
        <v>3.160390225721193E-4</v>
      </c>
      <c r="AH24">
        <f t="shared" si="22"/>
        <v>1.6355244701106482E-4</v>
      </c>
      <c r="AI24" s="6"/>
      <c r="AJ24" s="6"/>
    </row>
    <row r="25" spans="2:36" x14ac:dyDescent="0.35">
      <c r="N25" t="s">
        <v>968</v>
      </c>
      <c r="O25">
        <f t="shared" si="3"/>
        <v>1.3753143287927183E-2</v>
      </c>
      <c r="P25">
        <f t="shared" si="4"/>
        <v>1.3793994597549004E-2</v>
      </c>
      <c r="Q25">
        <f t="shared" si="5"/>
        <v>3.9135457240457363</v>
      </c>
      <c r="R25">
        <f t="shared" si="6"/>
        <v>3.9497544311898434</v>
      </c>
      <c r="S25">
        <f t="shared" si="7"/>
        <v>3.4874875422957704E-3</v>
      </c>
      <c r="T25">
        <f t="shared" si="8"/>
        <v>3.5138920327442832E-3</v>
      </c>
      <c r="U25">
        <f t="shared" si="9"/>
        <v>2.7353573670992382</v>
      </c>
      <c r="V25">
        <f t="shared" si="10"/>
        <v>2.7408749782733679</v>
      </c>
      <c r="W25">
        <f t="shared" si="11"/>
        <v>1.5653553589321534E-8</v>
      </c>
      <c r="X25">
        <f t="shared" si="12"/>
        <v>1.5944905422385295E-8</v>
      </c>
      <c r="Y25">
        <f t="shared" si="13"/>
        <v>1.7270714650341102E-7</v>
      </c>
      <c r="Z25">
        <f t="shared" si="14"/>
        <v>1.7472706073862939E-7</v>
      </c>
      <c r="AA25">
        <f t="shared" si="15"/>
        <v>2.9678860506921918E-7</v>
      </c>
      <c r="AB25">
        <f t="shared" si="16"/>
        <v>2.974505085407822E-7</v>
      </c>
      <c r="AC25">
        <f t="shared" si="17"/>
        <v>0.12638673393460911</v>
      </c>
      <c r="AD25">
        <f t="shared" si="18"/>
        <v>0.12716495870392805</v>
      </c>
      <c r="AE25">
        <f t="shared" si="19"/>
        <v>3.4380117440285285</v>
      </c>
      <c r="AF25">
        <f t="shared" si="20"/>
        <v>3.4459921474171367</v>
      </c>
      <c r="AG25">
        <f t="shared" si="21"/>
        <v>2.4401752485406222E-4</v>
      </c>
      <c r="AH25">
        <f t="shared" si="22"/>
        <v>2.3557394472912191E-4</v>
      </c>
      <c r="AI25" s="6"/>
      <c r="AJ25" s="6"/>
    </row>
    <row r="26" spans="2:36" x14ac:dyDescent="0.35">
      <c r="N26" t="s">
        <v>969</v>
      </c>
      <c r="O26">
        <f t="shared" si="3"/>
        <v>1.3749364564007523E-2</v>
      </c>
      <c r="P26">
        <f t="shared" si="4"/>
        <v>1.3797773321468667E-2</v>
      </c>
      <c r="Q26">
        <f t="shared" si="5"/>
        <v>3.870247246894706</v>
      </c>
      <c r="R26">
        <f t="shared" si="6"/>
        <v>3.9930529083408737</v>
      </c>
      <c r="S26">
        <f t="shared" si="7"/>
        <v>3.4802821740805255E-3</v>
      </c>
      <c r="T26">
        <f t="shared" si="8"/>
        <v>3.5210974009595277E-3</v>
      </c>
      <c r="U26">
        <f t="shared" si="9"/>
        <v>2.7318455775102701</v>
      </c>
      <c r="V26">
        <f t="shared" si="10"/>
        <v>2.7443867678623359</v>
      </c>
      <c r="W26">
        <f t="shared" si="11"/>
        <v>1.5351911230107682E-8</v>
      </c>
      <c r="X26">
        <f t="shared" si="12"/>
        <v>1.624654778159913E-8</v>
      </c>
      <c r="Y26">
        <f t="shared" si="13"/>
        <v>1.7080128279661068E-7</v>
      </c>
      <c r="Z26">
        <f t="shared" si="14"/>
        <v>1.766329244454297E-7</v>
      </c>
      <c r="AA26">
        <f t="shared" si="15"/>
        <v>2.9600891278418706E-7</v>
      </c>
      <c r="AB26">
        <f t="shared" si="16"/>
        <v>2.9823020082581432E-7</v>
      </c>
      <c r="AC26">
        <f t="shared" si="17"/>
        <v>0.12645537559891923</v>
      </c>
      <c r="AD26">
        <f t="shared" si="18"/>
        <v>0.12709631703961796</v>
      </c>
      <c r="AE26">
        <f t="shared" si="19"/>
        <v>3.4305423588830601</v>
      </c>
      <c r="AF26">
        <f t="shared" si="20"/>
        <v>3.4534615325626041</v>
      </c>
      <c r="AG26">
        <f t="shared" si="21"/>
        <v>2.4382979791335405E-4</v>
      </c>
      <c r="AH26">
        <f t="shared" si="22"/>
        <v>2.3576167166983007E-4</v>
      </c>
      <c r="AI26" s="6"/>
      <c r="AJ26" s="6"/>
    </row>
    <row r="27" spans="2:36" x14ac:dyDescent="0.35">
      <c r="N27" t="s">
        <v>573</v>
      </c>
      <c r="O27">
        <f t="shared" si="3"/>
        <v>1.6584484395991712E-2</v>
      </c>
      <c r="P27">
        <f t="shared" si="4"/>
        <v>1.1893489760471091E-2</v>
      </c>
      <c r="Q27">
        <f t="shared" si="5"/>
        <v>5.5988198338036073</v>
      </c>
      <c r="R27">
        <f t="shared" si="6"/>
        <v>2.8165645462183844</v>
      </c>
      <c r="S27">
        <f t="shared" si="7"/>
        <v>5.6791264043668035E-3</v>
      </c>
      <c r="T27">
        <f t="shared" si="8"/>
        <v>2.0436437107762056E-3</v>
      </c>
      <c r="U27">
        <f t="shared" si="9"/>
        <v>3.3577203610614998</v>
      </c>
      <c r="V27">
        <f t="shared" si="10"/>
        <v>2.3236942680853376</v>
      </c>
      <c r="W27">
        <f t="shared" si="11"/>
        <v>3.1916069104026417E-8</v>
      </c>
      <c r="X27">
        <f t="shared" si="12"/>
        <v>5.0194906213599626E-9</v>
      </c>
      <c r="Y27">
        <f t="shared" si="13"/>
        <v>2.4443401725107151E-7</v>
      </c>
      <c r="Z27">
        <f t="shared" si="14"/>
        <v>1.2641813666129178E-7</v>
      </c>
      <c r="AA27">
        <f t="shared" si="15"/>
        <v>3.5021309688465679E-7</v>
      </c>
      <c r="AB27">
        <f t="shared" si="16"/>
        <v>2.6160797309618454E-7</v>
      </c>
      <c r="AC27">
        <f t="shared" si="17"/>
        <v>0.1547111035879889</v>
      </c>
      <c r="AD27">
        <f t="shared" si="18"/>
        <v>0.1080913655813644</v>
      </c>
      <c r="AE27">
        <f t="shared" si="19"/>
        <v>3.9741125298630107</v>
      </c>
      <c r="AF27">
        <f t="shared" si="20"/>
        <v>3.0861000879320124</v>
      </c>
      <c r="AG27">
        <f t="shared" si="21"/>
        <v>1.2283753932644656E-4</v>
      </c>
      <c r="AH27">
        <f t="shared" si="22"/>
        <v>4.8234279136616604E-4</v>
      </c>
      <c r="AI27" s="6"/>
      <c r="AJ27" s="6"/>
    </row>
    <row r="28" spans="2:36" x14ac:dyDescent="0.35">
      <c r="D28" s="33">
        <f>-I1</f>
        <v>-0.2</v>
      </c>
      <c r="E28" s="33">
        <f>I1</f>
        <v>0.2</v>
      </c>
      <c r="N28" t="s">
        <v>970</v>
      </c>
      <c r="O28">
        <f t="shared" si="3"/>
        <v>2.5491051376273608E-3</v>
      </c>
      <c r="P28">
        <f t="shared" si="4"/>
        <v>2.2853098425233984E-3</v>
      </c>
      <c r="Q28">
        <f t="shared" si="5"/>
        <v>-2.725642515101117</v>
      </c>
      <c r="R28">
        <f t="shared" si="6"/>
        <v>-2.8821009839692722</v>
      </c>
      <c r="S28">
        <f t="shared" si="7"/>
        <v>-5.1981784334477147E-3</v>
      </c>
      <c r="T28">
        <f t="shared" si="8"/>
        <v>-5.4026176222021364E-3</v>
      </c>
      <c r="U28">
        <f t="shared" si="9"/>
        <v>0.26393119045372482</v>
      </c>
      <c r="V28">
        <f t="shared" si="10"/>
        <v>0.20578334955619065</v>
      </c>
      <c r="W28">
        <f t="shared" si="11"/>
        <v>-4.8558054068250316E-8</v>
      </c>
      <c r="X28">
        <f t="shared" si="12"/>
        <v>-5.0070567176531953E-8</v>
      </c>
      <c r="Y28">
        <f t="shared" si="13"/>
        <v>-1.0866756878092663E-7</v>
      </c>
      <c r="Z28">
        <f t="shared" si="14"/>
        <v>-1.1530412160596685E-7</v>
      </c>
      <c r="AA28">
        <f t="shared" si="15"/>
        <v>8.51080168209759E-8</v>
      </c>
      <c r="AB28">
        <f t="shared" si="16"/>
        <v>8.0125360029540651E-8</v>
      </c>
      <c r="AC28">
        <f t="shared" si="17"/>
        <v>1.522561101293954E-2</v>
      </c>
      <c r="AD28">
        <f t="shared" si="18"/>
        <v>1.2603977605529676E-2</v>
      </c>
      <c r="AE28">
        <f t="shared" si="19"/>
        <v>1.317193834134587</v>
      </c>
      <c r="AF28">
        <f t="shared" si="20"/>
        <v>1.2672569786811043</v>
      </c>
      <c r="AG28">
        <f t="shared" si="21"/>
        <v>1.6878521184868316E-3</v>
      </c>
      <c r="AH28">
        <f t="shared" si="22"/>
        <v>-1.7218840750527868E-3</v>
      </c>
      <c r="AI28" s="6"/>
      <c r="AJ28" s="6"/>
    </row>
    <row r="29" spans="2:36" x14ac:dyDescent="0.35">
      <c r="C29" s="257" t="s">
        <v>957</v>
      </c>
      <c r="D29">
        <f t="shared" ref="D29:E31" si="23">F3</f>
        <v>2.581988708401084</v>
      </c>
      <c r="E29">
        <f t="shared" si="23"/>
        <v>2.581988708401084</v>
      </c>
      <c r="N29" t="s">
        <v>971</v>
      </c>
      <c r="O29">
        <f t="shared" si="3"/>
        <v>1.5440609710347683E-2</v>
      </c>
      <c r="P29">
        <f t="shared" si="4"/>
        <v>1.257513076373557E-2</v>
      </c>
      <c r="Q29">
        <f t="shared" si="5"/>
        <v>5.012606829670883</v>
      </c>
      <c r="R29">
        <f t="shared" si="6"/>
        <v>3.1650736265204498</v>
      </c>
      <c r="S29">
        <f t="shared" si="7"/>
        <v>5.2828179442493206E-3</v>
      </c>
      <c r="T29">
        <f t="shared" si="8"/>
        <v>2.2783395274895992E-3</v>
      </c>
      <c r="U29">
        <f t="shared" si="9"/>
        <v>3.151660645614788</v>
      </c>
      <c r="V29">
        <f t="shared" si="10"/>
        <v>2.4463173167171477</v>
      </c>
      <c r="W29">
        <f t="shared" si="11"/>
        <v>2.5336544114876591E-8</v>
      </c>
      <c r="X29">
        <f t="shared" si="12"/>
        <v>8.9308185269901828E-9</v>
      </c>
      <c r="Y29">
        <f t="shared" si="13"/>
        <v>2.1797120258543929E-7</v>
      </c>
      <c r="Z29">
        <f t="shared" si="14"/>
        <v>1.4212417803346751E-7</v>
      </c>
      <c r="AA29">
        <f t="shared" si="15"/>
        <v>3.1980075441651583E-7</v>
      </c>
      <c r="AB29">
        <f t="shared" si="16"/>
        <v>2.7985569089470672E-7</v>
      </c>
      <c r="AC29">
        <f t="shared" si="17"/>
        <v>0.13867922136979138</v>
      </c>
      <c r="AD29">
        <f t="shared" si="18"/>
        <v>0.11776785789249893</v>
      </c>
      <c r="AE29">
        <f t="shared" si="19"/>
        <v>3.6650995659927759</v>
      </c>
      <c r="AF29">
        <f t="shared" si="20"/>
        <v>3.2708568694014963</v>
      </c>
      <c r="AG29">
        <f t="shared" si="21"/>
        <v>3.1005516734321536E-5</v>
      </c>
      <c r="AH29">
        <f t="shared" si="22"/>
        <v>3.9101494970002307E-4</v>
      </c>
      <c r="AI29" s="6"/>
      <c r="AJ29" s="6"/>
    </row>
    <row r="30" spans="2:36" x14ac:dyDescent="0.35">
      <c r="C30" s="257" t="s">
        <v>958</v>
      </c>
      <c r="D30">
        <f t="shared" si="23"/>
        <v>2.581988708401084</v>
      </c>
      <c r="E30">
        <f t="shared" si="23"/>
        <v>2.581988708401084</v>
      </c>
      <c r="N30" t="s">
        <v>972</v>
      </c>
      <c r="O30">
        <f t="shared" si="3"/>
        <v>1.6584484395991712E-2</v>
      </c>
      <c r="P30">
        <f t="shared" si="4"/>
        <v>1.1893489760471091E-2</v>
      </c>
      <c r="Q30">
        <f t="shared" si="5"/>
        <v>5.5988198338036073</v>
      </c>
      <c r="R30">
        <f t="shared" si="6"/>
        <v>2.8165645462183844</v>
      </c>
      <c r="S30">
        <f t="shared" si="7"/>
        <v>5.6791264043668035E-3</v>
      </c>
      <c r="T30">
        <f t="shared" si="8"/>
        <v>2.0436437107762056E-3</v>
      </c>
      <c r="U30">
        <f t="shared" si="9"/>
        <v>3.3577203610614998</v>
      </c>
      <c r="V30">
        <f t="shared" si="10"/>
        <v>2.3236942680853376</v>
      </c>
      <c r="W30">
        <f t="shared" si="11"/>
        <v>3.1916069104026417E-8</v>
      </c>
      <c r="X30">
        <f t="shared" si="12"/>
        <v>5.0194906213599626E-9</v>
      </c>
      <c r="Y30">
        <f t="shared" si="13"/>
        <v>2.4443401725107151E-7</v>
      </c>
      <c r="Z30">
        <f t="shared" si="14"/>
        <v>1.2641813666129178E-7</v>
      </c>
      <c r="AA30">
        <f t="shared" si="15"/>
        <v>3.5021309688465679E-7</v>
      </c>
      <c r="AB30">
        <f t="shared" si="16"/>
        <v>2.6160797309618454E-7</v>
      </c>
      <c r="AC30">
        <f t="shared" si="17"/>
        <v>0.1547111035879889</v>
      </c>
      <c r="AD30">
        <f t="shared" si="18"/>
        <v>0.1080913655813644</v>
      </c>
      <c r="AE30">
        <f t="shared" si="19"/>
        <v>3.9741125298630107</v>
      </c>
      <c r="AF30">
        <f t="shared" si="20"/>
        <v>3.0861000879320124</v>
      </c>
      <c r="AG30">
        <f t="shared" si="21"/>
        <v>1.2283753932644656E-4</v>
      </c>
      <c r="AH30">
        <f t="shared" si="22"/>
        <v>4.8234279136616604E-4</v>
      </c>
      <c r="AI30" s="6"/>
      <c r="AJ30" s="6"/>
    </row>
    <row r="31" spans="2:36" x14ac:dyDescent="0.35">
      <c r="C31" s="257" t="s">
        <v>959</v>
      </c>
      <c r="D31">
        <f t="shared" si="23"/>
        <v>2.581988708401084</v>
      </c>
      <c r="E31">
        <f t="shared" si="23"/>
        <v>2.581988708401084</v>
      </c>
      <c r="AH31" s="6"/>
      <c r="AI31" s="6"/>
      <c r="AJ31" s="6"/>
    </row>
    <row r="32" spans="2:36" x14ac:dyDescent="0.35">
      <c r="B32">
        <f>MESP</f>
        <v>2.4307930833445983</v>
      </c>
      <c r="C32" s="257" t="s">
        <v>961</v>
      </c>
      <c r="D32">
        <f>F7</f>
        <v>2.5808661511222146</v>
      </c>
      <c r="E32">
        <f>G7</f>
        <v>2.5831112656799533</v>
      </c>
      <c r="O32">
        <v>1.3773568942738096E-2</v>
      </c>
      <c r="Q32">
        <v>3.9316500776177898</v>
      </c>
      <c r="S32">
        <v>3.5006897875200262E-3</v>
      </c>
      <c r="U32">
        <v>2.7381161726863028</v>
      </c>
      <c r="W32">
        <v>1.5799229505853408E-8</v>
      </c>
      <c r="Y32">
        <v>1.7371710362102015E-7</v>
      </c>
      <c r="AA32">
        <v>2.9711955680500066E-7</v>
      </c>
      <c r="AC32">
        <v>0.12677584631926858</v>
      </c>
      <c r="AE32">
        <v>3.4420019457228319</v>
      </c>
      <c r="AG32">
        <v>2.3979573479159208E-4</v>
      </c>
      <c r="AH32" s="6"/>
      <c r="AI32" s="6"/>
      <c r="AJ32" s="6"/>
    </row>
    <row r="33" spans="3:36" x14ac:dyDescent="0.35">
      <c r="C33" s="257" t="s">
        <v>962</v>
      </c>
      <c r="D33">
        <f>F8</f>
        <v>2.5701238128115373</v>
      </c>
      <c r="E33">
        <f>G8</f>
        <v>2.5938536039906306</v>
      </c>
      <c r="AH33" s="6"/>
      <c r="AI33" s="6"/>
      <c r="AJ33" s="6"/>
    </row>
    <row r="34" spans="3:36" x14ac:dyDescent="0.35">
      <c r="C34" s="257" t="s">
        <v>960</v>
      </c>
      <c r="D34">
        <f>F6</f>
        <v>2.5681491629850393</v>
      </c>
      <c r="E34">
        <f>G6</f>
        <v>2.5958282538171287</v>
      </c>
    </row>
    <row r="35" spans="3:36" x14ac:dyDescent="0.35">
      <c r="C35" s="257" t="s">
        <v>956</v>
      </c>
      <c r="D35">
        <f>F2</f>
        <v>2.5606036340791971</v>
      </c>
      <c r="E35">
        <f>G2</f>
        <v>2.6033737827229704</v>
      </c>
    </row>
    <row r="36" spans="3:36" x14ac:dyDescent="0.35">
      <c r="C36" s="266" t="s">
        <v>575</v>
      </c>
      <c r="D36" s="273">
        <f>F16</f>
        <v>1.2587757702320022</v>
      </c>
      <c r="E36" s="273">
        <f>G16</f>
        <v>1.2283582888661206</v>
      </c>
    </row>
    <row r="37" spans="3:36" x14ac:dyDescent="0.35">
      <c r="C37" s="272" t="s">
        <v>963</v>
      </c>
      <c r="D37">
        <f>F9</f>
        <v>2.802695672710259</v>
      </c>
      <c r="E37">
        <f>G9</f>
        <v>2.4254075865054503</v>
      </c>
    </row>
    <row r="38" spans="3:36" x14ac:dyDescent="0.35">
      <c r="C38" s="257" t="s">
        <v>964</v>
      </c>
      <c r="D38">
        <f>F10</f>
        <v>2.9073487693691877</v>
      </c>
      <c r="E38">
        <f>G10</f>
        <v>2.3631935190459958</v>
      </c>
    </row>
    <row r="39" spans="3:36" x14ac:dyDescent="0.35">
      <c r="C39" s="274" t="s">
        <v>573</v>
      </c>
      <c r="D39" s="275">
        <f>F15</f>
        <v>2.8771555294726334</v>
      </c>
      <c r="E39" s="275">
        <f>G15</f>
        <v>2.3362502517368471</v>
      </c>
      <c r="S39" s="6"/>
    </row>
    <row r="42" spans="3:36" x14ac:dyDescent="0.35">
      <c r="O42" s="6"/>
      <c r="Q42" s="6"/>
      <c r="T42" s="6"/>
      <c r="V42" s="6"/>
      <c r="X42" s="6"/>
      <c r="Y42" s="6"/>
      <c r="Z42" s="6"/>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R28"/>
  <sheetViews>
    <sheetView workbookViewId="0">
      <selection activeCell="E26" sqref="E26"/>
    </sheetView>
  </sheetViews>
  <sheetFormatPr defaultRowHeight="14.5" x14ac:dyDescent="0.35"/>
  <cols>
    <col min="1" max="1" width="28.1796875" customWidth="1"/>
    <col min="2" max="2" width="4.453125" style="17" customWidth="1"/>
    <col min="3" max="3" width="14.7265625" customWidth="1"/>
    <col min="4" max="4" width="9.453125" customWidth="1"/>
    <col min="5" max="7" width="14.7265625" customWidth="1"/>
  </cols>
  <sheetData>
    <row r="1" spans="1:18" x14ac:dyDescent="0.35">
      <c r="A1" s="360" t="s">
        <v>339</v>
      </c>
      <c r="B1" s="360"/>
      <c r="C1" s="360"/>
      <c r="D1" s="360"/>
      <c r="E1" s="360"/>
      <c r="F1" s="360"/>
    </row>
    <row r="2" spans="1:18" x14ac:dyDescent="0.35">
      <c r="A2" s="360"/>
      <c r="B2" s="360"/>
      <c r="C2" s="360"/>
      <c r="D2" s="360"/>
      <c r="E2" s="360"/>
      <c r="F2" s="360"/>
    </row>
    <row r="3" spans="1:18" x14ac:dyDescent="0.35">
      <c r="A3" s="360"/>
      <c r="B3" s="360"/>
      <c r="C3" s="360"/>
      <c r="D3" s="360"/>
      <c r="E3" s="360"/>
      <c r="F3" s="360"/>
      <c r="G3" s="3"/>
      <c r="H3" s="3"/>
      <c r="I3" s="3"/>
      <c r="J3" s="3"/>
      <c r="K3" s="3"/>
      <c r="L3" s="3"/>
      <c r="M3" s="3"/>
      <c r="N3" s="3"/>
      <c r="O3" s="3"/>
      <c r="P3" s="3"/>
      <c r="Q3" s="3"/>
      <c r="R3" s="3"/>
    </row>
    <row r="4" spans="1:18" x14ac:dyDescent="0.35">
      <c r="A4" s="4" t="s">
        <v>207</v>
      </c>
      <c r="B4" s="4">
        <v>1</v>
      </c>
      <c r="C4" t="s">
        <v>204</v>
      </c>
      <c r="D4">
        <f>B4*1000/789</f>
        <v>1.267427122940431</v>
      </c>
      <c r="E4" t="s">
        <v>206</v>
      </c>
      <c r="F4" t="s">
        <v>205</v>
      </c>
      <c r="H4">
        <f>kg_eth_to_L_eth*22.77</f>
        <v>28.859315589353614</v>
      </c>
      <c r="L4" s="68">
        <v>26100</v>
      </c>
      <c r="M4" t="s">
        <v>1040</v>
      </c>
    </row>
    <row r="5" spans="1:18" x14ac:dyDescent="0.35">
      <c r="A5" s="4" t="s">
        <v>79</v>
      </c>
      <c r="B5" s="4">
        <v>1</v>
      </c>
      <c r="C5" t="s">
        <v>80</v>
      </c>
      <c r="D5">
        <v>1.60934</v>
      </c>
      <c r="E5" t="s">
        <v>77</v>
      </c>
      <c r="F5" t="s">
        <v>78</v>
      </c>
      <c r="H5">
        <v>11.35</v>
      </c>
      <c r="I5" t="s">
        <v>1038</v>
      </c>
      <c r="L5" s="68">
        <f>L4*kg_eth_to_L_eth</f>
        <v>33079.847908745251</v>
      </c>
      <c r="M5" t="s">
        <v>1041</v>
      </c>
    </row>
    <row r="6" spans="1:18" x14ac:dyDescent="0.35">
      <c r="A6" s="4" t="s">
        <v>22</v>
      </c>
      <c r="B6" s="4">
        <v>1</v>
      </c>
      <c r="C6" t="s">
        <v>7</v>
      </c>
      <c r="D6">
        <v>2.47105</v>
      </c>
      <c r="E6" t="s">
        <v>23</v>
      </c>
      <c r="F6" t="s">
        <v>21</v>
      </c>
      <c r="H6">
        <f>H5/H4</f>
        <v>0.39328722002635041</v>
      </c>
      <c r="I6" t="s">
        <v>1039</v>
      </c>
      <c r="L6" s="68">
        <f>L5*22.77</f>
        <v>753228.13688212936</v>
      </c>
      <c r="M6" t="s">
        <v>1009</v>
      </c>
    </row>
    <row r="7" spans="1:18" x14ac:dyDescent="0.35">
      <c r="A7" s="4" t="s">
        <v>33</v>
      </c>
      <c r="B7" s="4">
        <v>1</v>
      </c>
      <c r="C7" t="s">
        <v>32</v>
      </c>
      <c r="D7">
        <f>1/435.6</f>
        <v>2.295684113865932E-3</v>
      </c>
      <c r="E7" t="s">
        <v>23</v>
      </c>
      <c r="F7" t="s">
        <v>21</v>
      </c>
    </row>
    <row r="8" spans="1:18" x14ac:dyDescent="0.35">
      <c r="A8" s="4" t="s">
        <v>70</v>
      </c>
      <c r="B8" s="4">
        <v>1</v>
      </c>
      <c r="C8" t="s">
        <v>25</v>
      </c>
      <c r="D8">
        <v>25.4</v>
      </c>
      <c r="E8" t="s">
        <v>26</v>
      </c>
      <c r="F8" t="s">
        <v>24</v>
      </c>
      <c r="L8" s="68">
        <v>126692</v>
      </c>
      <c r="M8" t="s">
        <v>1008</v>
      </c>
    </row>
    <row r="9" spans="1:18" x14ac:dyDescent="0.35">
      <c r="A9" s="4" t="s">
        <v>36</v>
      </c>
      <c r="B9" s="4">
        <v>1</v>
      </c>
      <c r="C9" t="s">
        <v>37</v>
      </c>
      <c r="D9">
        <f>1/2.205</f>
        <v>0.45351473922902491</v>
      </c>
      <c r="E9" t="s">
        <v>26</v>
      </c>
      <c r="F9" t="s">
        <v>24</v>
      </c>
    </row>
    <row r="10" spans="1:18" x14ac:dyDescent="0.35">
      <c r="A10" s="4" t="s">
        <v>212</v>
      </c>
      <c r="B10" s="4">
        <v>1</v>
      </c>
      <c r="C10" t="s">
        <v>26</v>
      </c>
      <c r="D10">
        <v>1.10231E-3</v>
      </c>
      <c r="E10" t="s">
        <v>213</v>
      </c>
      <c r="F10" t="s">
        <v>24</v>
      </c>
      <c r="L10" s="68">
        <f>L8/L6</f>
        <v>0.16819870872644485</v>
      </c>
      <c r="M10" t="s">
        <v>1010</v>
      </c>
    </row>
    <row r="11" spans="1:18" x14ac:dyDescent="0.35">
      <c r="A11" s="4" t="s">
        <v>218</v>
      </c>
      <c r="B11" s="4">
        <v>1</v>
      </c>
      <c r="C11" t="s">
        <v>213</v>
      </c>
      <c r="D11">
        <f>B11*(2000/56)</f>
        <v>35.714285714285715</v>
      </c>
      <c r="E11" t="s">
        <v>219</v>
      </c>
      <c r="F11" t="s">
        <v>24</v>
      </c>
      <c r="L11" s="74">
        <f>L10/1000</f>
        <v>1.6819870872644485E-4</v>
      </c>
      <c r="M11" t="s">
        <v>1011</v>
      </c>
    </row>
    <row r="12" spans="1:18" x14ac:dyDescent="0.35">
      <c r="A12" s="4" t="s">
        <v>220</v>
      </c>
      <c r="B12" s="4">
        <v>1</v>
      </c>
      <c r="C12" t="s">
        <v>26</v>
      </c>
      <c r="D12">
        <f>1/25.4</f>
        <v>3.937007874015748E-2</v>
      </c>
      <c r="E12" t="s">
        <v>221</v>
      </c>
      <c r="F12" t="s">
        <v>24</v>
      </c>
    </row>
    <row r="13" spans="1:18" x14ac:dyDescent="0.35">
      <c r="A13" s="4" t="s">
        <v>71</v>
      </c>
      <c r="B13" s="4">
        <v>1</v>
      </c>
      <c r="C13" t="s">
        <v>72</v>
      </c>
      <c r="D13">
        <v>3.7854100000000002</v>
      </c>
      <c r="E13" t="s">
        <v>73</v>
      </c>
      <c r="F13" t="s">
        <v>69</v>
      </c>
    </row>
    <row r="14" spans="1:18" x14ac:dyDescent="0.35">
      <c r="A14" s="4" t="s">
        <v>227</v>
      </c>
      <c r="B14" s="4">
        <v>1</v>
      </c>
      <c r="C14" t="s">
        <v>72</v>
      </c>
      <c r="D14">
        <f>0.00000306889</f>
        <v>3.0688900000000001E-6</v>
      </c>
      <c r="E14" t="s">
        <v>228</v>
      </c>
      <c r="F14" t="s">
        <v>69</v>
      </c>
    </row>
    <row r="15" spans="1:18" x14ac:dyDescent="0.35">
      <c r="A15" s="4" t="s">
        <v>341</v>
      </c>
      <c r="B15" s="4">
        <v>1</v>
      </c>
      <c r="C15" t="s">
        <v>72</v>
      </c>
      <c r="D15">
        <v>3.7854099999999999E-3</v>
      </c>
      <c r="E15" t="s">
        <v>342</v>
      </c>
      <c r="F15" t="s">
        <v>69</v>
      </c>
    </row>
    <row r="16" spans="1:18" x14ac:dyDescent="0.35">
      <c r="A16" s="4" t="s">
        <v>100</v>
      </c>
      <c r="B16" s="4">
        <v>1</v>
      </c>
      <c r="C16" t="s">
        <v>98</v>
      </c>
      <c r="D16">
        <v>3.6</v>
      </c>
      <c r="E16" t="s">
        <v>99</v>
      </c>
      <c r="F16" t="s">
        <v>97</v>
      </c>
    </row>
    <row r="17" spans="1:7" x14ac:dyDescent="0.35">
      <c r="A17" s="4" t="s">
        <v>269</v>
      </c>
      <c r="B17" s="4">
        <v>1</v>
      </c>
      <c r="C17" t="s">
        <v>253</v>
      </c>
      <c r="D17">
        <v>0.74570000000000003</v>
      </c>
      <c r="E17" t="s">
        <v>254</v>
      </c>
      <c r="F17" t="s">
        <v>97</v>
      </c>
    </row>
    <row r="18" spans="1:7" x14ac:dyDescent="0.35">
      <c r="A18" s="4"/>
    </row>
    <row r="21" spans="1:7" x14ac:dyDescent="0.35">
      <c r="F21">
        <f>20*D5</f>
        <v>32.186799999999998</v>
      </c>
      <c r="G21" t="s">
        <v>1012</v>
      </c>
    </row>
    <row r="22" spans="1:7" x14ac:dyDescent="0.35">
      <c r="F22">
        <f>F21*D13</f>
        <v>121.840234588</v>
      </c>
      <c r="G22" t="s">
        <v>1042</v>
      </c>
    </row>
    <row r="23" spans="1:7" x14ac:dyDescent="0.35">
      <c r="A23" s="4"/>
      <c r="F23">
        <f>F22/22.77</f>
        <v>5.3509106099253403</v>
      </c>
      <c r="G23" t="s">
        <v>1043</v>
      </c>
    </row>
    <row r="24" spans="1:7" x14ac:dyDescent="0.35">
      <c r="A24" s="4"/>
    </row>
    <row r="25" spans="1:7" x14ac:dyDescent="0.35">
      <c r="A25" s="4"/>
    </row>
    <row r="26" spans="1:7" x14ac:dyDescent="0.35">
      <c r="A26" s="4"/>
    </row>
    <row r="27" spans="1:7" x14ac:dyDescent="0.35">
      <c r="A27" s="4"/>
    </row>
    <row r="28" spans="1:7" x14ac:dyDescent="0.35">
      <c r="A28" s="4"/>
    </row>
  </sheetData>
  <mergeCells count="1">
    <mergeCell ref="A1:F3"/>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C88"/>
  <sheetViews>
    <sheetView topLeftCell="G1" zoomScaleNormal="100" workbookViewId="0">
      <selection activeCell="I29" sqref="I29"/>
    </sheetView>
  </sheetViews>
  <sheetFormatPr defaultRowHeight="14.5" x14ac:dyDescent="0.35"/>
  <cols>
    <col min="1" max="1" width="30.1796875" bestFit="1" customWidth="1"/>
    <col min="2" max="2" width="12.453125" customWidth="1"/>
    <col min="3" max="3" width="12.26953125" customWidth="1"/>
    <col min="4" max="4" width="4" style="18" customWidth="1"/>
    <col min="5" max="5" width="30.1796875" customWidth="1"/>
    <col min="6" max="7" width="12.54296875" customWidth="1"/>
    <col min="8" max="8" width="4" style="18" customWidth="1"/>
    <col min="9" max="9" width="30.1796875" customWidth="1"/>
    <col min="10" max="11" width="12.453125" customWidth="1"/>
    <col min="12" max="12" width="4" style="18" customWidth="1"/>
    <col min="19" max="19" width="12.54296875" customWidth="1"/>
    <col min="20" max="20" width="10" bestFit="1" customWidth="1"/>
    <col min="23" max="23" width="14.453125" customWidth="1"/>
    <col min="24" max="24" width="11.1796875" customWidth="1"/>
    <col min="54" max="54" width="10.54296875" bestFit="1" customWidth="1"/>
  </cols>
  <sheetData>
    <row r="1" spans="1:23" x14ac:dyDescent="0.35">
      <c r="A1" s="329" t="s">
        <v>276</v>
      </c>
      <c r="B1" s="329"/>
      <c r="C1" s="329"/>
      <c r="D1" s="48"/>
      <c r="E1" s="329" t="s">
        <v>280</v>
      </c>
      <c r="F1" s="329"/>
      <c r="G1" s="329"/>
      <c r="H1" s="48"/>
      <c r="I1" s="329" t="s">
        <v>345</v>
      </c>
      <c r="J1" s="329"/>
      <c r="K1" s="329"/>
    </row>
    <row r="2" spans="1:23" x14ac:dyDescent="0.35">
      <c r="A2" s="4"/>
      <c r="B2" s="36" t="s">
        <v>255</v>
      </c>
      <c r="C2" s="36"/>
      <c r="D2" s="20"/>
      <c r="J2" s="31" t="s">
        <v>255</v>
      </c>
    </row>
    <row r="3" spans="1:23" x14ac:dyDescent="0.35">
      <c r="A3" s="4" t="s">
        <v>266</v>
      </c>
      <c r="B3" s="17" t="s">
        <v>274</v>
      </c>
      <c r="C3" s="17" t="s">
        <v>268</v>
      </c>
      <c r="D3" s="49"/>
      <c r="E3" s="4" t="s">
        <v>266</v>
      </c>
      <c r="F3" s="17" t="s">
        <v>267</v>
      </c>
      <c r="G3" s="17" t="s">
        <v>268</v>
      </c>
      <c r="H3" s="49"/>
      <c r="I3" s="4" t="s">
        <v>266</v>
      </c>
      <c r="J3" s="17" t="s">
        <v>267</v>
      </c>
      <c r="K3" s="17" t="s">
        <v>268</v>
      </c>
      <c r="V3" s="326"/>
      <c r="W3" s="326"/>
    </row>
    <row r="4" spans="1:23" x14ac:dyDescent="0.35">
      <c r="A4" s="4" t="s">
        <v>256</v>
      </c>
      <c r="B4" s="17">
        <v>20</v>
      </c>
      <c r="C4" s="17">
        <v>2</v>
      </c>
      <c r="D4" s="49"/>
      <c r="E4" s="4" t="s">
        <v>281</v>
      </c>
      <c r="F4" s="17">
        <v>126.77</v>
      </c>
      <c r="G4" s="17">
        <v>7</v>
      </c>
      <c r="H4" s="49"/>
      <c r="I4" s="4" t="s">
        <v>300</v>
      </c>
      <c r="J4" s="17">
        <v>30</v>
      </c>
      <c r="K4" s="17">
        <v>1</v>
      </c>
    </row>
    <row r="5" spans="1:23" x14ac:dyDescent="0.35">
      <c r="A5" s="4" t="s">
        <v>257</v>
      </c>
      <c r="B5" s="17">
        <v>50</v>
      </c>
      <c r="C5" s="17">
        <v>2</v>
      </c>
      <c r="D5" s="49"/>
      <c r="E5" s="4" t="s">
        <v>283</v>
      </c>
      <c r="F5" s="17">
        <v>30</v>
      </c>
      <c r="G5" s="17">
        <v>8</v>
      </c>
      <c r="H5" s="49"/>
      <c r="I5" s="4" t="s">
        <v>301</v>
      </c>
      <c r="J5" s="17">
        <v>15</v>
      </c>
      <c r="K5" s="17">
        <v>1</v>
      </c>
    </row>
    <row r="6" spans="1:23" x14ac:dyDescent="0.35">
      <c r="A6" s="4" t="s">
        <v>258</v>
      </c>
      <c r="B6" s="17">
        <v>20</v>
      </c>
      <c r="C6" s="17">
        <v>1</v>
      </c>
      <c r="D6" s="49"/>
      <c r="E6" s="4" t="s">
        <v>282</v>
      </c>
      <c r="F6" s="17">
        <v>820.27</v>
      </c>
      <c r="G6" s="17">
        <v>4</v>
      </c>
      <c r="H6" s="49"/>
      <c r="I6" s="4" t="s">
        <v>302</v>
      </c>
      <c r="J6" s="17">
        <v>7.5</v>
      </c>
      <c r="K6" s="17">
        <v>2</v>
      </c>
    </row>
    <row r="7" spans="1:23" x14ac:dyDescent="0.35">
      <c r="A7" s="4" t="s">
        <v>259</v>
      </c>
      <c r="B7" s="17">
        <v>34</v>
      </c>
      <c r="C7" s="17">
        <v>2</v>
      </c>
      <c r="D7" s="49"/>
      <c r="E7" s="4" t="s">
        <v>284</v>
      </c>
      <c r="F7" s="17">
        <v>125</v>
      </c>
      <c r="G7" s="17">
        <v>1</v>
      </c>
      <c r="H7" s="49"/>
      <c r="I7" s="4" t="s">
        <v>303</v>
      </c>
      <c r="J7" s="17">
        <v>10</v>
      </c>
      <c r="K7" s="17">
        <v>2</v>
      </c>
    </row>
    <row r="8" spans="1:23" x14ac:dyDescent="0.35">
      <c r="A8" s="4" t="s">
        <v>260</v>
      </c>
      <c r="B8" s="17">
        <v>10</v>
      </c>
      <c r="C8" s="17">
        <v>2</v>
      </c>
      <c r="D8" s="49"/>
      <c r="E8" s="4" t="s">
        <v>285</v>
      </c>
      <c r="F8" s="17">
        <v>75</v>
      </c>
      <c r="G8" s="17">
        <v>1</v>
      </c>
      <c r="H8" s="49"/>
      <c r="I8" s="4" t="s">
        <v>304</v>
      </c>
      <c r="J8" s="17">
        <v>20</v>
      </c>
      <c r="K8" s="17">
        <v>2</v>
      </c>
    </row>
    <row r="9" spans="1:23" x14ac:dyDescent="0.35">
      <c r="A9" s="4" t="s">
        <v>261</v>
      </c>
      <c r="B9" s="17">
        <v>20</v>
      </c>
      <c r="C9" s="17">
        <v>1</v>
      </c>
      <c r="D9" s="49"/>
      <c r="E9" s="4" t="s">
        <v>286</v>
      </c>
      <c r="F9" s="17">
        <v>75</v>
      </c>
      <c r="G9" s="17">
        <v>1</v>
      </c>
      <c r="H9" s="49"/>
      <c r="I9" s="4" t="s">
        <v>305</v>
      </c>
      <c r="J9" s="17">
        <v>100</v>
      </c>
      <c r="K9" s="17">
        <v>1</v>
      </c>
    </row>
    <row r="10" spans="1:23" x14ac:dyDescent="0.35">
      <c r="A10" s="4" t="s">
        <v>262</v>
      </c>
      <c r="B10" s="17">
        <v>10</v>
      </c>
      <c r="C10" s="17">
        <v>1</v>
      </c>
      <c r="D10" s="49"/>
      <c r="E10" s="4" t="s">
        <v>295</v>
      </c>
      <c r="F10" s="17">
        <v>100</v>
      </c>
      <c r="G10" s="17">
        <v>1</v>
      </c>
      <c r="H10" s="49"/>
      <c r="I10" s="4" t="s">
        <v>306</v>
      </c>
      <c r="J10" s="17">
        <v>20</v>
      </c>
      <c r="K10" s="17">
        <v>5</v>
      </c>
    </row>
    <row r="11" spans="1:23" x14ac:dyDescent="0.35">
      <c r="A11" s="4" t="s">
        <v>263</v>
      </c>
      <c r="B11" s="17">
        <v>5</v>
      </c>
      <c r="C11" s="17">
        <v>1</v>
      </c>
      <c r="D11" s="49"/>
      <c r="E11" s="4" t="s">
        <v>287</v>
      </c>
      <c r="F11" s="17">
        <v>60</v>
      </c>
      <c r="G11" s="17">
        <v>1</v>
      </c>
      <c r="H11" s="49"/>
      <c r="I11" s="4" t="s">
        <v>307</v>
      </c>
      <c r="J11" s="17">
        <v>10</v>
      </c>
      <c r="K11" s="17">
        <v>1</v>
      </c>
    </row>
    <row r="12" spans="1:23" x14ac:dyDescent="0.35">
      <c r="A12" s="4" t="s">
        <v>264</v>
      </c>
      <c r="B12" s="17">
        <v>50</v>
      </c>
      <c r="C12" s="17">
        <v>2</v>
      </c>
      <c r="D12" s="49"/>
      <c r="E12" s="4"/>
      <c r="F12" s="17"/>
      <c r="G12" s="17"/>
      <c r="H12" s="49"/>
      <c r="I12" s="4" t="s">
        <v>308</v>
      </c>
      <c r="J12" s="17">
        <v>40</v>
      </c>
      <c r="K12" s="17">
        <v>2</v>
      </c>
      <c r="T12" s="34"/>
    </row>
    <row r="13" spans="1:23" x14ac:dyDescent="0.35">
      <c r="A13" s="4" t="s">
        <v>265</v>
      </c>
      <c r="B13" s="17">
        <v>50</v>
      </c>
      <c r="C13" s="17">
        <v>2</v>
      </c>
      <c r="D13" s="49"/>
      <c r="E13" s="4"/>
      <c r="F13" s="17"/>
      <c r="G13" s="17"/>
      <c r="H13" s="49"/>
      <c r="I13" s="4" t="s">
        <v>309</v>
      </c>
      <c r="J13" s="17">
        <v>125</v>
      </c>
      <c r="K13" s="17">
        <v>1</v>
      </c>
    </row>
    <row r="14" spans="1:23" x14ac:dyDescent="0.35">
      <c r="A14" s="4"/>
      <c r="B14" s="17"/>
      <c r="C14" s="17"/>
      <c r="E14" s="4"/>
      <c r="F14" s="17"/>
      <c r="G14" s="17"/>
      <c r="I14" s="4" t="s">
        <v>310</v>
      </c>
      <c r="J14" s="17">
        <v>20</v>
      </c>
      <c r="K14" s="17">
        <v>5</v>
      </c>
    </row>
    <row r="15" spans="1:23" x14ac:dyDescent="0.35">
      <c r="A15" s="4"/>
      <c r="B15" s="17"/>
      <c r="C15" s="17"/>
      <c r="E15" s="4"/>
      <c r="F15" s="17"/>
      <c r="G15" s="17"/>
      <c r="I15" s="4"/>
      <c r="J15" s="17"/>
      <c r="K15" s="17"/>
    </row>
    <row r="16" spans="1:23" ht="3.65" customHeight="1" x14ac:dyDescent="0.35">
      <c r="A16" s="51"/>
      <c r="B16" s="51"/>
      <c r="C16" s="43"/>
      <c r="D16" s="43"/>
      <c r="E16" s="43"/>
      <c r="F16" s="43"/>
      <c r="G16" s="43"/>
      <c r="H16" s="43"/>
      <c r="I16" s="51"/>
      <c r="J16" s="43"/>
      <c r="K16" s="43"/>
      <c r="L16" s="43"/>
    </row>
    <row r="17" spans="1:28" x14ac:dyDescent="0.35">
      <c r="A17" s="4" t="s">
        <v>270</v>
      </c>
      <c r="B17" s="4">
        <v>360.17</v>
      </c>
      <c r="C17" t="s">
        <v>254</v>
      </c>
      <c r="E17" s="4" t="s">
        <v>270</v>
      </c>
      <c r="F17">
        <v>1052.96</v>
      </c>
      <c r="G17" t="s">
        <v>254</v>
      </c>
      <c r="I17" s="4" t="s">
        <v>270</v>
      </c>
      <c r="J17" s="4">
        <v>296.39999999999998</v>
      </c>
      <c r="K17" t="s">
        <v>254</v>
      </c>
    </row>
    <row r="18" spans="1:28" x14ac:dyDescent="0.35">
      <c r="A18" s="4" t="s">
        <v>271</v>
      </c>
      <c r="B18" s="45">
        <v>94697</v>
      </c>
      <c r="C18" t="s">
        <v>296</v>
      </c>
      <c r="E18" s="4" t="s">
        <v>271</v>
      </c>
      <c r="F18">
        <v>402194</v>
      </c>
      <c r="G18" t="s">
        <v>292</v>
      </c>
      <c r="I18" s="4" t="s">
        <v>271</v>
      </c>
      <c r="J18" s="4">
        <v>488719</v>
      </c>
      <c r="K18" t="s">
        <v>290</v>
      </c>
    </row>
    <row r="19" spans="1:28" x14ac:dyDescent="0.35">
      <c r="A19" s="4" t="s">
        <v>272</v>
      </c>
      <c r="B19">
        <f>Biomass_Input_To_BP</f>
        <v>5563.08</v>
      </c>
      <c r="C19" t="s">
        <v>8</v>
      </c>
      <c r="E19" s="4" t="s">
        <v>291</v>
      </c>
      <c r="F19" s="6">
        <f>SUM('Process Model'!H21:H24)</f>
        <v>27213.585600616352</v>
      </c>
      <c r="G19" t="s">
        <v>8</v>
      </c>
      <c r="I19" s="4" t="s">
        <v>311</v>
      </c>
      <c r="J19" s="46">
        <f>Hydrolysate_Post_EH</f>
        <v>26295.559201290707</v>
      </c>
      <c r="K19" t="s">
        <v>8</v>
      </c>
    </row>
    <row r="20" spans="1:28" x14ac:dyDescent="0.35">
      <c r="A20" s="4" t="s">
        <v>277</v>
      </c>
      <c r="B20">
        <f>B17/B18</f>
        <v>3.8033939829139256E-3</v>
      </c>
      <c r="C20" t="s">
        <v>297</v>
      </c>
      <c r="E20" s="4" t="s">
        <v>313</v>
      </c>
      <c r="F20">
        <f>kW_Subtotal_300/Mass_Served_300</f>
        <v>2.6180400503239732E-3</v>
      </c>
      <c r="G20" t="s">
        <v>293</v>
      </c>
      <c r="I20" s="4" t="s">
        <v>312</v>
      </c>
      <c r="J20" s="4">
        <f>kW_Subtotal_400/Mass_Served_400</f>
        <v>6.0648348028212527E-4</v>
      </c>
      <c r="K20" t="s">
        <v>314</v>
      </c>
    </row>
    <row r="21" spans="1:28" x14ac:dyDescent="0.35">
      <c r="A21" s="4" t="s">
        <v>278</v>
      </c>
      <c r="B21" s="11">
        <f>B19*B20</f>
        <v>21.1585849984688</v>
      </c>
      <c r="C21" t="s">
        <v>273</v>
      </c>
      <c r="E21" s="4" t="s">
        <v>289</v>
      </c>
      <c r="F21" s="6">
        <f>kWh_per_kg_phydr_300*pHydrol_per_ha_300</f>
        <v>71.246257015333384</v>
      </c>
      <c r="G21" t="s">
        <v>273</v>
      </c>
      <c r="I21" s="4" t="s">
        <v>289</v>
      </c>
      <c r="J21" s="45">
        <f>kWh_Per_kg_hydr_400*Hydr_Per_ha_400</f>
        <v>15.94782226036345</v>
      </c>
      <c r="K21" t="s">
        <v>273</v>
      </c>
    </row>
    <row r="22" spans="1:28" x14ac:dyDescent="0.35">
      <c r="A22" s="4" t="s">
        <v>279</v>
      </c>
      <c r="B22" s="40">
        <f>B21*'Conversions Page'!D16</f>
        <v>76.170905994487683</v>
      </c>
      <c r="C22" t="s">
        <v>112</v>
      </c>
      <c r="E22" s="4" t="s">
        <v>294</v>
      </c>
      <c r="F22" s="40">
        <f>kWh_per_ha_300*'Conversions Page'!D16</f>
        <v>256.48652525520021</v>
      </c>
      <c r="G22" t="s">
        <v>112</v>
      </c>
      <c r="I22" s="4" t="s">
        <v>294</v>
      </c>
      <c r="J22" s="47">
        <f>kWh_Per_ha_400*'Conversions Page'!D16</f>
        <v>57.412160137308419</v>
      </c>
      <c r="K22" t="s">
        <v>112</v>
      </c>
    </row>
    <row r="23" spans="1:28" ht="3" customHeight="1" x14ac:dyDescent="0.35">
      <c r="A23" s="43"/>
      <c r="B23" s="43"/>
      <c r="C23" s="43"/>
      <c r="D23" s="43"/>
      <c r="E23" s="51"/>
      <c r="F23" s="43"/>
      <c r="G23" s="43"/>
      <c r="H23" s="43"/>
      <c r="I23" s="43"/>
      <c r="J23" s="43"/>
      <c r="K23" s="43"/>
      <c r="L23" s="43"/>
    </row>
    <row r="25" spans="1:28" x14ac:dyDescent="0.35">
      <c r="A25" s="320" t="s">
        <v>315</v>
      </c>
      <c r="B25" s="320"/>
      <c r="C25" s="320"/>
    </row>
    <row r="26" spans="1:28" x14ac:dyDescent="0.35">
      <c r="B26" s="36" t="s">
        <v>255</v>
      </c>
    </row>
    <row r="27" spans="1:28" x14ac:dyDescent="0.35">
      <c r="A27" s="4" t="s">
        <v>266</v>
      </c>
      <c r="B27" s="17" t="s">
        <v>267</v>
      </c>
      <c r="C27" s="17" t="s">
        <v>268</v>
      </c>
      <c r="V27" t="s">
        <v>994</v>
      </c>
      <c r="W27" t="s">
        <v>993</v>
      </c>
      <c r="X27" t="s">
        <v>1037</v>
      </c>
      <c r="Y27" t="s">
        <v>999</v>
      </c>
      <c r="Z27" t="s">
        <v>1036</v>
      </c>
      <c r="AA27" t="s">
        <v>998</v>
      </c>
      <c r="AB27" t="s">
        <v>997</v>
      </c>
    </row>
    <row r="28" spans="1:28" x14ac:dyDescent="0.35">
      <c r="A28" s="4" t="s">
        <v>316</v>
      </c>
      <c r="B28" s="17">
        <v>7.5</v>
      </c>
      <c r="C28" s="17">
        <v>1</v>
      </c>
      <c r="V28">
        <v>20</v>
      </c>
      <c r="W28">
        <v>6308.377243031282</v>
      </c>
      <c r="X28">
        <v>9019.7669963111912</v>
      </c>
      <c r="Y28">
        <v>7290.41383823047</v>
      </c>
      <c r="Z28">
        <v>8326.9252664104661</v>
      </c>
      <c r="AA28">
        <v>9722.5382509890733</v>
      </c>
      <c r="AB28">
        <v>10031.245875157452</v>
      </c>
    </row>
    <row r="29" spans="1:28" x14ac:dyDescent="0.35">
      <c r="A29" s="4" t="s">
        <v>317</v>
      </c>
      <c r="B29" s="17">
        <v>10</v>
      </c>
      <c r="C29" s="17">
        <v>1</v>
      </c>
      <c r="E29" s="6"/>
      <c r="V29">
        <v>20.5</v>
      </c>
      <c r="W29">
        <v>6466.0866741072387</v>
      </c>
      <c r="X29">
        <v>8943.2533144915378</v>
      </c>
      <c r="Y29">
        <v>7300.4545809926612</v>
      </c>
      <c r="Z29">
        <v>8265.6822762038482</v>
      </c>
      <c r="AA29">
        <v>9656.5344409876961</v>
      </c>
      <c r="AB29">
        <v>9978.8250858249266</v>
      </c>
    </row>
    <row r="30" spans="1:28" x14ac:dyDescent="0.35">
      <c r="A30" s="4" t="s">
        <v>318</v>
      </c>
      <c r="B30" s="17">
        <v>15</v>
      </c>
      <c r="C30" s="17">
        <v>1</v>
      </c>
      <c r="E30" s="6"/>
      <c r="V30">
        <v>21</v>
      </c>
      <c r="W30">
        <v>6623.7961051827297</v>
      </c>
      <c r="X30">
        <v>8873.2312299962832</v>
      </c>
      <c r="Y30">
        <v>7326.7062258593014</v>
      </c>
      <c r="Z30">
        <v>8216.7453982587485</v>
      </c>
      <c r="AA30">
        <v>9591.2959239167576</v>
      </c>
      <c r="AB30">
        <v>9925.4512654773825</v>
      </c>
    </row>
    <row r="31" spans="1:28" x14ac:dyDescent="0.35">
      <c r="A31" s="4" t="s">
        <v>319</v>
      </c>
      <c r="B31" s="17">
        <v>150</v>
      </c>
      <c r="C31" s="17">
        <v>1</v>
      </c>
      <c r="E31" s="6"/>
      <c r="V31">
        <v>21.5</v>
      </c>
      <c r="W31">
        <v>6781.5055362586863</v>
      </c>
      <c r="X31">
        <v>8810.868100100728</v>
      </c>
      <c r="Y31">
        <v>7368.398361113208</v>
      </c>
      <c r="Z31">
        <v>8180.8778368881649</v>
      </c>
      <c r="AA31">
        <v>9527.6690487677624</v>
      </c>
      <c r="AB31">
        <v>9871.6344232951978</v>
      </c>
    </row>
    <row r="32" spans="1:28" x14ac:dyDescent="0.35">
      <c r="A32" s="4" t="s">
        <v>320</v>
      </c>
      <c r="B32" s="17">
        <v>700</v>
      </c>
      <c r="C32" s="17">
        <v>2</v>
      </c>
      <c r="E32" s="6"/>
      <c r="V32">
        <v>22</v>
      </c>
      <c r="W32">
        <v>6939.2149673341773</v>
      </c>
      <c r="X32">
        <v>8757.2784268394244</v>
      </c>
      <c r="Y32">
        <v>7424.6277454593364</v>
      </c>
      <c r="Z32">
        <v>8158.6602995828243</v>
      </c>
      <c r="AA32">
        <v>9466.571661587499</v>
      </c>
      <c r="AB32">
        <v>9817.9678978647898</v>
      </c>
    </row>
    <row r="33" spans="1:55" x14ac:dyDescent="0.35">
      <c r="A33" s="4" t="s">
        <v>321</v>
      </c>
      <c r="B33" s="17">
        <v>200</v>
      </c>
      <c r="C33" s="17">
        <v>1</v>
      </c>
      <c r="E33" s="6"/>
      <c r="V33">
        <v>22.5</v>
      </c>
      <c r="W33">
        <v>7096.924398410134</v>
      </c>
      <c r="X33">
        <v>8713.499865213973</v>
      </c>
      <c r="Y33">
        <v>7494.390852845343</v>
      </c>
      <c r="Z33">
        <v>8150.4834750477621</v>
      </c>
      <c r="AA33">
        <v>9408.982924664253</v>
      </c>
      <c r="AB33">
        <v>9765.1293711972321</v>
      </c>
    </row>
    <row r="34" spans="1:55" x14ac:dyDescent="0.35">
      <c r="A34" s="4" t="s">
        <v>323</v>
      </c>
      <c r="B34" s="17">
        <v>50</v>
      </c>
      <c r="C34" s="17">
        <v>1</v>
      </c>
      <c r="E34" s="6"/>
      <c r="V34">
        <v>23</v>
      </c>
      <c r="W34">
        <v>7254.6338294860907</v>
      </c>
      <c r="X34">
        <v>8680.4703777797276</v>
      </c>
      <c r="Y34">
        <v>7576.6151566647195</v>
      </c>
      <c r="Z34">
        <v>8156.545665032565</v>
      </c>
      <c r="AA34">
        <v>9355.9304345317032</v>
      </c>
      <c r="AB34">
        <v>9713.8799587901885</v>
      </c>
    </row>
    <row r="35" spans="1:55" x14ac:dyDescent="0.35">
      <c r="A35" s="4" t="s">
        <v>322</v>
      </c>
      <c r="B35" s="17">
        <v>75</v>
      </c>
      <c r="C35" s="17">
        <v>1</v>
      </c>
      <c r="E35" s="6"/>
      <c r="V35">
        <v>23.5</v>
      </c>
      <c r="W35">
        <v>7412.3432605615817</v>
      </c>
      <c r="X35">
        <v>8659.007262149109</v>
      </c>
      <c r="Y35">
        <v>7670.1883262118308</v>
      </c>
      <c r="Z35">
        <v>8176.85543033883</v>
      </c>
      <c r="AA35">
        <v>9308.474690776271</v>
      </c>
      <c r="AB35">
        <v>9665.0610625046029</v>
      </c>
    </row>
    <row r="36" spans="1:55" x14ac:dyDescent="0.35">
      <c r="A36" s="4" t="s">
        <v>324</v>
      </c>
      <c r="B36" s="17">
        <v>100</v>
      </c>
      <c r="C36" s="17">
        <v>1</v>
      </c>
      <c r="E36" s="6"/>
      <c r="V36">
        <v>24</v>
      </c>
      <c r="W36">
        <v>7570.0526916375384</v>
      </c>
      <c r="X36">
        <v>8649.7887277791488</v>
      </c>
      <c r="Y36">
        <v>7773.9847188887306</v>
      </c>
      <c r="Z36">
        <v>8211.238935912048</v>
      </c>
      <c r="AA36">
        <v>9267.6910619744958</v>
      </c>
      <c r="AB36">
        <v>9619.5886880873331</v>
      </c>
    </row>
    <row r="37" spans="1:55" x14ac:dyDescent="0.35">
      <c r="A37" s="4" t="s">
        <v>325</v>
      </c>
      <c r="B37" s="17">
        <v>100</v>
      </c>
      <c r="C37" s="17">
        <v>1</v>
      </c>
      <c r="V37">
        <v>24.5</v>
      </c>
      <c r="W37">
        <v>7727.762122713495</v>
      </c>
      <c r="X37">
        <v>8653.3386204591789</v>
      </c>
      <c r="Y37">
        <v>7886.8887522153527</v>
      </c>
      <c r="Z37">
        <v>8259.3515301326406</v>
      </c>
      <c r="AA37">
        <v>9234.6494951520272</v>
      </c>
      <c r="AB37">
        <v>9578.4449574959126</v>
      </c>
    </row>
    <row r="38" spans="1:55" x14ac:dyDescent="0.35">
      <c r="A38" s="4" t="s">
        <v>326</v>
      </c>
      <c r="B38" s="17">
        <v>150</v>
      </c>
      <c r="C38" s="17">
        <v>1</v>
      </c>
      <c r="V38">
        <v>25</v>
      </c>
      <c r="W38">
        <v>7885.4715537889861</v>
      </c>
      <c r="X38">
        <v>8670.0147907024148</v>
      </c>
      <c r="Y38">
        <v>8007.814921675641</v>
      </c>
      <c r="Z38">
        <v>8320.6929746064197</v>
      </c>
      <c r="AA38">
        <v>9210.3923174145584</v>
      </c>
      <c r="AB38">
        <v>9542.6665890478434</v>
      </c>
    </row>
    <row r="39" spans="1:55" x14ac:dyDescent="0.35">
      <c r="A39" s="4" t="s">
        <v>327</v>
      </c>
      <c r="B39" s="17">
        <v>75</v>
      </c>
      <c r="C39" s="17">
        <v>1</v>
      </c>
      <c r="V39">
        <v>25.5</v>
      </c>
      <c r="W39">
        <v>8043.1809848649427</v>
      </c>
      <c r="X39">
        <v>8700.0014805576211</v>
      </c>
      <c r="Y39">
        <v>8135.724388201199</v>
      </c>
      <c r="Z39">
        <v>8394.6256560172897</v>
      </c>
      <c r="AA39">
        <v>9195.9105788044308</v>
      </c>
      <c r="AB39">
        <v>9513.3301766776822</v>
      </c>
    </row>
    <row r="40" spans="1:55" x14ac:dyDescent="0.35">
      <c r="V40">
        <v>26</v>
      </c>
      <c r="W40">
        <v>8200.8904159404337</v>
      </c>
      <c r="X40">
        <v>8743.3059679740527</v>
      </c>
      <c r="Y40">
        <v>8269.6381896520961</v>
      </c>
      <c r="Z40">
        <v>8480.3950619167972</v>
      </c>
      <c r="AA40">
        <v>9192.1194795328011</v>
      </c>
      <c r="AB40">
        <v>9491.5341734938211</v>
      </c>
    </row>
    <row r="41" spans="1:55" x14ac:dyDescent="0.35">
      <c r="A41" s="4" t="s">
        <v>270</v>
      </c>
      <c r="B41" s="4">
        <v>1217.355</v>
      </c>
      <c r="C41" t="s">
        <v>254</v>
      </c>
      <c r="V41">
        <v>26.5</v>
      </c>
      <c r="W41">
        <v>8358.5998470163904</v>
      </c>
      <c r="X41">
        <v>8799.7595652570726</v>
      </c>
      <c r="Y41">
        <v>8408.6472331826917</v>
      </c>
      <c r="Z41">
        <v>8577.1517867085786</v>
      </c>
      <c r="AA41">
        <v>9199.8335078996515</v>
      </c>
      <c r="AB41">
        <v>9478.377573922342</v>
      </c>
    </row>
    <row r="42" spans="1:55" x14ac:dyDescent="0.35">
      <c r="A42" s="4" t="s">
        <v>271</v>
      </c>
      <c r="B42" s="4">
        <v>30379</v>
      </c>
      <c r="C42" t="s">
        <v>288</v>
      </c>
      <c r="V42">
        <v>27</v>
      </c>
      <c r="W42">
        <v>8516.3092780923471</v>
      </c>
      <c r="X42">
        <v>8869.0229251363908</v>
      </c>
      <c r="Y42">
        <v>8551.9193007247959</v>
      </c>
      <c r="Z42">
        <v>8683.9743498414919</v>
      </c>
      <c r="AA42">
        <v>9219.7419828339989</v>
      </c>
      <c r="AB42">
        <v>9474.9353916584569</v>
      </c>
    </row>
    <row r="43" spans="1:55" x14ac:dyDescent="0.35">
      <c r="A43" s="4" t="s">
        <v>291</v>
      </c>
      <c r="B43" s="45">
        <f>Corn_beer_Input_to_DD</f>
        <v>26295.559201290707</v>
      </c>
      <c r="C43" t="s">
        <v>329</v>
      </c>
      <c r="V43">
        <v>27.5</v>
      </c>
      <c r="W43">
        <v>8674.0187091678381</v>
      </c>
      <c r="X43">
        <v>8950.5954713484589</v>
      </c>
      <c r="Y43">
        <v>8698.7033502143258</v>
      </c>
      <c r="Z43">
        <v>8799.8921514088725</v>
      </c>
      <c r="AA43">
        <v>9252.3857427018393</v>
      </c>
      <c r="AB43">
        <v>9482.2311449599947</v>
      </c>
      <c r="BB43" s="5"/>
    </row>
    <row r="44" spans="1:55" x14ac:dyDescent="0.35">
      <c r="A44" s="4" t="s">
        <v>328</v>
      </c>
      <c r="B44" s="4">
        <f>kW_Subtotal_700/Mass_Served_700</f>
        <v>4.0072253859574046E-2</v>
      </c>
      <c r="C44" t="s">
        <v>330</v>
      </c>
      <c r="V44">
        <v>28</v>
      </c>
      <c r="W44">
        <v>8831.7281402437948</v>
      </c>
      <c r="X44">
        <v>9043.8286468718197</v>
      </c>
      <c r="Y44">
        <v>8848.3314235399012</v>
      </c>
      <c r="Z44">
        <v>8923.9079560109039</v>
      </c>
      <c r="AA44">
        <v>9298.1357460000909</v>
      </c>
      <c r="AB44">
        <v>9501.2066827901999</v>
      </c>
      <c r="BB44" s="16"/>
      <c r="BC44" s="16"/>
    </row>
    <row r="45" spans="1:55" x14ac:dyDescent="0.35">
      <c r="A45" s="4" t="s">
        <v>289</v>
      </c>
      <c r="B45" s="45">
        <f>kWh_per_kg_CornBeer_700*CornBeer_Per_ha_700</f>
        <v>1053.7223236935793</v>
      </c>
      <c r="C45" t="s">
        <v>273</v>
      </c>
      <c r="V45">
        <v>28.5</v>
      </c>
      <c r="W45">
        <v>8989.4375713197514</v>
      </c>
      <c r="X45">
        <v>9147.942567984006</v>
      </c>
      <c r="Y45">
        <v>9000.218481986567</v>
      </c>
      <c r="Z45">
        <v>9055.0193784713992</v>
      </c>
      <c r="AA45">
        <v>9357.1743466766147</v>
      </c>
      <c r="AB45">
        <v>9532.6898095963643</v>
      </c>
    </row>
    <row r="46" spans="1:55" x14ac:dyDescent="0.35">
      <c r="A46" s="4" t="s">
        <v>294</v>
      </c>
      <c r="B46" s="47">
        <f>kWh_Per_ha_700*'Conversions Page'!D16</f>
        <v>3793.4003652968854</v>
      </c>
      <c r="C46" t="s">
        <v>112</v>
      </c>
      <c r="V46">
        <v>29</v>
      </c>
      <c r="W46">
        <v>9147.1470023952425</v>
      </c>
      <c r="X46">
        <v>9262.0455913956321</v>
      </c>
      <c r="Y46">
        <v>9153.8604847654242</v>
      </c>
      <c r="Z46">
        <v>9192.2389392527675</v>
      </c>
      <c r="AA46">
        <v>9429.4799749813392</v>
      </c>
      <c r="AB46">
        <v>9577.3602856934067</v>
      </c>
    </row>
    <row r="47" spans="1:55" x14ac:dyDescent="0.35">
      <c r="V47">
        <v>29.5</v>
      </c>
      <c r="W47">
        <v>9304.8564334711991</v>
      </c>
      <c r="X47">
        <v>9385.1562494822174</v>
      </c>
      <c r="Y47">
        <v>9308.8310095158886</v>
      </c>
      <c r="Z47">
        <v>9334.6123577869257</v>
      </c>
      <c r="AA47">
        <v>9514.8158930033042</v>
      </c>
      <c r="AB47">
        <v>9635.7148839646052</v>
      </c>
    </row>
    <row r="48" spans="1:55" x14ac:dyDescent="0.35">
      <c r="V48">
        <v>30</v>
      </c>
      <c r="W48">
        <v>9462.5658645466901</v>
      </c>
      <c r="X48">
        <v>9516.2269894755027</v>
      </c>
      <c r="Y48">
        <v>9464.7766887110338</v>
      </c>
      <c r="Z48">
        <v>9481.2348535662404</v>
      </c>
      <c r="AA48">
        <v>9612.7236027556974</v>
      </c>
      <c r="AB48">
        <v>9708.0322569304135</v>
      </c>
    </row>
    <row r="49" spans="4:28" x14ac:dyDescent="0.35">
      <c r="V49">
        <v>30.5</v>
      </c>
      <c r="W49">
        <v>9620.2752956226468</v>
      </c>
      <c r="X49">
        <v>9654.1691713880591</v>
      </c>
      <c r="Y49">
        <v>9621.4117055718634</v>
      </c>
      <c r="Z49">
        <v>9631.2653235079488</v>
      </c>
      <c r="AA49">
        <v>9722.5213656179967</v>
      </c>
      <c r="AB49">
        <v>9794.3383879598496</v>
      </c>
    </row>
    <row r="50" spans="4:28" x14ac:dyDescent="0.35">
      <c r="V50">
        <v>31</v>
      </c>
      <c r="W50">
        <v>9777.9847266981378</v>
      </c>
      <c r="X50">
        <v>9797.878843840319</v>
      </c>
      <c r="Y50">
        <v>9778.511559810755</v>
      </c>
      <c r="Z50">
        <v>9783.9383563509436</v>
      </c>
      <c r="AA50">
        <v>9843.3081482773305</v>
      </c>
      <c r="AB50">
        <v>9894.373326670091</v>
      </c>
    </row>
    <row r="51" spans="4:28" x14ac:dyDescent="0.35">
      <c r="V51">
        <v>31.5</v>
      </c>
      <c r="W51">
        <v>9935.6941577745602</v>
      </c>
      <c r="X51">
        <v>9946.262941043391</v>
      </c>
      <c r="Y51">
        <v>9935.9062794202109</v>
      </c>
      <c r="Z51">
        <v>9938.5741282176987</v>
      </c>
      <c r="AA51">
        <v>9973.9731466143403</v>
      </c>
      <c r="AB51">
        <v>10007.559664415454</v>
      </c>
    </row>
    <row r="52" spans="4:28" x14ac:dyDescent="0.35">
      <c r="V52">
        <v>32</v>
      </c>
      <c r="W52">
        <v>10093.403588850051</v>
      </c>
      <c r="X52">
        <v>10098.265758774189</v>
      </c>
      <c r="Y52">
        <v>10093.473221326129</v>
      </c>
      <c r="Z52">
        <v>10094.586296210513</v>
      </c>
      <c r="AA52">
        <v>10113.210860915789</v>
      </c>
      <c r="AB52">
        <v>10132.972620809207</v>
      </c>
    </row>
    <row r="53" spans="4:28" x14ac:dyDescent="0.35">
      <c r="V53">
        <v>32.5</v>
      </c>
      <c r="W53">
        <v>10251.113019925542</v>
      </c>
      <c r="X53">
        <v>10252.895947688485</v>
      </c>
      <c r="Y53">
        <v>10251.129572450254</v>
      </c>
      <c r="Z53">
        <v>10251.488068320054</v>
      </c>
      <c r="AA53">
        <v>10259.541510179048</v>
      </c>
      <c r="AB53">
        <v>10269.310248269961</v>
      </c>
    </row>
    <row r="54" spans="4:28" x14ac:dyDescent="0.35">
      <c r="V54">
        <v>33</v>
      </c>
      <c r="W54">
        <v>10408.822451001965</v>
      </c>
      <c r="X54">
        <v>10409.25501795116</v>
      </c>
      <c r="Y54">
        <v>10408.824634392493</v>
      </c>
      <c r="Z54">
        <v>10408.896677801675</v>
      </c>
      <c r="AA54">
        <v>10411.336387408783</v>
      </c>
      <c r="AB54">
        <v>10414.8587580851</v>
      </c>
    </row>
    <row r="55" spans="4:28" x14ac:dyDescent="0.35">
      <c r="V55">
        <v>33.5</v>
      </c>
      <c r="W55">
        <v>10566.531882077456</v>
      </c>
      <c r="X55">
        <v>10566.570199737711</v>
      </c>
      <c r="Y55">
        <v>10566.53195041955</v>
      </c>
      <c r="Z55">
        <v>10566.536529272405</v>
      </c>
      <c r="AA55">
        <v>10566.847579591369</v>
      </c>
      <c r="AB55">
        <v>10567.436748656759</v>
      </c>
    </row>
    <row r="56" spans="4:28" x14ac:dyDescent="0.35">
      <c r="V56">
        <v>34</v>
      </c>
      <c r="W56">
        <v>10724.241313152947</v>
      </c>
      <c r="X56">
        <v>10724.241313152947</v>
      </c>
      <c r="Y56">
        <v>10724.241313152947</v>
      </c>
      <c r="Z56">
        <v>10724.241313152947</v>
      </c>
      <c r="AA56">
        <v>10724.241313152947</v>
      </c>
      <c r="AB56">
        <v>10724.241313152947</v>
      </c>
    </row>
    <row r="57" spans="4:28" x14ac:dyDescent="0.35">
      <c r="V57">
        <v>34.5</v>
      </c>
      <c r="W57">
        <v>10881.950744229369</v>
      </c>
      <c r="X57">
        <v>10881.912304939966</v>
      </c>
      <c r="Y57">
        <v>10881.950675670314</v>
      </c>
      <c r="Z57">
        <v>10881.946082281562</v>
      </c>
      <c r="AA57">
        <v>10881.634045503115</v>
      </c>
      <c r="AB57">
        <v>10881.043013326345</v>
      </c>
    </row>
    <row r="58" spans="4:28" x14ac:dyDescent="0.35">
      <c r="V58">
        <v>35</v>
      </c>
      <c r="W58">
        <v>11039.66017530486</v>
      </c>
      <c r="X58">
        <v>11039.224858751215</v>
      </c>
      <c r="Y58">
        <v>11039.657978026107</v>
      </c>
      <c r="Z58">
        <v>11039.585476413708</v>
      </c>
      <c r="AA58">
        <v>11037.130312364377</v>
      </c>
      <c r="AB58">
        <v>11033.585844135714</v>
      </c>
    </row>
    <row r="59" spans="4:28" x14ac:dyDescent="0.35">
      <c r="V59">
        <v>35.5</v>
      </c>
      <c r="W59">
        <v>11197.369606380351</v>
      </c>
      <c r="X59">
        <v>11195.569665369896</v>
      </c>
      <c r="Y59">
        <v>11197.352895607726</v>
      </c>
      <c r="Z59">
        <v>11196.990973764165</v>
      </c>
      <c r="AA59">
        <v>11188.861264306628</v>
      </c>
      <c r="AB59">
        <v>11179.001824494942</v>
      </c>
    </row>
    <row r="60" spans="4:28" x14ac:dyDescent="0.35">
      <c r="V60">
        <v>36</v>
      </c>
      <c r="W60">
        <v>11355.079037455842</v>
      </c>
      <c r="X60">
        <v>11350.154995169216</v>
      </c>
      <c r="Y60">
        <v>11355.008515457506</v>
      </c>
      <c r="Z60">
        <v>11353.881235071947</v>
      </c>
      <c r="AA60">
        <v>11335.022788170929</v>
      </c>
      <c r="AB60">
        <v>11315.020899842482</v>
      </c>
    </row>
    <row r="61" spans="4:28" x14ac:dyDescent="0.35">
      <c r="V61">
        <v>36.5</v>
      </c>
      <c r="W61">
        <v>11512.788468532264</v>
      </c>
      <c r="X61">
        <v>11502.051669826409</v>
      </c>
      <c r="Y61">
        <v>11512.572951962329</v>
      </c>
      <c r="Z61">
        <v>11509.862484617142</v>
      </c>
      <c r="AA61">
        <v>11473.912112195632</v>
      </c>
      <c r="AB61">
        <v>11439.827551324188</v>
      </c>
    </row>
    <row r="62" spans="4:28" x14ac:dyDescent="0.35">
      <c r="V62">
        <v>37</v>
      </c>
      <c r="W62">
        <v>11670.497899607755</v>
      </c>
      <c r="X62">
        <v>11650.22481553019</v>
      </c>
      <c r="Y62">
        <v>11669.960924171923</v>
      </c>
      <c r="Z62">
        <v>11664.429989543914</v>
      </c>
      <c r="AA62">
        <v>11603.961837922781</v>
      </c>
      <c r="AB62">
        <v>11552.014522738704</v>
      </c>
    </row>
    <row r="63" spans="4:28" x14ac:dyDescent="0.35">
      <c r="V63">
        <v>37.5</v>
      </c>
      <c r="W63">
        <v>11828.207330683246</v>
      </c>
      <c r="X63">
        <v>11793.562015922478</v>
      </c>
      <c r="Y63">
        <v>11827.045333680791</v>
      </c>
      <c r="Z63">
        <v>11816.970988599669</v>
      </c>
      <c r="AA63">
        <v>11723.770425967796</v>
      </c>
      <c r="AB63">
        <v>11650.556754989671</v>
      </c>
    </row>
    <row r="64" spans="4:28" x14ac:dyDescent="0.35">
      <c r="D64" s="48"/>
      <c r="V64">
        <v>38</v>
      </c>
      <c r="W64">
        <v>11985.916761759669</v>
      </c>
      <c r="X64">
        <v>11930.900734316065</v>
      </c>
      <c r="Y64">
        <v>11983.648904442414</v>
      </c>
      <c r="Z64">
        <v>11966.769407108177</v>
      </c>
      <c r="AA64">
        <v>11832.128283040382</v>
      </c>
      <c r="AB64">
        <v>11734.789093047548</v>
      </c>
    </row>
    <row r="65" spans="4:28" x14ac:dyDescent="0.35">
      <c r="V65">
        <v>38.5</v>
      </c>
      <c r="W65">
        <v>12143.62619283516</v>
      </c>
      <c r="X65">
        <v>12061.056027177328</v>
      </c>
      <c r="Y65">
        <v>12139.535974147911</v>
      </c>
      <c r="Z65">
        <v>12113.012668841266</v>
      </c>
      <c r="AA65">
        <v>11928.038749295831</v>
      </c>
      <c r="AB65">
        <v>11804.382537922278</v>
      </c>
    </row>
    <row r="66" spans="4:28" x14ac:dyDescent="0.35">
      <c r="D66" s="49"/>
      <c r="V66">
        <v>39</v>
      </c>
      <c r="W66">
        <v>12301.335623910651</v>
      </c>
      <c r="X66">
        <v>12182.848795577822</v>
      </c>
      <c r="Y66">
        <v>12294.404560601695</v>
      </c>
      <c r="Z66">
        <v>12254.800875154064</v>
      </c>
      <c r="AA66">
        <v>12010.733461638427</v>
      </c>
      <c r="AB66">
        <v>11859.317377990188</v>
      </c>
    </row>
    <row r="67" spans="4:28" x14ac:dyDescent="0.35">
      <c r="D67" s="49"/>
      <c r="V67">
        <v>39.5</v>
      </c>
      <c r="W67">
        <v>12459.045054987073</v>
      </c>
      <c r="X67">
        <v>12295.134408873755</v>
      </c>
      <c r="Y67">
        <v>12447.878865422399</v>
      </c>
      <c r="Z67">
        <v>12391.158565534484</v>
      </c>
      <c r="AA67">
        <v>12079.681762451701</v>
      </c>
      <c r="AB67">
        <v>11899.852978908733</v>
      </c>
    </row>
    <row r="68" spans="4:28" x14ac:dyDescent="0.35">
      <c r="D68" s="49"/>
      <c r="V68">
        <v>40</v>
      </c>
      <c r="W68">
        <v>12616.754486062564</v>
      </c>
      <c r="X68">
        <v>12396.831281032719</v>
      </c>
      <c r="Y68">
        <v>12599.502420701199</v>
      </c>
      <c r="Z68">
        <v>12521.049200506108</v>
      </c>
      <c r="AA68">
        <v>12134.594026163437</v>
      </c>
      <c r="AB68">
        <v>11926.494681131599</v>
      </c>
    </row>
    <row r="69" spans="4:28" x14ac:dyDescent="0.35">
      <c r="D69" s="49"/>
      <c r="V69">
        <v>40.5</v>
      </c>
      <c r="W69">
        <v>12774.463917138055</v>
      </c>
      <c r="X69">
        <v>12486.948813092156</v>
      </c>
      <c r="Y69">
        <v>12748.732130706718</v>
      </c>
      <c r="Z69">
        <v>12643.392417210174</v>
      </c>
      <c r="AA69">
        <v>12175.418979431839</v>
      </c>
      <c r="AB69">
        <v>11939.958577617659</v>
      </c>
    </row>
    <row r="70" spans="4:28" x14ac:dyDescent="0.35">
      <c r="D70" s="49"/>
      <c r="V70">
        <v>41</v>
      </c>
      <c r="W70">
        <v>12932.173348214477</v>
      </c>
      <c r="X70">
        <v>12564.614007682785</v>
      </c>
      <c r="Y70">
        <v>12894.933508642134</v>
      </c>
      <c r="Z70">
        <v>12757.084000676838</v>
      </c>
      <c r="AA70">
        <v>12202.335286147001</v>
      </c>
      <c r="AB70">
        <v>11941.135086654995</v>
      </c>
    </row>
    <row r="71" spans="4:28" x14ac:dyDescent="0.35">
      <c r="D71" s="49"/>
      <c r="V71">
        <v>41.5</v>
      </c>
      <c r="W71">
        <v>13089.882779289968</v>
      </c>
      <c r="X71">
        <v>12629.096002627211</v>
      </c>
      <c r="Y71">
        <v>13037.377455598533</v>
      </c>
      <c r="Z71">
        <v>12861.018391736685</v>
      </c>
      <c r="AA71">
        <v>12215.737848022853</v>
      </c>
      <c r="AB71">
        <v>11931.05226958789</v>
      </c>
    </row>
    <row r="72" spans="4:28" x14ac:dyDescent="0.35">
      <c r="D72" s="49"/>
      <c r="V72">
        <v>42</v>
      </c>
      <c r="W72">
        <v>13247.592210365459</v>
      </c>
      <c r="X72">
        <v>12679.82775606517</v>
      </c>
      <c r="Y72">
        <v>13175.238972125066</v>
      </c>
      <c r="Z72">
        <v>12954.113418883169</v>
      </c>
      <c r="AA72">
        <v>12216.219428323238</v>
      </c>
      <c r="AB72">
        <v>11910.839808782843</v>
      </c>
    </row>
    <row r="73" spans="4:28" x14ac:dyDescent="0.35">
      <c r="D73" s="49"/>
      <c r="V73">
        <v>42.5</v>
      </c>
      <c r="W73">
        <v>13405.301641441882</v>
      </c>
      <c r="X73">
        <v>12716.424143446924</v>
      </c>
      <c r="Y73">
        <v>13307.598228492387</v>
      </c>
      <c r="Z73">
        <v>13035.336800827885</v>
      </c>
      <c r="AA73">
        <v>12204.548334556832</v>
      </c>
      <c r="AB73">
        <v>11881.694480253051</v>
      </c>
    </row>
    <row r="74" spans="4:28" x14ac:dyDescent="0.35">
      <c r="D74" s="49"/>
      <c r="V74">
        <v>43</v>
      </c>
      <c r="W74">
        <v>13563.011072517373</v>
      </c>
      <c r="X74">
        <v>12738.695795366504</v>
      </c>
      <c r="Y74">
        <v>13433.444443305259</v>
      </c>
      <c r="Z74">
        <v>13103.733825073727</v>
      </c>
      <c r="AA74">
        <v>12181.642991605842</v>
      </c>
      <c r="AB74">
        <v>11844.847843565001</v>
      </c>
    </row>
    <row r="75" spans="4:28" x14ac:dyDescent="0.35">
      <c r="D75" s="49"/>
      <c r="V75">
        <v>43.5</v>
      </c>
      <c r="W75">
        <v>13720.720503592864</v>
      </c>
      <c r="X75">
        <v>12746.658111908777</v>
      </c>
      <c r="Y75">
        <v>13551.683026320732</v>
      </c>
      <c r="Z75">
        <v>13158.455472794842</v>
      </c>
      <c r="AA75">
        <v>12148.544297169909</v>
      </c>
      <c r="AB75">
        <v>11801.536740745487</v>
      </c>
    </row>
    <row r="76" spans="4:28" x14ac:dyDescent="0.35">
      <c r="D76" s="49"/>
      <c r="V76">
        <v>44</v>
      </c>
      <c r="W76">
        <v>13878.429934668355</v>
      </c>
      <c r="X76">
        <v>12740.535029927734</v>
      </c>
      <c r="Y76">
        <v>13661.146424372939</v>
      </c>
      <c r="Z76">
        <v>13198.786139968583</v>
      </c>
      <c r="AA76">
        <v>12106.38667580814</v>
      </c>
      <c r="AB76">
        <v>11752.977055355799</v>
      </c>
    </row>
    <row r="77" spans="4:28" x14ac:dyDescent="0.35">
      <c r="D77" s="49"/>
      <c r="V77">
        <v>44.5</v>
      </c>
      <c r="W77">
        <v>14036.139365744777</v>
      </c>
      <c r="X77">
        <v>12720.757288760684</v>
      </c>
      <c r="Y77">
        <v>13760.60906318685</v>
      </c>
      <c r="Z77">
        <v>13224.170008001847</v>
      </c>
      <c r="AA77">
        <v>12056.368737087516</v>
      </c>
      <c r="AB77">
        <v>11700.341040444107</v>
      </c>
    </row>
    <row r="78" spans="4:28" x14ac:dyDescent="0.35">
      <c r="D78" s="49"/>
      <c r="V78">
        <v>45</v>
      </c>
      <c r="W78">
        <v>14193.848796820268</v>
      </c>
      <c r="X78">
        <v>12687.955129953907</v>
      </c>
      <c r="Y78">
        <v>13848.806696517233</v>
      </c>
      <c r="Z78">
        <v>13234.235052987091</v>
      </c>
      <c r="AA78">
        <v>11999.724399812756</v>
      </c>
      <c r="AB78">
        <v>11644.738386116358</v>
      </c>
    </row>
    <row r="79" spans="4:28" x14ac:dyDescent="0.35">
      <c r="V79">
        <v>45.5</v>
      </c>
      <c r="W79">
        <v>14351.558227895759</v>
      </c>
      <c r="X79">
        <v>12642.945568884425</v>
      </c>
      <c r="Y79">
        <v>13924.46035224841</v>
      </c>
      <c r="Z79">
        <v>13228.813659734689</v>
      </c>
      <c r="AA79">
        <v>11937.695271758968</v>
      </c>
      <c r="AB79">
        <v>11587.201069041081</v>
      </c>
    </row>
    <row r="80" spans="4:28" x14ac:dyDescent="0.35">
      <c r="V80">
        <v>46</v>
      </c>
      <c r="W80">
        <v>14509.267658972181</v>
      </c>
      <c r="X80">
        <v>12586.714580907386</v>
      </c>
      <c r="Y80">
        <v>13986.304898797694</v>
      </c>
      <c r="Z80">
        <v>13207.958832057398</v>
      </c>
      <c r="AA80">
        <v>11871.504977619014</v>
      </c>
      <c r="AB80">
        <v>11528.671911233963</v>
      </c>
    </row>
    <row r="81" spans="22:28" x14ac:dyDescent="0.35">
      <c r="V81">
        <v>46.5</v>
      </c>
      <c r="W81">
        <v>14666.977090047672</v>
      </c>
      <c r="X81">
        <v>12520.394741477068</v>
      </c>
      <c r="Y81">
        <v>14033.122042683974</v>
      </c>
      <c r="Z81">
        <v>13171.955069684285</v>
      </c>
      <c r="AA81">
        <v>11802.336012594531</v>
      </c>
      <c r="AB81">
        <v>11469.996676648463</v>
      </c>
    </row>
    <row r="82" spans="22:28" x14ac:dyDescent="0.35">
      <c r="V82">
        <v>47</v>
      </c>
      <c r="W82">
        <v>14824.686521123163</v>
      </c>
      <c r="X82">
        <v>12445.239038270194</v>
      </c>
      <c r="Y82">
        <v>14063.777310728447</v>
      </c>
      <c r="Z82">
        <v>13121.323117138098</v>
      </c>
      <c r="AA82">
        <v>11731.309571290783</v>
      </c>
      <c r="AB82">
        <v>11411.919453119412</v>
      </c>
    </row>
    <row r="83" spans="22:28" x14ac:dyDescent="0.35">
      <c r="V83">
        <v>47.5</v>
      </c>
      <c r="W83">
        <v>14982.395952199586</v>
      </c>
      <c r="X83">
        <v>12362.591724058071</v>
      </c>
      <c r="Y83">
        <v>14077.260273473605</v>
      </c>
      <c r="Z83">
        <v>13056.817980104941</v>
      </c>
      <c r="AA83">
        <v>11659.468667512647</v>
      </c>
      <c r="AB83">
        <v>11355.081004763882</v>
      </c>
    </row>
    <row r="84" spans="22:28" x14ac:dyDescent="0.35">
      <c r="V84">
        <v>48</v>
      </c>
      <c r="W84">
        <v>15140.105383275077</v>
      </c>
      <c r="X84">
        <v>12273.857193540533</v>
      </c>
      <c r="Y84">
        <v>14072.726940409057</v>
      </c>
      <c r="Z84">
        <v>12979.419845593777</v>
      </c>
      <c r="AA84">
        <v>11587.764726154008</v>
      </c>
      <c r="AB84">
        <v>11300.019735849633</v>
      </c>
    </row>
    <row r="85" spans="22:28" x14ac:dyDescent="0.35">
      <c r="V85">
        <v>48.5</v>
      </c>
      <c r="W85">
        <v>15297.814814350568</v>
      </c>
      <c r="X85">
        <v>12180.467939095743</v>
      </c>
      <c r="Y85">
        <v>14049.542918385821</v>
      </c>
      <c r="Z85">
        <v>12890.317824870108</v>
      </c>
      <c r="AA85">
        <v>11517.047699168947</v>
      </c>
      <c r="AB85">
        <v>11247.174880549323</v>
      </c>
    </row>
    <row r="86" spans="22:28" x14ac:dyDescent="0.35">
      <c r="V86">
        <v>49</v>
      </c>
      <c r="W86">
        <v>15455.52424542699</v>
      </c>
      <c r="X86">
        <v>12083.852665252996</v>
      </c>
      <c r="Y86">
        <v>14007.325594035663</v>
      </c>
      <c r="Z86">
        <v>12790.886750209165</v>
      </c>
      <c r="AA86">
        <v>11448.059638418747</v>
      </c>
      <c r="AB86">
        <v>11196.891522459888</v>
      </c>
    </row>
    <row r="87" spans="22:28" x14ac:dyDescent="0.35">
      <c r="V87">
        <v>49.5</v>
      </c>
      <c r="W87">
        <v>15613.233676502481</v>
      </c>
      <c r="X87">
        <v>11985.405618076098</v>
      </c>
      <c r="Y87">
        <v>13945.983306508855</v>
      </c>
      <c r="Z87">
        <v>12682.657581882291</v>
      </c>
      <c r="AA87">
        <v>11381.431552891187</v>
      </c>
      <c r="AB87">
        <v>11149.427051379047</v>
      </c>
    </row>
    <row r="88" spans="22:28" x14ac:dyDescent="0.35">
      <c r="V88">
        <v>50</v>
      </c>
      <c r="W88">
        <v>15770.943107577972</v>
      </c>
      <c r="X88">
        <v>11886.458114832227</v>
      </c>
      <c r="Y88">
        <v>13865.749250387145</v>
      </c>
      <c r="Z88">
        <v>12567.282301820185</v>
      </c>
      <c r="AA88">
        <v>11317.683289353226</v>
      </c>
      <c r="AB88">
        <v>11104.958680467205</v>
      </c>
    </row>
  </sheetData>
  <mergeCells count="5">
    <mergeCell ref="I1:K1"/>
    <mergeCell ref="A25:C25"/>
    <mergeCell ref="A1:C1"/>
    <mergeCell ref="E1:G1"/>
    <mergeCell ref="V3:W3"/>
  </mergeCells>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215</vt:i4>
      </vt:variant>
    </vt:vector>
  </HeadingPairs>
  <TitlesOfParts>
    <vt:vector size="224" baseType="lpstr">
      <vt:lpstr>Control Panel</vt:lpstr>
      <vt:lpstr>Inputs</vt:lpstr>
      <vt:lpstr>Outputs</vt:lpstr>
      <vt:lpstr>Process Model</vt:lpstr>
      <vt:lpstr>LCA</vt:lpstr>
      <vt:lpstr>TEA</vt:lpstr>
      <vt:lpstr>Sensitivity Analysis</vt:lpstr>
      <vt:lpstr>Conversions Page</vt:lpstr>
      <vt:lpstr>Mat'l &amp; Handl Enrgy</vt:lpstr>
      <vt:lpstr>Acid_Per_ha</vt:lpstr>
      <vt:lpstr>Acre_Ft_Irr_Input</vt:lpstr>
      <vt:lpstr>Acre_Ft_Irr_Inut</vt:lpstr>
      <vt:lpstr>Ammon_DAH_I</vt:lpstr>
      <vt:lpstr>Ammon_EP_I</vt:lpstr>
      <vt:lpstr>Ammon_Sulfate_EP</vt:lpstr>
      <vt:lpstr>Annual_Loan_Payment</vt:lpstr>
      <vt:lpstr>Approx_Gal_Diesel_Per_Acre</vt:lpstr>
      <vt:lpstr>Approx_Stover_Per_ha</vt:lpstr>
      <vt:lpstr>Ash_After_DAH</vt:lpstr>
      <vt:lpstr>Ash_After_EH</vt:lpstr>
      <vt:lpstr>Ash_DAH</vt:lpstr>
      <vt:lpstr>Ash_Ratio</vt:lpstr>
      <vt:lpstr>Avg_km_To_Biorefinery</vt:lpstr>
      <vt:lpstr>Avg_Miles_To_Biorefinery</vt:lpstr>
      <vt:lpstr>Base_Per_ha</vt:lpstr>
      <vt:lpstr>Biomass_Input_To_BP</vt:lpstr>
      <vt:lpstr>Biomass_Input_To_DAH</vt:lpstr>
      <vt:lpstr>Bu_Per_Acre_Yield</vt:lpstr>
      <vt:lpstr>Burnable_BM_kgs</vt:lpstr>
      <vt:lpstr>C_P_H2so4</vt:lpstr>
      <vt:lpstr>C_P_Slurry</vt:lpstr>
      <vt:lpstr>C_P_Stover</vt:lpstr>
      <vt:lpstr>C_P_Stover_</vt:lpstr>
      <vt:lpstr>C_P_Water</vt:lpstr>
      <vt:lpstr>Carbon_in_BM_kg</vt:lpstr>
      <vt:lpstr>Cellulase_Density</vt:lpstr>
      <vt:lpstr>Cellulase_Produced</vt:lpstr>
      <vt:lpstr>Cellulase_Required_For_EH</vt:lpstr>
      <vt:lpstr>Cellulose_After_DAH</vt:lpstr>
      <vt:lpstr>Cellulose_After_EH</vt:lpstr>
      <vt:lpstr>Cellulose_Ratio</vt:lpstr>
      <vt:lpstr>Cellulose_Unconverted</vt:lpstr>
      <vt:lpstr>CO_2_Output_Vent</vt:lpstr>
      <vt:lpstr>CO2_O</vt:lpstr>
      <vt:lpstr>CO2_Reqd_For_BM_kg</vt:lpstr>
      <vt:lpstr>Corn_beer_Input_to_DD</vt:lpstr>
      <vt:lpstr>Corn_Oil_EP_I</vt:lpstr>
      <vt:lpstr>CornBeer_Per_ha_700</vt:lpstr>
      <vt:lpstr>CSL_EP_I</vt:lpstr>
      <vt:lpstr>DAH_Dilution_Water_I</vt:lpstr>
      <vt:lpstr>DAH_Stover_Content</vt:lpstr>
      <vt:lpstr>Diesel_Use_Crop_Input</vt:lpstr>
      <vt:lpstr>Dilution_Water_Added</vt:lpstr>
      <vt:lpstr>EH_Dilution_Water_Input</vt:lpstr>
      <vt:lpstr>Elec_Enz_Prod</vt:lpstr>
      <vt:lpstr>Elec_EP_I</vt:lpstr>
      <vt:lpstr>Elec_Handling_BM_Input</vt:lpstr>
      <vt:lpstr>Elec_Reqd_Comminution</vt:lpstr>
      <vt:lpstr>Elect_DD_I</vt:lpstr>
      <vt:lpstr>Electricity_Per_kg_Cell</vt:lpstr>
      <vt:lpstr>Equity</vt:lpstr>
      <vt:lpstr>Est_Lime_Per_Acre</vt:lpstr>
      <vt:lpstr>Ethanol_Per_kg_BM</vt:lpstr>
      <vt:lpstr>Extract_After_DAH</vt:lpstr>
      <vt:lpstr>Extractives_After_EH</vt:lpstr>
      <vt:lpstr>Extractives_DAH</vt:lpstr>
      <vt:lpstr>Extractives_Ratio</vt:lpstr>
      <vt:lpstr>FCI</vt:lpstr>
      <vt:lpstr>FCI_Restate</vt:lpstr>
      <vt:lpstr>Fertilizer_Use_Input</vt:lpstr>
      <vt:lpstr>Final_Anhydrous_Eth_Mass</vt:lpstr>
      <vt:lpstr>Final_Gal_EtOH</vt:lpstr>
      <vt:lpstr>Final_MJ_Output</vt:lpstr>
      <vt:lpstr>Final_Slurry_temp_ForEH</vt:lpstr>
      <vt:lpstr>Final_Temp</vt:lpstr>
      <vt:lpstr>Fixed_OPEX_Total</vt:lpstr>
      <vt:lpstr>Full_Prod_Rate</vt:lpstr>
      <vt:lpstr>Gal_Diesel_Per_ha</vt:lpstr>
      <vt:lpstr>Gas_Denaturant</vt:lpstr>
      <vt:lpstr>General_Plant_Cost</vt:lpstr>
      <vt:lpstr>Gluc_per_ha</vt:lpstr>
      <vt:lpstr>Glucose_After_DAH</vt:lpstr>
      <vt:lpstr>Glucose_After_EH</vt:lpstr>
      <vt:lpstr>Glucose_DAH</vt:lpstr>
      <vt:lpstr>Glucose_EP_I</vt:lpstr>
      <vt:lpstr>Glucose_Proportion</vt:lpstr>
      <vt:lpstr>Glucose_Reqd_Per_kg_Cellulase</vt:lpstr>
      <vt:lpstr>Glucose_To_Ethanol_Conv</vt:lpstr>
      <vt:lpstr>H2O_Evap_Drying_kg</vt:lpstr>
      <vt:lpstr>H2O_Removed_Distillation_kg</vt:lpstr>
      <vt:lpstr>H2O_Reqd_BM_kg</vt:lpstr>
      <vt:lpstr>ha_Seeded_Lan</vt:lpstr>
      <vt:lpstr>ha_Seeded_Land</vt:lpstr>
      <vt:lpstr>Heat_Energy_DAH_I</vt:lpstr>
      <vt:lpstr>Heat_energy_EH_I</vt:lpstr>
      <vt:lpstr>Heat_Power_DD_I</vt:lpstr>
      <vt:lpstr>Helpful_name</vt:lpstr>
      <vt:lpstr>HemiCell_After_DAH</vt:lpstr>
      <vt:lpstr>HemiCell_After_EH</vt:lpstr>
      <vt:lpstr>Hemicellulose_Ratio</vt:lpstr>
      <vt:lpstr>Hemicellulose_Unconverted</vt:lpstr>
      <vt:lpstr>Hours_Labor_Per_Acre</vt:lpstr>
      <vt:lpstr>Hydr_Per_ha_400</vt:lpstr>
      <vt:lpstr>Hydrolysate</vt:lpstr>
      <vt:lpstr>Hydrolysate_Post_EH</vt:lpstr>
      <vt:lpstr>Inital_Slurry_temp_PostDAH</vt:lpstr>
      <vt:lpstr>Initial_Temp</vt:lpstr>
      <vt:lpstr>Input_Acres</vt:lpstr>
      <vt:lpstr>Input_Hectares</vt:lpstr>
      <vt:lpstr>IRR</vt:lpstr>
      <vt:lpstr>kg_Atrazine_Per_Acre</vt:lpstr>
      <vt:lpstr>kg_Corn_Beer</vt:lpstr>
      <vt:lpstr>kg_eth_to_L_eth</vt:lpstr>
      <vt:lpstr>Kg_Ethanol_Per_ha</vt:lpstr>
      <vt:lpstr>kg_Fertilizer_Per_ha</vt:lpstr>
      <vt:lpstr>kg_Lignin_Per_ha</vt:lpstr>
      <vt:lpstr>kW_Sub_For_200_mat</vt:lpstr>
      <vt:lpstr>kW_Subtotal_300</vt:lpstr>
      <vt:lpstr>kW_Subtotal_400</vt:lpstr>
      <vt:lpstr>kW_Subtotal_700</vt:lpstr>
      <vt:lpstr>kWh_Elec_Per_tonne_stover</vt:lpstr>
      <vt:lpstr>kWh_Per_ha_200</vt:lpstr>
      <vt:lpstr>kWh_per_ha_300</vt:lpstr>
      <vt:lpstr>kWh_Per_ha_400</vt:lpstr>
      <vt:lpstr>kWh_Per_ha_700</vt:lpstr>
      <vt:lpstr>kWh_per_kg_CornBeer_700</vt:lpstr>
      <vt:lpstr>kWh_Per_kg_hydr_400</vt:lpstr>
      <vt:lpstr>kWh_per_kg_phydr_300</vt:lpstr>
      <vt:lpstr>kWh_Per_kgBM_200</vt:lpstr>
      <vt:lpstr>L_eth_Per_kWh_Elec</vt:lpstr>
      <vt:lpstr>L_Fuel_Eth_Prod_O</vt:lpstr>
      <vt:lpstr>Labor_h_Input</vt:lpstr>
      <vt:lpstr>Land_Cap</vt:lpstr>
      <vt:lpstr>Land_Cap_Restate</vt:lpstr>
      <vt:lpstr>Lbs_Fert_Per_Acre</vt:lpstr>
      <vt:lpstr>Lbs_Fertilizer_Per_Acre</vt:lpstr>
      <vt:lpstr>Lignin_After_DAH</vt:lpstr>
      <vt:lpstr>Lignin_After_EH</vt:lpstr>
      <vt:lpstr>Lignin_DAH</vt:lpstr>
      <vt:lpstr>Lignin_O</vt:lpstr>
      <vt:lpstr>Lignin_Per_ha_coprod</vt:lpstr>
      <vt:lpstr>Lignin_Ratio</vt:lpstr>
      <vt:lpstr>Lime_Treat_Input</vt:lpstr>
      <vt:lpstr>Loan_Interest</vt:lpstr>
      <vt:lpstr>Loan_Term</vt:lpstr>
      <vt:lpstr>Mass_Moved_by_BPP</vt:lpstr>
      <vt:lpstr>Mass_Passthrough_DAH</vt:lpstr>
      <vt:lpstr>Mass_Served_300</vt:lpstr>
      <vt:lpstr>Mass_Served_400</vt:lpstr>
      <vt:lpstr>Mass_Served_700</vt:lpstr>
      <vt:lpstr>Mass_Stover_per_ha</vt:lpstr>
      <vt:lpstr>Matl_handl_Size_Red_I</vt:lpstr>
      <vt:lpstr>Matl_Handling_Energy_EH_I</vt:lpstr>
      <vt:lpstr>MESP</vt:lpstr>
      <vt:lpstr>Mg_Sulfate_EP_I</vt:lpstr>
      <vt:lpstr>MJ_DAH_Per_ha</vt:lpstr>
      <vt:lpstr>MJ_Elec_Per_ha</vt:lpstr>
      <vt:lpstr>MJ_Elec_Per_kg_Stover</vt:lpstr>
      <vt:lpstr>MJ_Heat_Per_ha</vt:lpstr>
      <vt:lpstr>MJ_Per_ha_200</vt:lpstr>
      <vt:lpstr>MJ_per_ha_300</vt:lpstr>
      <vt:lpstr>MJ_Per_ha_400</vt:lpstr>
      <vt:lpstr>MJ_per_ha_700</vt:lpstr>
      <vt:lpstr>MJ_Per_ha_EnzymeProd</vt:lpstr>
      <vt:lpstr>MJ_Per_L_Eth_Prod</vt:lpstr>
      <vt:lpstr>Molar_mass_h2so4</vt:lpstr>
      <vt:lpstr>Molar_Mass_nh3</vt:lpstr>
      <vt:lpstr>O_Content_BM_kg</vt:lpstr>
      <vt:lpstr>O2_Emiss_kg</vt:lpstr>
      <vt:lpstr>OPEX</vt:lpstr>
      <vt:lpstr>Per_Gal_Var_OPEX</vt:lpstr>
      <vt:lpstr>Percen_To_Hammer_Mill</vt:lpstr>
      <vt:lpstr>Percent_Acid_By_Weight</vt:lpstr>
      <vt:lpstr>Percent_Conversion_Glucose_EH</vt:lpstr>
      <vt:lpstr>Percent_Stover_Harvested</vt:lpstr>
      <vt:lpstr>pHydrol_per_ha_300</vt:lpstr>
      <vt:lpstr>Potass_Phosph_EP_I</vt:lpstr>
      <vt:lpstr>PreHydrolysate_Post_DAH</vt:lpstr>
      <vt:lpstr>PreHydrolysate_Slurry</vt:lpstr>
      <vt:lpstr>Q_Required_Cooling_EH</vt:lpstr>
      <vt:lpstr>Ratio_Cellulase_To_Cellulose</vt:lpstr>
      <vt:lpstr>Ratio_Water_To_Prehydrolysate</vt:lpstr>
      <vt:lpstr>Ratio_Water_To_Stover</vt:lpstr>
      <vt:lpstr>Scaled_General_Plant</vt:lpstr>
      <vt:lpstr>Scaled_Steam_Plant</vt:lpstr>
      <vt:lpstr>Seeds_Per_Acre</vt:lpstr>
      <vt:lpstr>Seeds_Per_Acre_Input</vt:lpstr>
      <vt:lpstr>Seeds_Per_ha</vt:lpstr>
      <vt:lpstr>Size_Red_Elect_Input</vt:lpstr>
      <vt:lpstr>Size_Reduced_Biomass</vt:lpstr>
      <vt:lpstr>SO2_EP_I</vt:lpstr>
      <vt:lpstr>Start_Up_Time</vt:lpstr>
      <vt:lpstr>StartUp_Percentage</vt:lpstr>
      <vt:lpstr>Steam_Plant_Cost</vt:lpstr>
      <vt:lpstr>Stover_Biomass_From_Agr</vt:lpstr>
      <vt:lpstr>Stover_Delivered_To_BP</vt:lpstr>
      <vt:lpstr>Stover_Fermentation_Input</vt:lpstr>
      <vt:lpstr>Stover_Post_EH</vt:lpstr>
      <vt:lpstr>Stover_PostDAH</vt:lpstr>
      <vt:lpstr>Sulf_Acid_DAH_I</vt:lpstr>
      <vt:lpstr>Tax_Rate</vt:lpstr>
      <vt:lpstr>Tonne_Cap_Trucks</vt:lpstr>
      <vt:lpstr>Total_Cellulase_Required</vt:lpstr>
      <vt:lpstr>Total_Gal_EtOH</vt:lpstr>
      <vt:lpstr>Total_Mass_In_Ag</vt:lpstr>
      <vt:lpstr>Total_Mass_Out_Ag</vt:lpstr>
      <vt:lpstr>Total_wet_BM_kg</vt:lpstr>
      <vt:lpstr>Trucks_Reqd</vt:lpstr>
      <vt:lpstr>Unconverted_Cellulose</vt:lpstr>
      <vt:lpstr>Upgrd_Elec_Power_In</vt:lpstr>
      <vt:lpstr>Upgrd_Heat_Power_In</vt:lpstr>
      <vt:lpstr>Variable_OPEX_Total</vt:lpstr>
      <vt:lpstr>Waste_Water_DAH</vt:lpstr>
      <vt:lpstr>Water_O</vt:lpstr>
      <vt:lpstr>Working_Cap</vt:lpstr>
      <vt:lpstr>Working_Cap_Restate</vt:lpstr>
      <vt:lpstr>Xylose_After_DAH</vt:lpstr>
      <vt:lpstr>Xylose_After_EH</vt:lpstr>
      <vt:lpstr>Xylose_DAH</vt:lpstr>
      <vt:lpstr>Xylose_Proportion</vt:lpstr>
      <vt:lpstr>Xylose_To_Ethanol_Conv</vt:lpstr>
      <vt:lpstr>Year_0_Work</vt:lpstr>
      <vt:lpstr>Year_Minus_1_Work</vt:lpstr>
      <vt:lpstr>Year_Minus_2_Work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Jacks074</dc:creator>
  <cp:lastModifiedBy>Jordan Kern</cp:lastModifiedBy>
  <dcterms:created xsi:type="dcterms:W3CDTF">2020-06-26T20:15:52Z</dcterms:created>
  <dcterms:modified xsi:type="dcterms:W3CDTF">2020-09-30T04:26:16Z</dcterms:modified>
</cp:coreProperties>
</file>