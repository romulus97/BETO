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comments6.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01" codeName="{662AC1DA-710E-409A-AF98-282AFDE22985}"/>
  <workbookPr codeName="ThisWorkbook" hidePivotFieldList="1"/>
  <mc:AlternateContent xmlns:mc="http://schemas.openxmlformats.org/markup-compatibility/2006">
    <mc:Choice Requires="x15">
      <x15ac:absPath xmlns:x15ac="http://schemas.microsoft.com/office/spreadsheetml/2010/11/ac" url="C:\Users\Jacks074\Documents\ABM\CloudStation\Process Model Drafts\Cellulosic Ethanol PM\"/>
    </mc:Choice>
  </mc:AlternateContent>
  <xr:revisionPtr revIDLastSave="0" documentId="13_ncr:1_{2028DCBA-6DF6-410F-8638-FF23B25CA0F7}" xr6:coauthVersionLast="45" xr6:coauthVersionMax="45" xr10:uidLastSave="{00000000-0000-0000-0000-000000000000}"/>
  <bookViews>
    <workbookView xWindow="-108" yWindow="-108" windowWidth="23256" windowHeight="12576" activeTab="3" xr2:uid="{00000000-000D-0000-FFFF-FFFF00000000}"/>
  </bookViews>
  <sheets>
    <sheet name="Control Panel" sheetId="4" r:id="rId1"/>
    <sheet name="Inputs" sheetId="2" r:id="rId2"/>
    <sheet name="Outputs" sheetId="3" r:id="rId3"/>
    <sheet name="Process Model" sheetId="1" r:id="rId4"/>
    <sheet name="LCA" sheetId="9" r:id="rId5"/>
    <sheet name="TEA" sheetId="8" r:id="rId6"/>
    <sheet name="Conversions Page" sheetId="5" r:id="rId7"/>
    <sheet name="Mat'l &amp; Handl Enrgy" sheetId="6" r:id="rId8"/>
  </sheets>
  <externalReferences>
    <externalReference r:id="rId9"/>
  </externalReferences>
  <definedNames>
    <definedName name="Acid_Per_ha">'Process Model'!$H$23</definedName>
    <definedName name="Acre_Ft_Irr_Input">Inputs!$K$23</definedName>
    <definedName name="Acre_Ft_Irr_Inut">Inputs!$K$23</definedName>
    <definedName name="Ammon_DAH_I">Inputs!$A$22</definedName>
    <definedName name="Ammon_EP_I">Inputs!$A$25</definedName>
    <definedName name="Ammon_Sulfate_EP">Inputs!$A$29</definedName>
    <definedName name="Annual_Loan_Payment">TEA!$D$107</definedName>
    <definedName name="Approx_Gal_Diesel_Per_Acre">'Process Model'!$C$90</definedName>
    <definedName name="Approx_Stover_Per_ha">'Process Model'!$C$128</definedName>
    <definedName name="Ash_After_DAH">'Process Model'!$H$91</definedName>
    <definedName name="Ash_After_EH">'Process Model'!$H$102</definedName>
    <definedName name="Ash_DAH">'Process Model'!$H$59</definedName>
    <definedName name="Ash_Ratio">'Process Model'!$H$46</definedName>
    <definedName name="Avg_Dist_Bioprocc_Plant_Input">Inputs!#REF!</definedName>
    <definedName name="Avg_km_To_Biorefinery">'Process Model'!$C$147</definedName>
    <definedName name="Avg_Miles_To_Biorefinery">'Process Model'!$C$146</definedName>
    <definedName name="Base_Per_ha">'Process Model'!$H$24</definedName>
    <definedName name="Biomass_Input_To_BP">'Process Model'!$H$4</definedName>
    <definedName name="Biomass_Input_To_DAH">'Process Model'!$H$21</definedName>
    <definedName name="Bu_Per_Acre_Yield">'Process Model'!$C$8</definedName>
    <definedName name="Burnable_BM_kgs">'Process Model'!$M$17</definedName>
    <definedName name="C_P_H2so4">'Process Model'!$H$36</definedName>
    <definedName name="C_P_Slurry">'Process Model'!$H$35</definedName>
    <definedName name="C_P_Stover">'Process Model'!$H$35</definedName>
    <definedName name="C_P_Stover_">'Process Model'!$H$35</definedName>
    <definedName name="C_P_Water">'Process Model'!$H$34</definedName>
    <definedName name="Carbon_in_BM_kg">'Process Model'!$C$121</definedName>
    <definedName name="Cellulase_Density">'Process Model'!$H$137</definedName>
    <definedName name="Cellulase_Enzyme_EH_I">Inputs!#REF!</definedName>
    <definedName name="Cellulase_Produced">'Process Model'!$H$141</definedName>
    <definedName name="Cellulase_Required_For_EH">'Process Model'!$H$73</definedName>
    <definedName name="Cellulose_After_DAH">'Process Model'!$H$86</definedName>
    <definedName name="Cellulose_After_EH">'Process Model'!$H$97</definedName>
    <definedName name="Cellulose_Ratio">'Process Model'!$H$42</definedName>
    <definedName name="Cellulose_Unconverted">'Process Model'!$H$54</definedName>
    <definedName name="CO_2_Output_Vent">'Process Model'!$M$18</definedName>
    <definedName name="CO2_O">Outputs!$J$16</definedName>
    <definedName name="CO2_Reqd_For_BM_kg">'Process Model'!$C$122</definedName>
    <definedName name="Conv_Cell_Gluc_DAH_I">Inputs!#REF!</definedName>
    <definedName name="Conv_Hemi_to_Xylose_DAH_I">Inputs!#REF!</definedName>
    <definedName name="Conv_Total_Mass_DAH_I">Inputs!#REF!</definedName>
    <definedName name="Corn_beer_Input_to_DD">'Process Model'!$M$3</definedName>
    <definedName name="Corn_Oil_EP_I">Inputs!$A$28</definedName>
    <definedName name="Corn_Stover_Tield_From_Harvest_Input">Inputs!#REF!</definedName>
    <definedName name="Corn_Yield_Input">Inputs!#REF!</definedName>
    <definedName name="CornBeer_Per_ha_700">'Mat''l &amp; Handl Enrgy'!$B$43</definedName>
    <definedName name="CSL_EP_I">Inputs!$A$27</definedName>
    <definedName name="DAH_Dilution_Water_I">Inputs!$A$20</definedName>
    <definedName name="DAH_Stover_Content">'Process Model'!$H$62</definedName>
    <definedName name="DDG_Prod_O">Outputs!#REF!</definedName>
    <definedName name="Diesel_Use_Crop_Input">Inputs!$F$5</definedName>
    <definedName name="Dilution_Water_Added">'Process Model'!$H$22</definedName>
    <definedName name="EH_Dilution_Water_Input">Inputs!$A$23</definedName>
    <definedName name="Elec_Enz_Prod">'Process Model'!$H$110</definedName>
    <definedName name="Elec_EP_I">Inputs!$F$26</definedName>
    <definedName name="Elec_Handling_BM_Input">'Process Model'!$H$5</definedName>
    <definedName name="Elec_Reqd_Comminution">'Process Model'!$H$6</definedName>
    <definedName name="Elect_DD_I">Inputs!$F$41</definedName>
    <definedName name="Electricity_Per_kg_Cell">'Process Model'!$H$124</definedName>
    <definedName name="Equity">TEA!$D$104</definedName>
    <definedName name="Est_Lime_Per_Acre">'Process Model'!$C$62</definedName>
    <definedName name="Ethanol_Per_kg_BM">'Process Model'!$H$159</definedName>
    <definedName name="Extract_After_DAH">'Process Model'!$H$90</definedName>
    <definedName name="Extractives_After_EH">'Process Model'!$H$101</definedName>
    <definedName name="Extractives_DAH">'Process Model'!$H$58</definedName>
    <definedName name="Extractives_Ratio">'Process Model'!$H$45</definedName>
    <definedName name="FCI">TEA!$I$94</definedName>
    <definedName name="FCI_Restate">TEA!$I$99</definedName>
    <definedName name="Fertilizer_Use_Input">Inputs!$A$14</definedName>
    <definedName name="Final_Anhydrous_Eth_Mass">'Process Model'!$M$19</definedName>
    <definedName name="Final_Gal_EtOH">'Process Model'!$R$4</definedName>
    <definedName name="Final_Slurry_temp_ForEH">'Process Model'!$H$81</definedName>
    <definedName name="Final_Temp">'Process Model'!$H$37</definedName>
    <definedName name="Fixed_OPEX_Total">TEA!$I$93</definedName>
    <definedName name="Full_Prod_Rate">TEA!$D$112</definedName>
    <definedName name="Gal_Diesel_Per_ha">'Process Model'!$C$91</definedName>
    <definedName name="Gal_Water_Per_Acre">'Process Model'!#REF!</definedName>
    <definedName name="Gal_Water_Per_ha">'Process Model'!#REF!</definedName>
    <definedName name="Gas_Denaturant">'Process Model'!$M$6</definedName>
    <definedName name="General_Plant_Cost">TEA!$E$74</definedName>
    <definedName name="Gluc_per_ha">'Process Model'!$H$127</definedName>
    <definedName name="Gluc_to_Eth_Yield_I">Inputs!#REF!</definedName>
    <definedName name="Glucose_After_DAH">'Process Model'!$H$85</definedName>
    <definedName name="Glucose_After_EH">'Process Model'!$H$96</definedName>
    <definedName name="Glucose_DAH">'Process Model'!$H$53</definedName>
    <definedName name="Glucose_EP_I">Inputs!$A$24</definedName>
    <definedName name="Glucose_Proportion">'Process Model'!$H$157</definedName>
    <definedName name="Glucose_Reqd_Per_kg_Cellulase">'Process Model'!$H$126</definedName>
    <definedName name="Glucose_To_Ethanol_Conv">'Process Model'!$H$153</definedName>
    <definedName name="H2O_Evap_Drying_kg">'Process Model'!$C$123</definedName>
    <definedName name="H2O_Removed_Distillation_kg">'Process Model'!$M$16</definedName>
    <definedName name="H2O_Reqd_BM_kg">'Process Model'!$C$126</definedName>
    <definedName name="ha_Seeded_Lan">'Process Model'!$C$14</definedName>
    <definedName name="ha_Seeded_Land">'Process Model'!$C$14</definedName>
    <definedName name="Heat_Energy_DAH_I">Inputs!$F$22</definedName>
    <definedName name="Heat_energy_EH_I">Inputs!$F$24</definedName>
    <definedName name="Heat_Power_DD_I">Inputs!$F$42</definedName>
    <definedName name="Helpful_name">'Process Model'!$E$7</definedName>
    <definedName name="HemiCell_After_DAH">'Process Model'!$H$88</definedName>
    <definedName name="HemiCell_After_EH">'Process Model'!$H$99</definedName>
    <definedName name="Hemicellulose_Ratio">'Process Model'!$H$43</definedName>
    <definedName name="Hemicellulose_Unconverted">'Process Model'!$H$56</definedName>
    <definedName name="Hours_Labor_Per_Acre">'Process Model'!$C$88</definedName>
    <definedName name="Hydr_Per_ha_400">'Mat''l &amp; Handl Enrgy'!$J$19</definedName>
    <definedName name="Hydrolysate">'Process Model'!$H$146</definedName>
    <definedName name="Hydrolysate_Post_EH">'Process Model'!$H$106</definedName>
    <definedName name="In_Water_Per_ha">'Process Model'!#REF!</definedName>
    <definedName name="Inital_Slurry_temp_PostDAH">'Process Model'!$H$80</definedName>
    <definedName name="Initial_Temp">'Process Model'!$H$38</definedName>
    <definedName name="Input_Acres">'Process Model'!$C$5</definedName>
    <definedName name="Input_Hectares">'Process Model'!$C$4</definedName>
    <definedName name="IRR">TEA!$G$104</definedName>
    <definedName name="kg_Atrazine_Per_Acre">'Process Model'!$C$75</definedName>
    <definedName name="kg_CO2_Vent_By_Dist">'Process Model'!#REF!</definedName>
    <definedName name="kg_Corn_Beer">'Process Model'!$H$163</definedName>
    <definedName name="kg_DDG_From_Dist">'Process Model'!#REF!</definedName>
    <definedName name="kg_eth_to_L_eth">'Conversions Page'!$D$4</definedName>
    <definedName name="Kg_Ethanol_Per_ha">'Process Model'!$H$162</definedName>
    <definedName name="kg_Fertilizer_Per_ha">'Process Model'!$C$76</definedName>
    <definedName name="kg_Lignin_Per_ha">'Process Model'!$M$13</definedName>
    <definedName name="kg_Water_Dist">'Process Model'!#REF!</definedName>
    <definedName name="kW_Sub_For_200_mat">'Mat''l &amp; Handl Enrgy'!$B$17</definedName>
    <definedName name="kW_Subtotal_300">'Mat''l &amp; Handl Enrgy'!$F$17</definedName>
    <definedName name="kW_Subtotal_400">'Mat''l &amp; Handl Enrgy'!$J$17</definedName>
    <definedName name="kW_Subtotal_700">'Mat''l &amp; Handl Enrgy'!$B$41</definedName>
    <definedName name="kWh_Elec_Per_tonne_stover">'Process Model'!$H$9</definedName>
    <definedName name="kWh_Per_ha_200">'Mat''l &amp; Handl Enrgy'!$B$21</definedName>
    <definedName name="kWh_per_ha_300">'Mat''l &amp; Handl Enrgy'!$F$21</definedName>
    <definedName name="kWh_Per_ha_400">'Mat''l &amp; Handl Enrgy'!$J$21</definedName>
    <definedName name="kWh_Per_ha_700">'Mat''l &amp; Handl Enrgy'!$B$45</definedName>
    <definedName name="kWh_per_kg_CornBeer_700">'Mat''l &amp; Handl Enrgy'!$B$44</definedName>
    <definedName name="kWh_Per_kg_hydr_400">'Mat''l &amp; Handl Enrgy'!$J$20</definedName>
    <definedName name="kWh_per_kg_phydr_300">'Mat''l &amp; Handl Enrgy'!$F$20</definedName>
    <definedName name="kWh_Per_kgBM_200">'Mat''l &amp; Handl Enrgy'!$B$20</definedName>
    <definedName name="L_eth_Per_kWh_Elec">'Process Model'!$M$9</definedName>
    <definedName name="L_Fuel_Eth_Prod_O">Outputs!$J$14</definedName>
    <definedName name="Labor_h_Input">Inputs!$F$7</definedName>
    <definedName name="Land_Cap">TEA!$I$95</definedName>
    <definedName name="Land_Cap_Restate">TEA!$I$102</definedName>
    <definedName name="Lbs_Fert_Per_Acre">'Process Model'!$C$74</definedName>
    <definedName name="Lbs_Fertilizer_Per_Acre">'Process Model'!$C$74</definedName>
    <definedName name="Lignin_After_DAH">'Process Model'!$H$89</definedName>
    <definedName name="Lignin_After_EH">'Process Model'!$H$100</definedName>
    <definedName name="Lignin_DAH">'Process Model'!$H$57</definedName>
    <definedName name="Lignin_O">Outputs!$J$17</definedName>
    <definedName name="Lignin_Per_ha_coprod">'Process Model'!$M$17</definedName>
    <definedName name="Lignin_Ratio">'Process Model'!$H$44</definedName>
    <definedName name="Lime_Treat_Input">Inputs!$A$13</definedName>
    <definedName name="Loan_Interest">TEA!$D$105</definedName>
    <definedName name="Loan_Term">TEA!$D$106</definedName>
    <definedName name="Mass_Moved_by_BPP">'Mat''l &amp; Handl Enrgy'!$B$18</definedName>
    <definedName name="Mass_Passthrough_DAH">'Process Model'!$H$50</definedName>
    <definedName name="Mass_Served_300">'Mat''l &amp; Handl Enrgy'!$F$18</definedName>
    <definedName name="Mass_Served_400">'Mat''l &amp; Handl Enrgy'!$J$18</definedName>
    <definedName name="Mass_Served_700">'Mat''l &amp; Handl Enrgy'!$B$42</definedName>
    <definedName name="Mass_Stover_per_ha">'Mat''l &amp; Handl Enrgy'!$B$19</definedName>
    <definedName name="Matl_handl_Size_Red_I">Inputs!$F$21</definedName>
    <definedName name="Matl_Handling_Energy_EH_I">Inputs!$F$25</definedName>
    <definedName name="MESP">TEA!$H$115</definedName>
    <definedName name="Met_Ferm_Yield_I">Inputs!#REF!</definedName>
    <definedName name="Mg_Sulfate_EP_I">Inputs!$A$31</definedName>
    <definedName name="MJ_DAH_Per_ha">'Process Model'!$H$39</definedName>
    <definedName name="MJ_Elec_Per_ha">'Process Model'!$M$11</definedName>
    <definedName name="MJ_Elec_Per_kg_Stover">'Process Model'!$H$10</definedName>
    <definedName name="MJ_Heat_Per_ha">'Process Model'!$M$12</definedName>
    <definedName name="MJ_Per_ha_200">'Mat''l &amp; Handl Enrgy'!$B$22</definedName>
    <definedName name="MJ_per_ha_300">'Mat''l &amp; Handl Enrgy'!$F$22</definedName>
    <definedName name="MJ_Per_ha_400">'Mat''l &amp; Handl Enrgy'!$J$22</definedName>
    <definedName name="MJ_per_ha_700">'Mat''l &amp; Handl Enrgy'!$B$46</definedName>
    <definedName name="MJ_Per_ha_EnzymeProd">'Process Model'!$H$125</definedName>
    <definedName name="MJ_Per_L_Eth_Prod">'Process Model'!$M$10</definedName>
    <definedName name="Molar_mass_h2so4">'Process Model'!$H$31</definedName>
    <definedName name="Molar_Mass_nh3">'Process Model'!$H$32</definedName>
    <definedName name="Nit_Fert_Input">Inputs!#REF!</definedName>
    <definedName name="O_Content_BM_kg">'Process Model'!$C$125</definedName>
    <definedName name="O2_Emiss_kg">'Process Model'!$C$124</definedName>
    <definedName name="OPEX">TEA!$I$98</definedName>
    <definedName name="Per_Gal_Var_OPEX">TEA!$I$91</definedName>
    <definedName name="Perc_Stover_Pass_Input">Inputs!#REF!</definedName>
    <definedName name="Percen_To_Hammer_Mill">'Process Model'!$H$11</definedName>
    <definedName name="Percent_Acid_By_Weight">'Process Model'!$H$30</definedName>
    <definedName name="Percent_Conversion_Glucose_EH">'Process Model'!$H$93</definedName>
    <definedName name="Percent_Stover_Harvested">'Process Model'!$C$127</definedName>
    <definedName name="Phosp_Fert_Input">Inputs!#REF!</definedName>
    <definedName name="pHydrol_per_ha_300">'Mat''l &amp; Handl Enrgy'!$F$19</definedName>
    <definedName name="Potash_Fert_Input">Inputs!#REF!</definedName>
    <definedName name="Potass_Phosph_EP_I">Inputs!$A$30</definedName>
    <definedName name="PreHydrolysate_Post_DAH">'Process Model'!$H$62</definedName>
    <definedName name="PreHydrolysate_Slurry">'Process Model'!$H$63</definedName>
    <definedName name="Q_Required_Cooling_EH">'Process Model'!$H$82</definedName>
    <definedName name="Q_Required_DAH">'Process Model'!#REF!</definedName>
    <definedName name="Ratio_Cellulase_To_Cellulose">'Process Model'!$H$79</definedName>
    <definedName name="Ratio_Water_To_Prehydrolysate">'Process Model'!$H$78</definedName>
    <definedName name="Ratio_Water_To_Stover">'Process Model'!$H$29</definedName>
    <definedName name="Scaled_General_Plant">TEA!$I$101</definedName>
    <definedName name="Scaled_Steam_Plant">TEA!$I$100</definedName>
    <definedName name="Seeds_Per_Acre">'Process Model'!$C$9</definedName>
    <definedName name="Seeds_Per_Acre_Input">Inputs!$A$5</definedName>
    <definedName name="Seeds_Per_ha">'Process Model'!$C$10</definedName>
    <definedName name="Size_Red_Elect_Input">Inputs!$F$20</definedName>
    <definedName name="Size_Reduced_Biomass">'Process Model'!$H$14</definedName>
    <definedName name="SO2_EP_I">Inputs!$A$26</definedName>
    <definedName name="Start_Up_Time">TEA!$D$110</definedName>
    <definedName name="StartUp_Percentage">TEA!$D$111</definedName>
    <definedName name="Steam_Plant_Cost">TEA!$E$75</definedName>
    <definedName name="Stover_Biomass_From_Agr">'Process Model'!$C$131</definedName>
    <definedName name="Stover_Delivered_To_BP">'Process Model'!$C$152</definedName>
    <definedName name="Stover_Fermentation_Input">'Process Model'!$H$147</definedName>
    <definedName name="Stover_Post_EH">'Process Model'!$H$105</definedName>
    <definedName name="Stover_PostDAH">'Process Model'!$H$70</definedName>
    <definedName name="Sulf_Acid_DAH_I">Inputs!$A$21</definedName>
    <definedName name="Tax_Rate">TEA!$G$105</definedName>
    <definedName name="Tonne_Cap_Trucks">'Process Model'!$C$148</definedName>
    <definedName name="Total_Cellulase_Required">'Process Model'!$H$123</definedName>
    <definedName name="Total_Gal_EtOH">TEA!$I$90</definedName>
    <definedName name="Total_irr_kg">'Process Model'!#REF!</definedName>
    <definedName name="Total_Mass_In_Ag">Inputs!$A$18</definedName>
    <definedName name="Total_Mass_Out_Ag">Outputs!$A$14</definedName>
    <definedName name="Total_wet_BM_kg">'Process Model'!$C$120</definedName>
    <definedName name="Truck_Cap_Input">Inputs!#REF!</definedName>
    <definedName name="Trucks_Reqd">'Process Model'!$C$143</definedName>
    <definedName name="Unconverted_Cellulose">'Process Model'!$H$54</definedName>
    <definedName name="Upgrd_Elec_Power_In">'Process Model'!$M$4</definedName>
    <definedName name="Upgrd_Heat_Power_In">'Process Model'!$M$5</definedName>
    <definedName name="Variable_OPEX_Total">TEA!$I$92</definedName>
    <definedName name="Wash_Water_EH_I">Inputs!#REF!</definedName>
    <definedName name="Waste_Water_DAH">'Process Model'!$H$64</definedName>
    <definedName name="Water_O">Outputs!$J$15</definedName>
    <definedName name="Working_Cap">TEA!$I$96</definedName>
    <definedName name="Working_Cap_Restate">TEA!$I$103</definedName>
    <definedName name="Xylose_After_DAH">'Process Model'!$H$87</definedName>
    <definedName name="Xylose_After_EH">'Process Model'!$H$98</definedName>
    <definedName name="Xylose_DAH">'Process Model'!$H$55</definedName>
    <definedName name="Xylose_Proportion">'Process Model'!$H$158</definedName>
    <definedName name="Xylose_to_Eth_Yield_I">Inputs!#REF!</definedName>
    <definedName name="Xylose_To_Ethanol_Conv">'Process Model'!$H$154</definedName>
    <definedName name="Year_0_Work">TEA!$G$112</definedName>
    <definedName name="Year_Minus_1_Work">TEA!$G$111</definedName>
    <definedName name="Year_Minus_2_Work">TEA!$G$110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43" i="9" l="1"/>
  <c r="K14" i="2" l="1"/>
  <c r="M19" i="1" l="1"/>
  <c r="M6" i="1"/>
  <c r="M11" i="4" l="1"/>
  <c r="K25" i="2"/>
  <c r="A8" i="2"/>
  <c r="A7" i="2"/>
  <c r="A6" i="2"/>
  <c r="A5" i="2"/>
  <c r="F90" i="8"/>
  <c r="J115" i="8" l="1"/>
  <c r="F92" i="8"/>
  <c r="H111" i="1"/>
  <c r="J52" i="8"/>
  <c r="K52" i="8" s="1"/>
  <c r="J51" i="8"/>
  <c r="D93" i="8"/>
  <c r="I93" i="8" s="1"/>
  <c r="E74" i="8"/>
  <c r="F96" i="8"/>
  <c r="F94" i="8"/>
  <c r="I100" i="8" s="1"/>
  <c r="I67" i="8"/>
  <c r="K131" i="8"/>
  <c r="L131" i="8"/>
  <c r="M131" i="8"/>
  <c r="N131" i="8"/>
  <c r="O131" i="8"/>
  <c r="P131" i="8"/>
  <c r="Q131" i="8"/>
  <c r="R131" i="8"/>
  <c r="S131" i="8"/>
  <c r="T131" i="8"/>
  <c r="U131" i="8"/>
  <c r="V131" i="8"/>
  <c r="W131" i="8"/>
  <c r="X131" i="8"/>
  <c r="Y131" i="8"/>
  <c r="Z131" i="8"/>
  <c r="AA131" i="8"/>
  <c r="AB131" i="8"/>
  <c r="AC131" i="8"/>
  <c r="AD131" i="8"/>
  <c r="AE131" i="8"/>
  <c r="AF131" i="8"/>
  <c r="AG131" i="8"/>
  <c r="AH131" i="8"/>
  <c r="AI131" i="8"/>
  <c r="AJ131" i="8"/>
  <c r="AK131" i="8"/>
  <c r="AL131" i="8"/>
  <c r="J131" i="8"/>
  <c r="I131" i="8"/>
  <c r="F95" i="8"/>
  <c r="I141" i="8" l="1"/>
  <c r="AD141" i="8"/>
  <c r="M141" i="8"/>
  <c r="Q141" i="8"/>
  <c r="U141" i="8"/>
  <c r="Y141" i="8"/>
  <c r="AC141" i="8"/>
  <c r="J141" i="8"/>
  <c r="N141" i="8"/>
  <c r="R141" i="8"/>
  <c r="V141" i="8"/>
  <c r="Z141" i="8"/>
  <c r="K141" i="8"/>
  <c r="O141" i="8"/>
  <c r="S141" i="8"/>
  <c r="W141" i="8"/>
  <c r="AA141" i="8"/>
  <c r="L141" i="8"/>
  <c r="P141" i="8"/>
  <c r="T141" i="8"/>
  <c r="X141" i="8"/>
  <c r="AB141" i="8"/>
  <c r="F14" i="3" l="1"/>
  <c r="F20" i="3"/>
  <c r="B34" i="8"/>
  <c r="H114" i="1"/>
  <c r="H120" i="1"/>
  <c r="H119" i="1"/>
  <c r="H118" i="1"/>
  <c r="H117" i="1"/>
  <c r="H116" i="1"/>
  <c r="H115" i="1"/>
  <c r="H113" i="1"/>
  <c r="H12" i="8"/>
  <c r="C17" i="8"/>
  <c r="C146" i="1"/>
  <c r="Q4" i="6"/>
  <c r="R4" i="6" s="1"/>
  <c r="S4" i="6" s="1"/>
  <c r="S5" i="6" s="1"/>
  <c r="T15" i="6"/>
  <c r="T13" i="6"/>
  <c r="T12" i="6"/>
  <c r="T11" i="6"/>
  <c r="BT11" i="6"/>
  <c r="BU11" i="6"/>
  <c r="BV11" i="6"/>
  <c r="BW11" i="6"/>
  <c r="BX11" i="6"/>
  <c r="BY11" i="6"/>
  <c r="BZ11" i="6"/>
  <c r="CA11" i="6"/>
  <c r="CB11" i="6"/>
  <c r="CC11" i="6"/>
  <c r="CD11" i="6"/>
  <c r="CE11" i="6"/>
  <c r="CF11" i="6"/>
  <c r="CG11" i="6"/>
  <c r="CH11" i="6"/>
  <c r="CI11" i="6"/>
  <c r="CJ11" i="6"/>
  <c r="CK11" i="6"/>
  <c r="CL11" i="6"/>
  <c r="CM11" i="6"/>
  <c r="CN11" i="6"/>
  <c r="CO11" i="6"/>
  <c r="CP11" i="6"/>
  <c r="CQ11" i="6"/>
  <c r="CR11" i="6"/>
  <c r="CS11" i="6"/>
  <c r="CT11" i="6"/>
  <c r="CU11" i="6"/>
  <c r="CV11" i="6"/>
  <c r="CW11" i="6"/>
  <c r="CX11" i="6"/>
  <c r="CY11" i="6"/>
  <c r="CZ11" i="6"/>
  <c r="DA11" i="6"/>
  <c r="DB11" i="6"/>
  <c r="DC11" i="6"/>
  <c r="DD11" i="6"/>
  <c r="DE11" i="6"/>
  <c r="DF11" i="6"/>
  <c r="DG11" i="6"/>
  <c r="DH11" i="6"/>
  <c r="DI11" i="6"/>
  <c r="DJ11" i="6"/>
  <c r="DK11" i="6"/>
  <c r="DL11" i="6"/>
  <c r="DM11" i="6"/>
  <c r="DN11" i="6"/>
  <c r="DO11" i="6"/>
  <c r="DP11" i="6"/>
  <c r="DQ11" i="6"/>
  <c r="DR11" i="6"/>
  <c r="DS11" i="6"/>
  <c r="DT11" i="6"/>
  <c r="DU11" i="6"/>
  <c r="DV11" i="6"/>
  <c r="DW11" i="6"/>
  <c r="DX11" i="6"/>
  <c r="DY11" i="6"/>
  <c r="DZ11" i="6"/>
  <c r="EA11" i="6"/>
  <c r="EB11" i="6"/>
  <c r="EC11" i="6"/>
  <c r="ED11" i="6"/>
  <c r="EE11" i="6"/>
  <c r="EF11" i="6"/>
  <c r="EG11" i="6"/>
  <c r="EH11" i="6"/>
  <c r="EI11" i="6"/>
  <c r="EJ11" i="6"/>
  <c r="EK11" i="6"/>
  <c r="EL11" i="6"/>
  <c r="EM11" i="6"/>
  <c r="EN11" i="6"/>
  <c r="EO11" i="6"/>
  <c r="EP11" i="6"/>
  <c r="EQ11" i="6"/>
  <c r="ER11" i="6"/>
  <c r="ES11" i="6"/>
  <c r="ET11" i="6"/>
  <c r="EU11" i="6"/>
  <c r="EV11" i="6"/>
  <c r="EW11" i="6"/>
  <c r="EX11" i="6"/>
  <c r="EY11" i="6"/>
  <c r="EZ11" i="6"/>
  <c r="FA11" i="6"/>
  <c r="FB11" i="6"/>
  <c r="FC11" i="6"/>
  <c r="FD11" i="6"/>
  <c r="FE11" i="6"/>
  <c r="FF11" i="6"/>
  <c r="FG11" i="6"/>
  <c r="FG12" i="6" s="1"/>
  <c r="FG13" i="6" s="1"/>
  <c r="FH11" i="6"/>
  <c r="FI11" i="6"/>
  <c r="FJ11" i="6"/>
  <c r="FK11" i="6"/>
  <c r="FK12" i="6" s="1"/>
  <c r="FK13" i="6" s="1"/>
  <c r="FL11" i="6"/>
  <c r="FM11" i="6"/>
  <c r="FN11" i="6"/>
  <c r="FO11" i="6"/>
  <c r="FO12" i="6" s="1"/>
  <c r="FO13" i="6" s="1"/>
  <c r="FP11" i="6"/>
  <c r="FQ11" i="6"/>
  <c r="FR11" i="6"/>
  <c r="FS11" i="6"/>
  <c r="FS12" i="6" s="1"/>
  <c r="FS13" i="6" s="1"/>
  <c r="FT11" i="6"/>
  <c r="FU11" i="6"/>
  <c r="FV11" i="6"/>
  <c r="FW11" i="6"/>
  <c r="FW12" i="6" s="1"/>
  <c r="FW13" i="6" s="1"/>
  <c r="FX11" i="6"/>
  <c r="FY11" i="6"/>
  <c r="FZ11" i="6"/>
  <c r="GA11" i="6"/>
  <c r="GA12" i="6" s="1"/>
  <c r="GA13" i="6" s="1"/>
  <c r="GB11" i="6"/>
  <c r="GC11" i="6"/>
  <c r="GD11" i="6"/>
  <c r="GE11" i="6"/>
  <c r="GE12" i="6" s="1"/>
  <c r="GE13" i="6" s="1"/>
  <c r="GF11" i="6"/>
  <c r="GG11" i="6"/>
  <c r="GH11" i="6"/>
  <c r="GI11" i="6"/>
  <c r="GI12" i="6" s="1"/>
  <c r="GI13" i="6" s="1"/>
  <c r="GJ11" i="6"/>
  <c r="GK11" i="6"/>
  <c r="GL11" i="6"/>
  <c r="GM11" i="6"/>
  <c r="GM12" i="6" s="1"/>
  <c r="GM13" i="6" s="1"/>
  <c r="GN11" i="6"/>
  <c r="GO11" i="6"/>
  <c r="GP11" i="6"/>
  <c r="GQ11" i="6"/>
  <c r="GQ12" i="6" s="1"/>
  <c r="GQ13" i="6" s="1"/>
  <c r="GR11" i="6"/>
  <c r="GS11" i="6"/>
  <c r="GT11" i="6"/>
  <c r="GU11" i="6"/>
  <c r="GU12" i="6" s="1"/>
  <c r="GU13" i="6" s="1"/>
  <c r="GV11" i="6"/>
  <c r="GW11" i="6"/>
  <c r="GX11" i="6"/>
  <c r="GY11" i="6"/>
  <c r="GY12" i="6" s="1"/>
  <c r="GY13" i="6" s="1"/>
  <c r="GZ11" i="6"/>
  <c r="HA11" i="6"/>
  <c r="HB11" i="6"/>
  <c r="HC11" i="6"/>
  <c r="HC12" i="6" s="1"/>
  <c r="HC13" i="6" s="1"/>
  <c r="HD11" i="6"/>
  <c r="HE11" i="6"/>
  <c r="HF11" i="6"/>
  <c r="HG11" i="6"/>
  <c r="HG12" i="6" s="1"/>
  <c r="HG13" i="6" s="1"/>
  <c r="HH11" i="6"/>
  <c r="HI11" i="6"/>
  <c r="HJ11" i="6"/>
  <c r="HK11" i="6"/>
  <c r="HK12" i="6" s="1"/>
  <c r="HK13" i="6" s="1"/>
  <c r="HL11" i="6"/>
  <c r="HM11" i="6"/>
  <c r="HN11" i="6"/>
  <c r="HO11" i="6"/>
  <c r="HO12" i="6" s="1"/>
  <c r="HO13" i="6" s="1"/>
  <c r="HP11" i="6"/>
  <c r="HQ11" i="6"/>
  <c r="HR11" i="6"/>
  <c r="HS11" i="6"/>
  <c r="HS12" i="6" s="1"/>
  <c r="HS13" i="6" s="1"/>
  <c r="HT11" i="6"/>
  <c r="HU11" i="6"/>
  <c r="HV11" i="6"/>
  <c r="HW11" i="6"/>
  <c r="HW12" i="6" s="1"/>
  <c r="HW13" i="6" s="1"/>
  <c r="HX11" i="6"/>
  <c r="HY11" i="6"/>
  <c r="HZ11" i="6"/>
  <c r="IA11" i="6"/>
  <c r="IA12" i="6" s="1"/>
  <c r="IA13" i="6" s="1"/>
  <c r="IB11" i="6"/>
  <c r="IC11" i="6"/>
  <c r="ID11" i="6"/>
  <c r="IE11" i="6"/>
  <c r="IE12" i="6" s="1"/>
  <c r="IE13" i="6" s="1"/>
  <c r="IF11" i="6"/>
  <c r="IG11" i="6"/>
  <c r="IH11" i="6"/>
  <c r="II11" i="6"/>
  <c r="II12" i="6" s="1"/>
  <c r="II13" i="6" s="1"/>
  <c r="IJ11" i="6"/>
  <c r="IK11" i="6"/>
  <c r="IL11" i="6"/>
  <c r="IM11" i="6"/>
  <c r="IM12" i="6" s="1"/>
  <c r="IM13" i="6" s="1"/>
  <c r="IN11" i="6"/>
  <c r="IO11" i="6"/>
  <c r="IP11" i="6"/>
  <c r="IQ11" i="6"/>
  <c r="IQ12" i="6" s="1"/>
  <c r="IQ13" i="6" s="1"/>
  <c r="IR11" i="6"/>
  <c r="IS11" i="6"/>
  <c r="IT11" i="6"/>
  <c r="IU11" i="6"/>
  <c r="IU12" i="6" s="1"/>
  <c r="IU13" i="6" s="1"/>
  <c r="IV11" i="6"/>
  <c r="IW11" i="6"/>
  <c r="IX11" i="6"/>
  <c r="IY11" i="6"/>
  <c r="IY12" i="6" s="1"/>
  <c r="IY13" i="6" s="1"/>
  <c r="IZ11" i="6"/>
  <c r="JA11" i="6"/>
  <c r="JB11" i="6"/>
  <c r="JC11" i="6"/>
  <c r="JC12" i="6" s="1"/>
  <c r="JC13" i="6" s="1"/>
  <c r="JD11" i="6"/>
  <c r="JE11" i="6"/>
  <c r="JF11" i="6"/>
  <c r="JG11" i="6"/>
  <c r="JG12" i="6" s="1"/>
  <c r="JG13" i="6" s="1"/>
  <c r="JH11" i="6"/>
  <c r="JI11" i="6"/>
  <c r="JJ11" i="6"/>
  <c r="JK11" i="6"/>
  <c r="JK12" i="6" s="1"/>
  <c r="JK13" i="6" s="1"/>
  <c r="JL11" i="6"/>
  <c r="JM11" i="6"/>
  <c r="JN11" i="6"/>
  <c r="JO11" i="6"/>
  <c r="JO12" i="6" s="1"/>
  <c r="JO13" i="6" s="1"/>
  <c r="JP11" i="6"/>
  <c r="JQ11" i="6"/>
  <c r="JR11" i="6"/>
  <c r="JS11" i="6"/>
  <c r="JS12" i="6" s="1"/>
  <c r="JS13" i="6" s="1"/>
  <c r="JT11" i="6"/>
  <c r="JU11" i="6"/>
  <c r="JV11" i="6"/>
  <c r="JW11" i="6"/>
  <c r="JW12" i="6" s="1"/>
  <c r="JW13" i="6" s="1"/>
  <c r="JX11" i="6"/>
  <c r="JY11" i="6"/>
  <c r="JZ11" i="6"/>
  <c r="KA11" i="6"/>
  <c r="KA12" i="6" s="1"/>
  <c r="KA13" i="6" s="1"/>
  <c r="KB11" i="6"/>
  <c r="KC11" i="6"/>
  <c r="KD11" i="6"/>
  <c r="KE11" i="6"/>
  <c r="KE12" i="6" s="1"/>
  <c r="KE13" i="6" s="1"/>
  <c r="KF11" i="6"/>
  <c r="KG11" i="6"/>
  <c r="KH11" i="6"/>
  <c r="KI11" i="6"/>
  <c r="KI12" i="6" s="1"/>
  <c r="KI13" i="6" s="1"/>
  <c r="KJ11" i="6"/>
  <c r="KK11" i="6"/>
  <c r="KL11" i="6"/>
  <c r="KM11" i="6"/>
  <c r="KM12" i="6" s="1"/>
  <c r="KM13" i="6" s="1"/>
  <c r="KN11" i="6"/>
  <c r="KO11" i="6"/>
  <c r="KP11" i="6"/>
  <c r="KQ11" i="6"/>
  <c r="KQ12" i="6" s="1"/>
  <c r="KQ13" i="6" s="1"/>
  <c r="KR11" i="6"/>
  <c r="KS11" i="6"/>
  <c r="KT11" i="6"/>
  <c r="KU11" i="6"/>
  <c r="KU12" i="6" s="1"/>
  <c r="KU13" i="6" s="1"/>
  <c r="KV11" i="6"/>
  <c r="KW11" i="6"/>
  <c r="KX11" i="6"/>
  <c r="KY11" i="6"/>
  <c r="KY12" i="6" s="1"/>
  <c r="KY13" i="6" s="1"/>
  <c r="KZ11" i="6"/>
  <c r="LA11" i="6"/>
  <c r="LB11" i="6"/>
  <c r="LC11" i="6"/>
  <c r="LC12" i="6" s="1"/>
  <c r="LC13" i="6" s="1"/>
  <c r="LD11" i="6"/>
  <c r="LE11" i="6"/>
  <c r="LF11" i="6"/>
  <c r="LG11" i="6"/>
  <c r="LG12" i="6" s="1"/>
  <c r="LG13" i="6" s="1"/>
  <c r="LH11" i="6"/>
  <c r="LI11" i="6"/>
  <c r="LJ11" i="6"/>
  <c r="LK11" i="6"/>
  <c r="LK12" i="6" s="1"/>
  <c r="LK13" i="6" s="1"/>
  <c r="LL11" i="6"/>
  <c r="LM11" i="6"/>
  <c r="LN11" i="6"/>
  <c r="LO11" i="6"/>
  <c r="LO12" i="6" s="1"/>
  <c r="LO13" i="6" s="1"/>
  <c r="LP11" i="6"/>
  <c r="LQ11" i="6"/>
  <c r="LR11" i="6"/>
  <c r="LS11" i="6"/>
  <c r="LS12" i="6" s="1"/>
  <c r="LS13" i="6" s="1"/>
  <c r="LT11" i="6"/>
  <c r="LU11" i="6"/>
  <c r="LV11" i="6"/>
  <c r="LW11" i="6"/>
  <c r="LW12" i="6" s="1"/>
  <c r="LW13" i="6" s="1"/>
  <c r="LX11" i="6"/>
  <c r="LY11" i="6"/>
  <c r="LZ11" i="6"/>
  <c r="MA11" i="6"/>
  <c r="MA12" i="6" s="1"/>
  <c r="MA13" i="6" s="1"/>
  <c r="MB11" i="6"/>
  <c r="MC11" i="6"/>
  <c r="MD11" i="6"/>
  <c r="ME11" i="6"/>
  <c r="ME12" i="6" s="1"/>
  <c r="ME13" i="6" s="1"/>
  <c r="MF11" i="6"/>
  <c r="MG11" i="6"/>
  <c r="MH11" i="6"/>
  <c r="MI11" i="6"/>
  <c r="MI12" i="6" s="1"/>
  <c r="MI13" i="6" s="1"/>
  <c r="MJ11" i="6"/>
  <c r="MK11" i="6"/>
  <c r="ML11" i="6"/>
  <c r="MM11" i="6"/>
  <c r="MM12" i="6" s="1"/>
  <c r="MM13" i="6" s="1"/>
  <c r="MN11" i="6"/>
  <c r="MO11" i="6"/>
  <c r="MP11" i="6"/>
  <c r="MQ11" i="6"/>
  <c r="MQ12" i="6" s="1"/>
  <c r="MQ13" i="6" s="1"/>
  <c r="MR11" i="6"/>
  <c r="MS11" i="6"/>
  <c r="MT11" i="6"/>
  <c r="MU11" i="6"/>
  <c r="MU12" i="6" s="1"/>
  <c r="MU13" i="6" s="1"/>
  <c r="MV11" i="6"/>
  <c r="MW11" i="6"/>
  <c r="MX11" i="6"/>
  <c r="MY11" i="6"/>
  <c r="MY12" i="6" s="1"/>
  <c r="MY13" i="6" s="1"/>
  <c r="MZ11" i="6"/>
  <c r="NA11" i="6"/>
  <c r="NB11" i="6"/>
  <c r="NC11" i="6"/>
  <c r="NC12" i="6" s="1"/>
  <c r="NC13" i="6" s="1"/>
  <c r="ND11" i="6"/>
  <c r="NE11" i="6"/>
  <c r="NF11" i="6"/>
  <c r="NG11" i="6"/>
  <c r="NG12" i="6" s="1"/>
  <c r="NG13" i="6" s="1"/>
  <c r="NH11" i="6"/>
  <c r="NI11" i="6"/>
  <c r="NJ11" i="6"/>
  <c r="NK11" i="6"/>
  <c r="NK12" i="6" s="1"/>
  <c r="NK13" i="6" s="1"/>
  <c r="NL11" i="6"/>
  <c r="NM11" i="6"/>
  <c r="NN11" i="6"/>
  <c r="NO11" i="6"/>
  <c r="NO12" i="6" s="1"/>
  <c r="NO13" i="6" s="1"/>
  <c r="NP11" i="6"/>
  <c r="NQ11" i="6"/>
  <c r="NR11" i="6"/>
  <c r="NS11" i="6"/>
  <c r="NS12" i="6" s="1"/>
  <c r="NS13" i="6" s="1"/>
  <c r="NT11" i="6"/>
  <c r="NU11" i="6"/>
  <c r="NV11" i="6"/>
  <c r="NW11" i="6"/>
  <c r="NW12" i="6" s="1"/>
  <c r="NW13" i="6" s="1"/>
  <c r="NX11" i="6"/>
  <c r="NY11" i="6"/>
  <c r="NZ11" i="6"/>
  <c r="OA11" i="6"/>
  <c r="OA12" i="6" s="1"/>
  <c r="OA13" i="6" s="1"/>
  <c r="OB11" i="6"/>
  <c r="OC11" i="6"/>
  <c r="OD11" i="6"/>
  <c r="OE11" i="6"/>
  <c r="OE12" i="6" s="1"/>
  <c r="OE13" i="6" s="1"/>
  <c r="OF11" i="6"/>
  <c r="OG11" i="6"/>
  <c r="OH11" i="6"/>
  <c r="OI11" i="6"/>
  <c r="OI12" i="6" s="1"/>
  <c r="OI13" i="6" s="1"/>
  <c r="OJ11" i="6"/>
  <c r="OK11" i="6"/>
  <c r="OL11" i="6"/>
  <c r="OM11" i="6"/>
  <c r="OM12" i="6" s="1"/>
  <c r="OM13" i="6" s="1"/>
  <c r="ON11" i="6"/>
  <c r="OO11" i="6"/>
  <c r="OP11" i="6"/>
  <c r="OQ11" i="6"/>
  <c r="OQ12" i="6" s="1"/>
  <c r="OQ13" i="6" s="1"/>
  <c r="OR11" i="6"/>
  <c r="OS11" i="6"/>
  <c r="OT11" i="6"/>
  <c r="OU11" i="6"/>
  <c r="OU12" i="6" s="1"/>
  <c r="OU13" i="6" s="1"/>
  <c r="OV11" i="6"/>
  <c r="OW11" i="6"/>
  <c r="OX11" i="6"/>
  <c r="OY11" i="6"/>
  <c r="OY12" i="6" s="1"/>
  <c r="OY13" i="6" s="1"/>
  <c r="OZ11" i="6"/>
  <c r="PA11" i="6"/>
  <c r="PB11" i="6"/>
  <c r="PC11" i="6"/>
  <c r="PC12" i="6" s="1"/>
  <c r="PC13" i="6" s="1"/>
  <c r="PD11" i="6"/>
  <c r="PE11" i="6"/>
  <c r="PF11" i="6"/>
  <c r="PG11" i="6"/>
  <c r="PG12" i="6" s="1"/>
  <c r="PG13" i="6" s="1"/>
  <c r="PH11" i="6"/>
  <c r="PI11" i="6"/>
  <c r="PJ11" i="6"/>
  <c r="PK11" i="6"/>
  <c r="PK12" i="6" s="1"/>
  <c r="PK13" i="6" s="1"/>
  <c r="PL11" i="6"/>
  <c r="PM11" i="6"/>
  <c r="PN11" i="6"/>
  <c r="PO11" i="6"/>
  <c r="PO12" i="6" s="1"/>
  <c r="PO13" i="6" s="1"/>
  <c r="PP11" i="6"/>
  <c r="PQ11" i="6"/>
  <c r="PR11" i="6"/>
  <c r="PS11" i="6"/>
  <c r="PS12" i="6" s="1"/>
  <c r="PS13" i="6" s="1"/>
  <c r="PT11" i="6"/>
  <c r="PU11" i="6"/>
  <c r="PV11" i="6"/>
  <c r="PW11" i="6"/>
  <c r="PW12" i="6" s="1"/>
  <c r="PW13" i="6" s="1"/>
  <c r="PX11" i="6"/>
  <c r="PY11" i="6"/>
  <c r="PZ11" i="6"/>
  <c r="QA11" i="6"/>
  <c r="QA12" i="6" s="1"/>
  <c r="QA13" i="6" s="1"/>
  <c r="QB11" i="6"/>
  <c r="QC11" i="6"/>
  <c r="QD11" i="6"/>
  <c r="QE11" i="6"/>
  <c r="QE12" i="6" s="1"/>
  <c r="QE13" i="6" s="1"/>
  <c r="QF11" i="6"/>
  <c r="QG11" i="6"/>
  <c r="QH11" i="6"/>
  <c r="QI11" i="6"/>
  <c r="QI12" i="6" s="1"/>
  <c r="QI13" i="6" s="1"/>
  <c r="QJ11" i="6"/>
  <c r="QK11" i="6"/>
  <c r="QL11" i="6"/>
  <c r="QM11" i="6"/>
  <c r="QM12" i="6" s="1"/>
  <c r="QM13" i="6" s="1"/>
  <c r="QN11" i="6"/>
  <c r="QO11" i="6"/>
  <c r="QP11" i="6"/>
  <c r="QQ11" i="6"/>
  <c r="QQ12" i="6" s="1"/>
  <c r="QQ13" i="6" s="1"/>
  <c r="QR11" i="6"/>
  <c r="QS11" i="6"/>
  <c r="QT11" i="6"/>
  <c r="QU11" i="6"/>
  <c r="QU12" i="6" s="1"/>
  <c r="QU13" i="6" s="1"/>
  <c r="QV11" i="6"/>
  <c r="QW11" i="6"/>
  <c r="QX11" i="6"/>
  <c r="QY11" i="6"/>
  <c r="QY12" i="6" s="1"/>
  <c r="QY13" i="6" s="1"/>
  <c r="QZ11" i="6"/>
  <c r="RA11" i="6"/>
  <c r="RB11" i="6"/>
  <c r="RC11" i="6"/>
  <c r="RC12" i="6" s="1"/>
  <c r="RC13" i="6" s="1"/>
  <c r="RD11" i="6"/>
  <c r="RE11" i="6"/>
  <c r="RF11" i="6"/>
  <c r="RG11" i="6"/>
  <c r="RG12" i="6" s="1"/>
  <c r="RG13" i="6" s="1"/>
  <c r="RH11" i="6"/>
  <c r="RI11" i="6"/>
  <c r="RJ11" i="6"/>
  <c r="RK11" i="6"/>
  <c r="RK12" i="6" s="1"/>
  <c r="RK13" i="6" s="1"/>
  <c r="RL11" i="6"/>
  <c r="RM11" i="6"/>
  <c r="RN11" i="6"/>
  <c r="RO11" i="6"/>
  <c r="RO12" i="6" s="1"/>
  <c r="RO13" i="6" s="1"/>
  <c r="RP11" i="6"/>
  <c r="RQ11" i="6"/>
  <c r="RR11" i="6"/>
  <c r="RS11" i="6"/>
  <c r="RS12" i="6" s="1"/>
  <c r="RS13" i="6" s="1"/>
  <c r="RT11" i="6"/>
  <c r="RU11" i="6"/>
  <c r="RV11" i="6"/>
  <c r="RW11" i="6"/>
  <c r="RW12" i="6" s="1"/>
  <c r="RW13" i="6" s="1"/>
  <c r="RX11" i="6"/>
  <c r="RY11" i="6"/>
  <c r="RZ11" i="6"/>
  <c r="SA11" i="6"/>
  <c r="SA12" i="6" s="1"/>
  <c r="SA13" i="6" s="1"/>
  <c r="SB11" i="6"/>
  <c r="SC11" i="6"/>
  <c r="SD11" i="6"/>
  <c r="SE11" i="6"/>
  <c r="SE12" i="6" s="1"/>
  <c r="SE13" i="6" s="1"/>
  <c r="SF11" i="6"/>
  <c r="SG11" i="6"/>
  <c r="SH11" i="6"/>
  <c r="SI11" i="6"/>
  <c r="SI12" i="6" s="1"/>
  <c r="SI13" i="6" s="1"/>
  <c r="SJ11" i="6"/>
  <c r="SK11" i="6"/>
  <c r="SL11" i="6"/>
  <c r="SM11" i="6"/>
  <c r="SM12" i="6" s="1"/>
  <c r="SM13" i="6" s="1"/>
  <c r="SN11" i="6"/>
  <c r="SO11" i="6"/>
  <c r="SP11" i="6"/>
  <c r="SQ11" i="6"/>
  <c r="SQ12" i="6" s="1"/>
  <c r="SQ13" i="6" s="1"/>
  <c r="SR11" i="6"/>
  <c r="SS11" i="6"/>
  <c r="ST11" i="6"/>
  <c r="SU11" i="6"/>
  <c r="SU12" i="6" s="1"/>
  <c r="SU13" i="6" s="1"/>
  <c r="SV11" i="6"/>
  <c r="SW11" i="6"/>
  <c r="SX11" i="6"/>
  <c r="SY11" i="6"/>
  <c r="SY12" i="6" s="1"/>
  <c r="SY13" i="6" s="1"/>
  <c r="SZ11" i="6"/>
  <c r="TA11" i="6"/>
  <c r="BI12" i="6"/>
  <c r="BJ12" i="6"/>
  <c r="BK12" i="6"/>
  <c r="BL12" i="6"/>
  <c r="BM12" i="6"/>
  <c r="BN12" i="6"/>
  <c r="BO12" i="6"/>
  <c r="BP12" i="6"/>
  <c r="BQ12" i="6"/>
  <c r="BR12" i="6"/>
  <c r="BS12" i="6"/>
  <c r="BT12" i="6"/>
  <c r="BT13" i="6" s="1"/>
  <c r="BU12" i="6"/>
  <c r="BU13" i="6" s="1"/>
  <c r="BV12" i="6"/>
  <c r="BV13" i="6" s="1"/>
  <c r="BX12" i="6"/>
  <c r="BX13" i="6" s="1"/>
  <c r="BY12" i="6"/>
  <c r="BY13" i="6" s="1"/>
  <c r="BZ12" i="6"/>
  <c r="BZ13" i="6" s="1"/>
  <c r="CB12" i="6"/>
  <c r="CB13" i="6" s="1"/>
  <c r="CC12" i="6"/>
  <c r="CC13" i="6" s="1"/>
  <c r="CD12" i="6"/>
  <c r="CD13" i="6" s="1"/>
  <c r="CF12" i="6"/>
  <c r="CF13" i="6" s="1"/>
  <c r="CG12" i="6"/>
  <c r="CG13" i="6" s="1"/>
  <c r="CH12" i="6"/>
  <c r="CH13" i="6" s="1"/>
  <c r="CJ12" i="6"/>
  <c r="CJ13" i="6" s="1"/>
  <c r="CK12" i="6"/>
  <c r="CK13" i="6" s="1"/>
  <c r="CL12" i="6"/>
  <c r="CL13" i="6" s="1"/>
  <c r="CN12" i="6"/>
  <c r="CN13" i="6" s="1"/>
  <c r="CO12" i="6"/>
  <c r="CO13" i="6" s="1"/>
  <c r="CP12" i="6"/>
  <c r="CP13" i="6" s="1"/>
  <c r="CR12" i="6"/>
  <c r="CR13" i="6" s="1"/>
  <c r="CS12" i="6"/>
  <c r="CS13" i="6" s="1"/>
  <c r="CT12" i="6"/>
  <c r="CT13" i="6" s="1"/>
  <c r="CV12" i="6"/>
  <c r="CV13" i="6" s="1"/>
  <c r="CW12" i="6"/>
  <c r="CW13" i="6" s="1"/>
  <c r="CX12" i="6"/>
  <c r="CX13" i="6" s="1"/>
  <c r="CZ12" i="6"/>
  <c r="CZ13" i="6" s="1"/>
  <c r="DA12" i="6"/>
  <c r="DA13" i="6" s="1"/>
  <c r="DB12" i="6"/>
  <c r="DB13" i="6" s="1"/>
  <c r="DD12" i="6"/>
  <c r="DD13" i="6" s="1"/>
  <c r="DE12" i="6"/>
  <c r="DE13" i="6" s="1"/>
  <c r="DF12" i="6"/>
  <c r="DF13" i="6" s="1"/>
  <c r="DH12" i="6"/>
  <c r="DH13" i="6" s="1"/>
  <c r="DI12" i="6"/>
  <c r="DI13" i="6" s="1"/>
  <c r="DJ12" i="6"/>
  <c r="DJ13" i="6" s="1"/>
  <c r="DL12" i="6"/>
  <c r="DL13" i="6" s="1"/>
  <c r="DM12" i="6"/>
  <c r="DM13" i="6" s="1"/>
  <c r="DN12" i="6"/>
  <c r="DN13" i="6" s="1"/>
  <c r="DP12" i="6"/>
  <c r="DP13" i="6" s="1"/>
  <c r="DQ12" i="6"/>
  <c r="DQ13" i="6" s="1"/>
  <c r="DR12" i="6"/>
  <c r="DR13" i="6" s="1"/>
  <c r="DT12" i="6"/>
  <c r="DT13" i="6" s="1"/>
  <c r="DU12" i="6"/>
  <c r="DU13" i="6" s="1"/>
  <c r="DV12" i="6"/>
  <c r="DV13" i="6" s="1"/>
  <c r="DX12" i="6"/>
  <c r="DX13" i="6" s="1"/>
  <c r="DY12" i="6"/>
  <c r="DY13" i="6" s="1"/>
  <c r="DZ12" i="6"/>
  <c r="DZ13" i="6" s="1"/>
  <c r="EB12" i="6"/>
  <c r="EB13" i="6" s="1"/>
  <c r="EC12" i="6"/>
  <c r="EC13" i="6" s="1"/>
  <c r="ED12" i="6"/>
  <c r="ED13" i="6" s="1"/>
  <c r="EF12" i="6"/>
  <c r="EF13" i="6" s="1"/>
  <c r="EG12" i="6"/>
  <c r="EG13" i="6" s="1"/>
  <c r="EH12" i="6"/>
  <c r="EH13" i="6" s="1"/>
  <c r="EJ12" i="6"/>
  <c r="EJ13" i="6" s="1"/>
  <c r="EK12" i="6"/>
  <c r="EK13" i="6" s="1"/>
  <c r="EL12" i="6"/>
  <c r="EL13" i="6" s="1"/>
  <c r="EN12" i="6"/>
  <c r="EN13" i="6" s="1"/>
  <c r="EO12" i="6"/>
  <c r="EO13" i="6" s="1"/>
  <c r="EP12" i="6"/>
  <c r="EP13" i="6" s="1"/>
  <c r="ER12" i="6"/>
  <c r="ER13" i="6" s="1"/>
  <c r="ES12" i="6"/>
  <c r="ES13" i="6" s="1"/>
  <c r="ET12" i="6"/>
  <c r="ET13" i="6" s="1"/>
  <c r="EV12" i="6"/>
  <c r="EV13" i="6" s="1"/>
  <c r="EW12" i="6"/>
  <c r="EW13" i="6" s="1"/>
  <c r="EX12" i="6"/>
  <c r="EX13" i="6" s="1"/>
  <c r="EZ12" i="6"/>
  <c r="EZ13" i="6" s="1"/>
  <c r="FA12" i="6"/>
  <c r="FA13" i="6" s="1"/>
  <c r="FB12" i="6"/>
  <c r="FB13" i="6" s="1"/>
  <c r="FD12" i="6"/>
  <c r="FD13" i="6" s="1"/>
  <c r="FE12" i="6"/>
  <c r="FE13" i="6" s="1"/>
  <c r="FF12" i="6"/>
  <c r="FF13" i="6" s="1"/>
  <c r="FH12" i="6"/>
  <c r="FH13" i="6" s="1"/>
  <c r="FI12" i="6"/>
  <c r="FI13" i="6" s="1"/>
  <c r="FJ12" i="6"/>
  <c r="FJ13" i="6" s="1"/>
  <c r="FL12" i="6"/>
  <c r="FL13" i="6" s="1"/>
  <c r="FM12" i="6"/>
  <c r="FM13" i="6" s="1"/>
  <c r="FN12" i="6"/>
  <c r="FN13" i="6" s="1"/>
  <c r="FP12" i="6"/>
  <c r="FP13" i="6" s="1"/>
  <c r="FQ12" i="6"/>
  <c r="FQ13" i="6" s="1"/>
  <c r="FR12" i="6"/>
  <c r="FR13" i="6" s="1"/>
  <c r="FT12" i="6"/>
  <c r="FT13" i="6" s="1"/>
  <c r="FU12" i="6"/>
  <c r="FU13" i="6" s="1"/>
  <c r="FV12" i="6"/>
  <c r="FV13" i="6" s="1"/>
  <c r="FX12" i="6"/>
  <c r="FX13" i="6" s="1"/>
  <c r="FY12" i="6"/>
  <c r="FY13" i="6" s="1"/>
  <c r="FZ12" i="6"/>
  <c r="FZ13" i="6" s="1"/>
  <c r="GB12" i="6"/>
  <c r="GB13" i="6" s="1"/>
  <c r="GC12" i="6"/>
  <c r="GC13" i="6" s="1"/>
  <c r="GD12" i="6"/>
  <c r="GD13" i="6" s="1"/>
  <c r="GF12" i="6"/>
  <c r="GF13" i="6" s="1"/>
  <c r="GG12" i="6"/>
  <c r="GG13" i="6" s="1"/>
  <c r="GH12" i="6"/>
  <c r="GH13" i="6" s="1"/>
  <c r="GJ12" i="6"/>
  <c r="GJ13" i="6" s="1"/>
  <c r="GK12" i="6"/>
  <c r="GK13" i="6" s="1"/>
  <c r="GL12" i="6"/>
  <c r="GL13" i="6" s="1"/>
  <c r="GN12" i="6"/>
  <c r="GN13" i="6" s="1"/>
  <c r="GO12" i="6"/>
  <c r="GO13" i="6" s="1"/>
  <c r="GP12" i="6"/>
  <c r="GP13" i="6" s="1"/>
  <c r="GR12" i="6"/>
  <c r="GR13" i="6" s="1"/>
  <c r="GS12" i="6"/>
  <c r="GS13" i="6" s="1"/>
  <c r="GT12" i="6"/>
  <c r="GT13" i="6" s="1"/>
  <c r="GV12" i="6"/>
  <c r="GV13" i="6" s="1"/>
  <c r="GW12" i="6"/>
  <c r="GW13" i="6" s="1"/>
  <c r="GX12" i="6"/>
  <c r="GX13" i="6" s="1"/>
  <c r="GZ12" i="6"/>
  <c r="GZ13" i="6" s="1"/>
  <c r="HA12" i="6"/>
  <c r="HA13" i="6" s="1"/>
  <c r="HB12" i="6"/>
  <c r="HB13" i="6" s="1"/>
  <c r="HD12" i="6"/>
  <c r="HD13" i="6" s="1"/>
  <c r="HE12" i="6"/>
  <c r="HE13" i="6" s="1"/>
  <c r="HF12" i="6"/>
  <c r="HF13" i="6" s="1"/>
  <c r="HH12" i="6"/>
  <c r="HH13" i="6" s="1"/>
  <c r="HI12" i="6"/>
  <c r="HI13" i="6" s="1"/>
  <c r="HJ12" i="6"/>
  <c r="HJ13" i="6" s="1"/>
  <c r="HL12" i="6"/>
  <c r="HL13" i="6" s="1"/>
  <c r="HM12" i="6"/>
  <c r="HM13" i="6" s="1"/>
  <c r="HN12" i="6"/>
  <c r="HN13" i="6" s="1"/>
  <c r="HP12" i="6"/>
  <c r="HP13" i="6" s="1"/>
  <c r="HQ12" i="6"/>
  <c r="HQ13" i="6" s="1"/>
  <c r="HR12" i="6"/>
  <c r="HR13" i="6" s="1"/>
  <c r="HT12" i="6"/>
  <c r="HT13" i="6" s="1"/>
  <c r="HU12" i="6"/>
  <c r="HU13" i="6" s="1"/>
  <c r="HV12" i="6"/>
  <c r="HV13" i="6" s="1"/>
  <c r="HX12" i="6"/>
  <c r="HX13" i="6" s="1"/>
  <c r="HY12" i="6"/>
  <c r="HY13" i="6" s="1"/>
  <c r="HZ12" i="6"/>
  <c r="HZ13" i="6" s="1"/>
  <c r="IB12" i="6"/>
  <c r="IB13" i="6" s="1"/>
  <c r="IC12" i="6"/>
  <c r="IC13" i="6" s="1"/>
  <c r="ID12" i="6"/>
  <c r="ID13" i="6" s="1"/>
  <c r="IF12" i="6"/>
  <c r="IF13" i="6" s="1"/>
  <c r="IG12" i="6"/>
  <c r="IG13" i="6" s="1"/>
  <c r="IH12" i="6"/>
  <c r="IH13" i="6" s="1"/>
  <c r="IJ12" i="6"/>
  <c r="IJ13" i="6" s="1"/>
  <c r="IK12" i="6"/>
  <c r="IK13" i="6" s="1"/>
  <c r="IL12" i="6"/>
  <c r="IL13" i="6" s="1"/>
  <c r="IN12" i="6"/>
  <c r="IN13" i="6" s="1"/>
  <c r="IO12" i="6"/>
  <c r="IO13" i="6" s="1"/>
  <c r="IP12" i="6"/>
  <c r="IP13" i="6" s="1"/>
  <c r="IR12" i="6"/>
  <c r="IR13" i="6" s="1"/>
  <c r="IS12" i="6"/>
  <c r="IS13" i="6" s="1"/>
  <c r="IT12" i="6"/>
  <c r="IT13" i="6" s="1"/>
  <c r="IV12" i="6"/>
  <c r="IV13" i="6" s="1"/>
  <c r="IW12" i="6"/>
  <c r="IW13" i="6" s="1"/>
  <c r="IX12" i="6"/>
  <c r="IX13" i="6" s="1"/>
  <c r="IZ12" i="6"/>
  <c r="IZ13" i="6" s="1"/>
  <c r="JA12" i="6"/>
  <c r="JA13" i="6" s="1"/>
  <c r="JB12" i="6"/>
  <c r="JB13" i="6" s="1"/>
  <c r="JD12" i="6"/>
  <c r="JD13" i="6" s="1"/>
  <c r="JE12" i="6"/>
  <c r="JE13" i="6" s="1"/>
  <c r="JF12" i="6"/>
  <c r="JF13" i="6" s="1"/>
  <c r="JH12" i="6"/>
  <c r="JH13" i="6" s="1"/>
  <c r="JI12" i="6"/>
  <c r="JI13" i="6" s="1"/>
  <c r="JJ12" i="6"/>
  <c r="JJ13" i="6" s="1"/>
  <c r="JL12" i="6"/>
  <c r="JL13" i="6" s="1"/>
  <c r="JM12" i="6"/>
  <c r="JM13" i="6" s="1"/>
  <c r="JN12" i="6"/>
  <c r="JN13" i="6" s="1"/>
  <c r="JP12" i="6"/>
  <c r="JP13" i="6" s="1"/>
  <c r="JQ12" i="6"/>
  <c r="JQ13" i="6" s="1"/>
  <c r="JR12" i="6"/>
  <c r="JR13" i="6" s="1"/>
  <c r="JT12" i="6"/>
  <c r="JT13" i="6" s="1"/>
  <c r="JU12" i="6"/>
  <c r="JU13" i="6" s="1"/>
  <c r="JV12" i="6"/>
  <c r="JV13" i="6" s="1"/>
  <c r="JX12" i="6"/>
  <c r="JX13" i="6" s="1"/>
  <c r="JY12" i="6"/>
  <c r="JY13" i="6" s="1"/>
  <c r="JZ12" i="6"/>
  <c r="JZ13" i="6" s="1"/>
  <c r="KB12" i="6"/>
  <c r="KB13" i="6" s="1"/>
  <c r="KC12" i="6"/>
  <c r="KC13" i="6" s="1"/>
  <c r="KD12" i="6"/>
  <c r="KD13" i="6" s="1"/>
  <c r="KF12" i="6"/>
  <c r="KF13" i="6" s="1"/>
  <c r="KG12" i="6"/>
  <c r="KG13" i="6" s="1"/>
  <c r="KH12" i="6"/>
  <c r="KH13" i="6" s="1"/>
  <c r="KJ12" i="6"/>
  <c r="KJ13" i="6" s="1"/>
  <c r="KK12" i="6"/>
  <c r="KK13" i="6" s="1"/>
  <c r="KL12" i="6"/>
  <c r="KL13" i="6" s="1"/>
  <c r="KN12" i="6"/>
  <c r="KN13" i="6" s="1"/>
  <c r="KO12" i="6"/>
  <c r="KO13" i="6" s="1"/>
  <c r="KP12" i="6"/>
  <c r="KP13" i="6" s="1"/>
  <c r="KR12" i="6"/>
  <c r="KR13" i="6" s="1"/>
  <c r="KS12" i="6"/>
  <c r="KS13" i="6" s="1"/>
  <c r="KT12" i="6"/>
  <c r="KT13" i="6" s="1"/>
  <c r="KV12" i="6"/>
  <c r="KV13" i="6" s="1"/>
  <c r="KW12" i="6"/>
  <c r="KW13" i="6" s="1"/>
  <c r="KX12" i="6"/>
  <c r="KX13" i="6" s="1"/>
  <c r="KZ12" i="6"/>
  <c r="KZ13" i="6" s="1"/>
  <c r="LA12" i="6"/>
  <c r="LA13" i="6" s="1"/>
  <c r="LB12" i="6"/>
  <c r="LB13" i="6" s="1"/>
  <c r="LD12" i="6"/>
  <c r="LD13" i="6" s="1"/>
  <c r="LE12" i="6"/>
  <c r="LE13" i="6" s="1"/>
  <c r="LF12" i="6"/>
  <c r="LF13" i="6" s="1"/>
  <c r="LH12" i="6"/>
  <c r="LH13" i="6" s="1"/>
  <c r="LI12" i="6"/>
  <c r="LI13" i="6" s="1"/>
  <c r="LJ12" i="6"/>
  <c r="LJ13" i="6" s="1"/>
  <c r="LL12" i="6"/>
  <c r="LL13" i="6" s="1"/>
  <c r="LM12" i="6"/>
  <c r="LM13" i="6" s="1"/>
  <c r="LN12" i="6"/>
  <c r="LN13" i="6" s="1"/>
  <c r="LP12" i="6"/>
  <c r="LP13" i="6" s="1"/>
  <c r="LQ12" i="6"/>
  <c r="LQ13" i="6" s="1"/>
  <c r="LR12" i="6"/>
  <c r="LR13" i="6" s="1"/>
  <c r="LT12" i="6"/>
  <c r="LT13" i="6" s="1"/>
  <c r="LU12" i="6"/>
  <c r="LU13" i="6" s="1"/>
  <c r="LV12" i="6"/>
  <c r="LV13" i="6" s="1"/>
  <c r="LX12" i="6"/>
  <c r="LX13" i="6" s="1"/>
  <c r="LY12" i="6"/>
  <c r="LY13" i="6" s="1"/>
  <c r="LZ12" i="6"/>
  <c r="LZ13" i="6" s="1"/>
  <c r="MB12" i="6"/>
  <c r="MB13" i="6" s="1"/>
  <c r="MC12" i="6"/>
  <c r="MC13" i="6" s="1"/>
  <c r="MD12" i="6"/>
  <c r="MD13" i="6" s="1"/>
  <c r="MF12" i="6"/>
  <c r="MF13" i="6" s="1"/>
  <c r="MG12" i="6"/>
  <c r="MG13" i="6" s="1"/>
  <c r="MH12" i="6"/>
  <c r="MH13" i="6" s="1"/>
  <c r="MJ12" i="6"/>
  <c r="MJ13" i="6" s="1"/>
  <c r="MK12" i="6"/>
  <c r="MK13" i="6" s="1"/>
  <c r="ML12" i="6"/>
  <c r="ML13" i="6" s="1"/>
  <c r="MN12" i="6"/>
  <c r="MN13" i="6" s="1"/>
  <c r="MO12" i="6"/>
  <c r="MO13" i="6" s="1"/>
  <c r="MP12" i="6"/>
  <c r="MP13" i="6" s="1"/>
  <c r="MR12" i="6"/>
  <c r="MR13" i="6" s="1"/>
  <c r="MS12" i="6"/>
  <c r="MS13" i="6" s="1"/>
  <c r="MT12" i="6"/>
  <c r="MT13" i="6" s="1"/>
  <c r="MV12" i="6"/>
  <c r="MV13" i="6" s="1"/>
  <c r="MW12" i="6"/>
  <c r="MW13" i="6" s="1"/>
  <c r="MX12" i="6"/>
  <c r="MX13" i="6" s="1"/>
  <c r="MZ12" i="6"/>
  <c r="MZ13" i="6" s="1"/>
  <c r="NA12" i="6"/>
  <c r="NA13" i="6" s="1"/>
  <c r="NB12" i="6"/>
  <c r="NB13" i="6" s="1"/>
  <c r="ND12" i="6"/>
  <c r="ND13" i="6" s="1"/>
  <c r="NE12" i="6"/>
  <c r="NE13" i="6" s="1"/>
  <c r="NF12" i="6"/>
  <c r="NF13" i="6" s="1"/>
  <c r="NH12" i="6"/>
  <c r="NH13" i="6" s="1"/>
  <c r="NI12" i="6"/>
  <c r="NI13" i="6" s="1"/>
  <c r="NJ12" i="6"/>
  <c r="NJ13" i="6" s="1"/>
  <c r="NL12" i="6"/>
  <c r="NL13" i="6" s="1"/>
  <c r="NM12" i="6"/>
  <c r="NM13" i="6" s="1"/>
  <c r="NN12" i="6"/>
  <c r="NN13" i="6" s="1"/>
  <c r="NP12" i="6"/>
  <c r="NP13" i="6" s="1"/>
  <c r="NQ12" i="6"/>
  <c r="NQ13" i="6" s="1"/>
  <c r="NR12" i="6"/>
  <c r="NR13" i="6" s="1"/>
  <c r="NT12" i="6"/>
  <c r="NT13" i="6" s="1"/>
  <c r="NU12" i="6"/>
  <c r="NU13" i="6" s="1"/>
  <c r="NV12" i="6"/>
  <c r="NV13" i="6" s="1"/>
  <c r="NX12" i="6"/>
  <c r="NX13" i="6" s="1"/>
  <c r="NY12" i="6"/>
  <c r="NY13" i="6" s="1"/>
  <c r="NZ12" i="6"/>
  <c r="NZ13" i="6" s="1"/>
  <c r="OB12" i="6"/>
  <c r="OB13" i="6" s="1"/>
  <c r="OC12" i="6"/>
  <c r="OC13" i="6" s="1"/>
  <c r="OD12" i="6"/>
  <c r="OD13" i="6" s="1"/>
  <c r="OF12" i="6"/>
  <c r="OF13" i="6" s="1"/>
  <c r="OG12" i="6"/>
  <c r="OG13" i="6" s="1"/>
  <c r="OH12" i="6"/>
  <c r="OH13" i="6" s="1"/>
  <c r="OJ12" i="6"/>
  <c r="OJ13" i="6" s="1"/>
  <c r="OK12" i="6"/>
  <c r="OK13" i="6" s="1"/>
  <c r="OL12" i="6"/>
  <c r="OL13" i="6" s="1"/>
  <c r="ON12" i="6"/>
  <c r="ON13" i="6" s="1"/>
  <c r="OO12" i="6"/>
  <c r="OO13" i="6" s="1"/>
  <c r="OP12" i="6"/>
  <c r="OP13" i="6" s="1"/>
  <c r="OR12" i="6"/>
  <c r="OR13" i="6" s="1"/>
  <c r="OS12" i="6"/>
  <c r="OS13" i="6" s="1"/>
  <c r="OT12" i="6"/>
  <c r="OT13" i="6" s="1"/>
  <c r="OV12" i="6"/>
  <c r="OV13" i="6" s="1"/>
  <c r="OW12" i="6"/>
  <c r="OW13" i="6" s="1"/>
  <c r="OX12" i="6"/>
  <c r="OX13" i="6" s="1"/>
  <c r="OZ12" i="6"/>
  <c r="OZ13" i="6" s="1"/>
  <c r="PA12" i="6"/>
  <c r="PA13" i="6" s="1"/>
  <c r="PB12" i="6"/>
  <c r="PB13" i="6" s="1"/>
  <c r="PD12" i="6"/>
  <c r="PD13" i="6" s="1"/>
  <c r="PE12" i="6"/>
  <c r="PE13" i="6" s="1"/>
  <c r="PF12" i="6"/>
  <c r="PF13" i="6" s="1"/>
  <c r="PH12" i="6"/>
  <c r="PH13" i="6" s="1"/>
  <c r="PI12" i="6"/>
  <c r="PI13" i="6" s="1"/>
  <c r="PJ12" i="6"/>
  <c r="PJ13" i="6" s="1"/>
  <c r="PL12" i="6"/>
  <c r="PL13" i="6" s="1"/>
  <c r="PM12" i="6"/>
  <c r="PM13" i="6" s="1"/>
  <c r="PN12" i="6"/>
  <c r="PN13" i="6" s="1"/>
  <c r="PP12" i="6"/>
  <c r="PP13" i="6" s="1"/>
  <c r="PQ12" i="6"/>
  <c r="PQ13" i="6" s="1"/>
  <c r="PR12" i="6"/>
  <c r="PR13" i="6" s="1"/>
  <c r="PT12" i="6"/>
  <c r="PT13" i="6" s="1"/>
  <c r="PU12" i="6"/>
  <c r="PU13" i="6" s="1"/>
  <c r="PV12" i="6"/>
  <c r="PV13" i="6" s="1"/>
  <c r="PX12" i="6"/>
  <c r="PX13" i="6" s="1"/>
  <c r="PY12" i="6"/>
  <c r="PY13" i="6" s="1"/>
  <c r="PZ12" i="6"/>
  <c r="PZ13" i="6" s="1"/>
  <c r="QB12" i="6"/>
  <c r="QB13" i="6" s="1"/>
  <c r="QC12" i="6"/>
  <c r="QC13" i="6" s="1"/>
  <c r="QD12" i="6"/>
  <c r="QD13" i="6" s="1"/>
  <c r="QF12" i="6"/>
  <c r="QF13" i="6" s="1"/>
  <c r="QG12" i="6"/>
  <c r="QG13" i="6" s="1"/>
  <c r="QH12" i="6"/>
  <c r="QH13" i="6" s="1"/>
  <c r="QJ12" i="6"/>
  <c r="QJ13" i="6" s="1"/>
  <c r="QK12" i="6"/>
  <c r="QK13" i="6" s="1"/>
  <c r="QL12" i="6"/>
  <c r="QL13" i="6" s="1"/>
  <c r="QN12" i="6"/>
  <c r="QN13" i="6" s="1"/>
  <c r="QO12" i="6"/>
  <c r="QO13" i="6" s="1"/>
  <c r="QP12" i="6"/>
  <c r="QP13" i="6" s="1"/>
  <c r="QR12" i="6"/>
  <c r="QR13" i="6" s="1"/>
  <c r="QS12" i="6"/>
  <c r="QS13" i="6" s="1"/>
  <c r="QT12" i="6"/>
  <c r="QT13" i="6" s="1"/>
  <c r="QV12" i="6"/>
  <c r="QV13" i="6" s="1"/>
  <c r="QW12" i="6"/>
  <c r="QW13" i="6" s="1"/>
  <c r="QX12" i="6"/>
  <c r="QX13" i="6" s="1"/>
  <c r="QZ12" i="6"/>
  <c r="QZ13" i="6" s="1"/>
  <c r="RA12" i="6"/>
  <c r="RA13" i="6" s="1"/>
  <c r="RB12" i="6"/>
  <c r="RB13" i="6" s="1"/>
  <c r="RD12" i="6"/>
  <c r="RD13" i="6" s="1"/>
  <c r="RE12" i="6"/>
  <c r="RE13" i="6" s="1"/>
  <c r="RF12" i="6"/>
  <c r="RF13" i="6" s="1"/>
  <c r="RH12" i="6"/>
  <c r="RH13" i="6" s="1"/>
  <c r="RI12" i="6"/>
  <c r="RI13" i="6" s="1"/>
  <c r="RJ12" i="6"/>
  <c r="RJ13" i="6" s="1"/>
  <c r="RL12" i="6"/>
  <c r="RL13" i="6" s="1"/>
  <c r="RM12" i="6"/>
  <c r="RM13" i="6" s="1"/>
  <c r="RN12" i="6"/>
  <c r="RN13" i="6" s="1"/>
  <c r="RP12" i="6"/>
  <c r="RP13" i="6" s="1"/>
  <c r="RQ12" i="6"/>
  <c r="RQ13" i="6" s="1"/>
  <c r="RR12" i="6"/>
  <c r="RR13" i="6" s="1"/>
  <c r="RT12" i="6"/>
  <c r="RT13" i="6" s="1"/>
  <c r="RU12" i="6"/>
  <c r="RU13" i="6" s="1"/>
  <c r="RV12" i="6"/>
  <c r="RV13" i="6" s="1"/>
  <c r="RX12" i="6"/>
  <c r="RX13" i="6" s="1"/>
  <c r="RY12" i="6"/>
  <c r="RY13" i="6" s="1"/>
  <c r="RZ12" i="6"/>
  <c r="RZ13" i="6" s="1"/>
  <c r="SB12" i="6"/>
  <c r="SB13" i="6" s="1"/>
  <c r="SC12" i="6"/>
  <c r="SC13" i="6" s="1"/>
  <c r="SD12" i="6"/>
  <c r="SD13" i="6" s="1"/>
  <c r="SF12" i="6"/>
  <c r="SF13" i="6" s="1"/>
  <c r="SG12" i="6"/>
  <c r="SG13" i="6" s="1"/>
  <c r="SH12" i="6"/>
  <c r="SH13" i="6" s="1"/>
  <c r="SJ12" i="6"/>
  <c r="SJ13" i="6" s="1"/>
  <c r="SK12" i="6"/>
  <c r="SK13" i="6" s="1"/>
  <c r="SL12" i="6"/>
  <c r="SL13" i="6" s="1"/>
  <c r="SN12" i="6"/>
  <c r="SN13" i="6" s="1"/>
  <c r="SO12" i="6"/>
  <c r="SO13" i="6" s="1"/>
  <c r="SP12" i="6"/>
  <c r="SP13" i="6" s="1"/>
  <c r="SR12" i="6"/>
  <c r="SR13" i="6" s="1"/>
  <c r="SS12" i="6"/>
  <c r="SS13" i="6" s="1"/>
  <c r="ST12" i="6"/>
  <c r="ST13" i="6" s="1"/>
  <c r="SV12" i="6"/>
  <c r="SV13" i="6" s="1"/>
  <c r="SW12" i="6"/>
  <c r="SW13" i="6" s="1"/>
  <c r="SX12" i="6"/>
  <c r="SX13" i="6" s="1"/>
  <c r="SZ12" i="6"/>
  <c r="SZ13" i="6" s="1"/>
  <c r="TA12" i="6"/>
  <c r="TA13" i="6" s="1"/>
  <c r="DI10" i="6"/>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EQ10" i="6" s="1"/>
  <c r="ER10" i="6" s="1"/>
  <c r="ES10" i="6" s="1"/>
  <c r="ET10" i="6" s="1"/>
  <c r="EU10" i="6" s="1"/>
  <c r="EV10" i="6" s="1"/>
  <c r="EW10" i="6" s="1"/>
  <c r="EX10" i="6" s="1"/>
  <c r="EY10" i="6" s="1"/>
  <c r="EZ10" i="6" s="1"/>
  <c r="FA10" i="6" s="1"/>
  <c r="FB10" i="6" s="1"/>
  <c r="FC10" i="6" s="1"/>
  <c r="FD10" i="6" s="1"/>
  <c r="FE10" i="6" s="1"/>
  <c r="FF10" i="6" s="1"/>
  <c r="FG10" i="6" s="1"/>
  <c r="FH10" i="6" s="1"/>
  <c r="FI10" i="6" s="1"/>
  <c r="FJ10" i="6" s="1"/>
  <c r="FK10" i="6" s="1"/>
  <c r="FL10" i="6" s="1"/>
  <c r="FM10" i="6" s="1"/>
  <c r="FN10" i="6" s="1"/>
  <c r="FO10" i="6" s="1"/>
  <c r="FP10" i="6" s="1"/>
  <c r="FQ10" i="6" s="1"/>
  <c r="FR10" i="6" s="1"/>
  <c r="FS10" i="6" s="1"/>
  <c r="FT10" i="6" s="1"/>
  <c r="FU10" i="6" s="1"/>
  <c r="FV10" i="6" s="1"/>
  <c r="FW10" i="6" s="1"/>
  <c r="FX10" i="6" s="1"/>
  <c r="FY10" i="6" s="1"/>
  <c r="FZ10" i="6" s="1"/>
  <c r="GA10" i="6" s="1"/>
  <c r="GB10" i="6" s="1"/>
  <c r="GC10" i="6" s="1"/>
  <c r="GD10" i="6" s="1"/>
  <c r="GE10" i="6" s="1"/>
  <c r="GF10" i="6" s="1"/>
  <c r="GG10" i="6" s="1"/>
  <c r="GH10" i="6" s="1"/>
  <c r="GI10" i="6" s="1"/>
  <c r="GJ10" i="6" s="1"/>
  <c r="GK10" i="6" s="1"/>
  <c r="GL10" i="6" s="1"/>
  <c r="GM10" i="6" s="1"/>
  <c r="GN10" i="6" s="1"/>
  <c r="GO10" i="6" s="1"/>
  <c r="GP10" i="6" s="1"/>
  <c r="GQ10" i="6" s="1"/>
  <c r="GR10" i="6" s="1"/>
  <c r="GS10" i="6" s="1"/>
  <c r="GT10" i="6" s="1"/>
  <c r="GU10" i="6" s="1"/>
  <c r="GV10" i="6" s="1"/>
  <c r="GW10" i="6" s="1"/>
  <c r="GX10" i="6" s="1"/>
  <c r="GY10" i="6" s="1"/>
  <c r="GZ10" i="6" s="1"/>
  <c r="HA10" i="6" s="1"/>
  <c r="HB10" i="6" s="1"/>
  <c r="HC10" i="6" s="1"/>
  <c r="HD10" i="6" s="1"/>
  <c r="HE10" i="6" s="1"/>
  <c r="HF10" i="6" s="1"/>
  <c r="HG10" i="6" s="1"/>
  <c r="HH10" i="6" s="1"/>
  <c r="HI10" i="6" s="1"/>
  <c r="HJ10" i="6" s="1"/>
  <c r="HK10" i="6" s="1"/>
  <c r="HL10" i="6" s="1"/>
  <c r="HM10" i="6" s="1"/>
  <c r="HN10" i="6" s="1"/>
  <c r="HO10" i="6" s="1"/>
  <c r="HP10" i="6" s="1"/>
  <c r="HQ10" i="6" s="1"/>
  <c r="HR10" i="6" s="1"/>
  <c r="HS10" i="6" s="1"/>
  <c r="HT10" i="6" s="1"/>
  <c r="HU10" i="6" s="1"/>
  <c r="HV10" i="6" s="1"/>
  <c r="HW10" i="6" s="1"/>
  <c r="HX10" i="6" s="1"/>
  <c r="HY10" i="6" s="1"/>
  <c r="HZ10" i="6" s="1"/>
  <c r="IA10" i="6" s="1"/>
  <c r="IB10" i="6" s="1"/>
  <c r="IC10" i="6" s="1"/>
  <c r="ID10" i="6" s="1"/>
  <c r="IE10" i="6" s="1"/>
  <c r="IF10" i="6" s="1"/>
  <c r="IG10" i="6" s="1"/>
  <c r="IH10" i="6" s="1"/>
  <c r="II10" i="6" s="1"/>
  <c r="IJ10" i="6" s="1"/>
  <c r="IK10" i="6" s="1"/>
  <c r="IL10" i="6" s="1"/>
  <c r="IM10" i="6" s="1"/>
  <c r="IN10" i="6" s="1"/>
  <c r="IO10" i="6" s="1"/>
  <c r="IP10" i="6" s="1"/>
  <c r="IQ10" i="6" s="1"/>
  <c r="IR10" i="6" s="1"/>
  <c r="IS10" i="6" s="1"/>
  <c r="IT10" i="6" s="1"/>
  <c r="IU10" i="6" s="1"/>
  <c r="IV10" i="6" s="1"/>
  <c r="IW10" i="6" s="1"/>
  <c r="IX10" i="6" s="1"/>
  <c r="IY10" i="6" s="1"/>
  <c r="IZ10" i="6" s="1"/>
  <c r="JA10" i="6" s="1"/>
  <c r="JB10" i="6" s="1"/>
  <c r="JC10" i="6" s="1"/>
  <c r="JD10" i="6" s="1"/>
  <c r="JE10" i="6" s="1"/>
  <c r="JF10" i="6" s="1"/>
  <c r="JG10" i="6" s="1"/>
  <c r="JH10" i="6" s="1"/>
  <c r="JI10" i="6" s="1"/>
  <c r="JJ10" i="6" s="1"/>
  <c r="JK10" i="6" s="1"/>
  <c r="JL10" i="6" s="1"/>
  <c r="JM10" i="6" s="1"/>
  <c r="JN10" i="6" s="1"/>
  <c r="JO10" i="6" s="1"/>
  <c r="JP10" i="6" s="1"/>
  <c r="JQ10" i="6" s="1"/>
  <c r="JR10" i="6" s="1"/>
  <c r="JS10" i="6" s="1"/>
  <c r="JT10" i="6" s="1"/>
  <c r="JU10" i="6" s="1"/>
  <c r="JV10" i="6" s="1"/>
  <c r="JW10" i="6" s="1"/>
  <c r="JX10" i="6" s="1"/>
  <c r="JY10" i="6" s="1"/>
  <c r="JZ10" i="6" s="1"/>
  <c r="KA10" i="6" s="1"/>
  <c r="KB10" i="6" s="1"/>
  <c r="KC10" i="6" s="1"/>
  <c r="KD10" i="6" s="1"/>
  <c r="KE10" i="6" s="1"/>
  <c r="KF10" i="6" s="1"/>
  <c r="KG10" i="6" s="1"/>
  <c r="KH10" i="6" s="1"/>
  <c r="KI10" i="6" s="1"/>
  <c r="KJ10" i="6" s="1"/>
  <c r="KK10" i="6" s="1"/>
  <c r="KL10" i="6" s="1"/>
  <c r="KM10" i="6" s="1"/>
  <c r="KN10" i="6" s="1"/>
  <c r="KO10" i="6" s="1"/>
  <c r="KP10" i="6" s="1"/>
  <c r="KQ10" i="6" s="1"/>
  <c r="KR10" i="6" s="1"/>
  <c r="KS10" i="6" s="1"/>
  <c r="KT10" i="6" s="1"/>
  <c r="KU10" i="6" s="1"/>
  <c r="KV10" i="6" s="1"/>
  <c r="KW10" i="6" s="1"/>
  <c r="KX10" i="6" s="1"/>
  <c r="KY10" i="6" s="1"/>
  <c r="KZ10" i="6" s="1"/>
  <c r="LA10" i="6" s="1"/>
  <c r="LB10" i="6" s="1"/>
  <c r="LC10" i="6" s="1"/>
  <c r="LD10" i="6" s="1"/>
  <c r="LE10" i="6" s="1"/>
  <c r="LF10" i="6" s="1"/>
  <c r="LG10" i="6" s="1"/>
  <c r="LH10" i="6" s="1"/>
  <c r="LI10" i="6" s="1"/>
  <c r="LJ10" i="6" s="1"/>
  <c r="LK10" i="6" s="1"/>
  <c r="LL10" i="6" s="1"/>
  <c r="LM10" i="6" s="1"/>
  <c r="LN10" i="6" s="1"/>
  <c r="LO10" i="6" s="1"/>
  <c r="LP10" i="6" s="1"/>
  <c r="LQ10" i="6" s="1"/>
  <c r="LR10" i="6" s="1"/>
  <c r="LS10" i="6" s="1"/>
  <c r="LT10" i="6" s="1"/>
  <c r="LU10" i="6" s="1"/>
  <c r="LV10" i="6" s="1"/>
  <c r="LW10" i="6" s="1"/>
  <c r="LX10" i="6" s="1"/>
  <c r="LY10" i="6" s="1"/>
  <c r="LZ10" i="6" s="1"/>
  <c r="MA10" i="6" s="1"/>
  <c r="MB10" i="6" s="1"/>
  <c r="MC10" i="6" s="1"/>
  <c r="MD10" i="6" s="1"/>
  <c r="ME10" i="6" s="1"/>
  <c r="MF10" i="6" s="1"/>
  <c r="MG10" i="6" s="1"/>
  <c r="MH10" i="6" s="1"/>
  <c r="MI10" i="6" s="1"/>
  <c r="MJ10" i="6" s="1"/>
  <c r="MK10" i="6" s="1"/>
  <c r="ML10" i="6" s="1"/>
  <c r="MM10" i="6" s="1"/>
  <c r="MN10" i="6" s="1"/>
  <c r="MO10" i="6" s="1"/>
  <c r="MP10" i="6" s="1"/>
  <c r="MQ10" i="6" s="1"/>
  <c r="MR10" i="6" s="1"/>
  <c r="MS10" i="6" s="1"/>
  <c r="MT10" i="6" s="1"/>
  <c r="MU10" i="6" s="1"/>
  <c r="MV10" i="6" s="1"/>
  <c r="MW10" i="6" s="1"/>
  <c r="MX10" i="6" s="1"/>
  <c r="MY10" i="6" s="1"/>
  <c r="MZ10" i="6" s="1"/>
  <c r="NA10" i="6" s="1"/>
  <c r="NB10" i="6" s="1"/>
  <c r="NC10" i="6" s="1"/>
  <c r="ND10" i="6" s="1"/>
  <c r="NE10" i="6" s="1"/>
  <c r="NF10" i="6" s="1"/>
  <c r="NG10" i="6" s="1"/>
  <c r="NH10" i="6" s="1"/>
  <c r="NI10" i="6" s="1"/>
  <c r="NJ10" i="6" s="1"/>
  <c r="NK10" i="6" s="1"/>
  <c r="NL10" i="6" s="1"/>
  <c r="NM10" i="6" s="1"/>
  <c r="NN10" i="6" s="1"/>
  <c r="NO10" i="6" s="1"/>
  <c r="NP10" i="6" s="1"/>
  <c r="NQ10" i="6" s="1"/>
  <c r="NR10" i="6" s="1"/>
  <c r="NS10" i="6" s="1"/>
  <c r="NT10" i="6" s="1"/>
  <c r="NU10" i="6" s="1"/>
  <c r="NV10" i="6" s="1"/>
  <c r="NW10" i="6" s="1"/>
  <c r="NX10" i="6" s="1"/>
  <c r="NY10" i="6" s="1"/>
  <c r="NZ10" i="6" s="1"/>
  <c r="OA10" i="6" s="1"/>
  <c r="OB10" i="6" s="1"/>
  <c r="OC10" i="6" s="1"/>
  <c r="OD10" i="6" s="1"/>
  <c r="OE10" i="6" s="1"/>
  <c r="OF10" i="6" s="1"/>
  <c r="OG10" i="6" s="1"/>
  <c r="OH10" i="6" s="1"/>
  <c r="OI10" i="6" s="1"/>
  <c r="OJ10" i="6" s="1"/>
  <c r="OK10" i="6" s="1"/>
  <c r="OL10" i="6" s="1"/>
  <c r="OM10" i="6" s="1"/>
  <c r="ON10" i="6" s="1"/>
  <c r="OO10" i="6" s="1"/>
  <c r="OP10" i="6" s="1"/>
  <c r="OQ10" i="6" s="1"/>
  <c r="OR10" i="6" s="1"/>
  <c r="OS10" i="6" s="1"/>
  <c r="OT10" i="6" s="1"/>
  <c r="OU10" i="6" s="1"/>
  <c r="OV10" i="6" s="1"/>
  <c r="OW10" i="6" s="1"/>
  <c r="OX10" i="6" s="1"/>
  <c r="OY10" i="6" s="1"/>
  <c r="OZ10" i="6" s="1"/>
  <c r="PA10" i="6" s="1"/>
  <c r="PB10" i="6" s="1"/>
  <c r="PC10" i="6" s="1"/>
  <c r="PD10" i="6" s="1"/>
  <c r="PE10" i="6" s="1"/>
  <c r="PF10" i="6" s="1"/>
  <c r="PG10" i="6" s="1"/>
  <c r="PH10" i="6" s="1"/>
  <c r="PI10" i="6" s="1"/>
  <c r="PJ10" i="6" s="1"/>
  <c r="PK10" i="6" s="1"/>
  <c r="PL10" i="6" s="1"/>
  <c r="PM10" i="6" s="1"/>
  <c r="PN10" i="6" s="1"/>
  <c r="PO10" i="6" s="1"/>
  <c r="PP10" i="6" s="1"/>
  <c r="PQ10" i="6" s="1"/>
  <c r="PR10" i="6" s="1"/>
  <c r="PS10" i="6" s="1"/>
  <c r="PT10" i="6" s="1"/>
  <c r="PU10" i="6" s="1"/>
  <c r="PV10" i="6" s="1"/>
  <c r="PW10" i="6" s="1"/>
  <c r="PX10" i="6" s="1"/>
  <c r="PY10" i="6" s="1"/>
  <c r="PZ10" i="6" s="1"/>
  <c r="QA10" i="6" s="1"/>
  <c r="QB10" i="6" s="1"/>
  <c r="QC10" i="6" s="1"/>
  <c r="QD10" i="6" s="1"/>
  <c r="QE10" i="6" s="1"/>
  <c r="QF10" i="6" s="1"/>
  <c r="QG10" i="6" s="1"/>
  <c r="QH10" i="6" s="1"/>
  <c r="QI10" i="6" s="1"/>
  <c r="QJ10" i="6" s="1"/>
  <c r="QK10" i="6" s="1"/>
  <c r="QL10" i="6" s="1"/>
  <c r="QM10" i="6" s="1"/>
  <c r="QN10" i="6" s="1"/>
  <c r="QO10" i="6" s="1"/>
  <c r="QP10" i="6" s="1"/>
  <c r="QQ10" i="6" s="1"/>
  <c r="QR10" i="6" s="1"/>
  <c r="QS10" i="6" s="1"/>
  <c r="QT10" i="6" s="1"/>
  <c r="QU10" i="6" s="1"/>
  <c r="QV10" i="6" s="1"/>
  <c r="QW10" i="6" s="1"/>
  <c r="QX10" i="6" s="1"/>
  <c r="QY10" i="6" s="1"/>
  <c r="QZ10" i="6" s="1"/>
  <c r="RA10" i="6" s="1"/>
  <c r="RB10" i="6" s="1"/>
  <c r="RC10" i="6" s="1"/>
  <c r="RD10" i="6" s="1"/>
  <c r="RE10" i="6" s="1"/>
  <c r="RF10" i="6" s="1"/>
  <c r="RG10" i="6" s="1"/>
  <c r="RH10" i="6" s="1"/>
  <c r="RI10" i="6" s="1"/>
  <c r="RJ10" i="6" s="1"/>
  <c r="RK10" i="6" s="1"/>
  <c r="RL10" i="6" s="1"/>
  <c r="RM10" i="6" s="1"/>
  <c r="RN10" i="6" s="1"/>
  <c r="RO10" i="6" s="1"/>
  <c r="RP10" i="6" s="1"/>
  <c r="RQ10" i="6" s="1"/>
  <c r="RR10" i="6" s="1"/>
  <c r="RS10" i="6" s="1"/>
  <c r="RT10" i="6" s="1"/>
  <c r="RU10" i="6" s="1"/>
  <c r="RV10" i="6" s="1"/>
  <c r="RW10" i="6" s="1"/>
  <c r="RX10" i="6" s="1"/>
  <c r="RY10" i="6" s="1"/>
  <c r="RZ10" i="6" s="1"/>
  <c r="SA10" i="6" s="1"/>
  <c r="SB10" i="6" s="1"/>
  <c r="SC10" i="6" s="1"/>
  <c r="SD10" i="6" s="1"/>
  <c r="SE10" i="6" s="1"/>
  <c r="SF10" i="6" s="1"/>
  <c r="SG10" i="6" s="1"/>
  <c r="SH10" i="6" s="1"/>
  <c r="SI10" i="6" s="1"/>
  <c r="SJ10" i="6" s="1"/>
  <c r="SK10" i="6" s="1"/>
  <c r="SL10" i="6" s="1"/>
  <c r="SM10" i="6" s="1"/>
  <c r="SN10" i="6" s="1"/>
  <c r="SO10" i="6" s="1"/>
  <c r="SP10" i="6" s="1"/>
  <c r="SQ10" i="6" s="1"/>
  <c r="SR10" i="6" s="1"/>
  <c r="SS10" i="6" s="1"/>
  <c r="ST10" i="6" s="1"/>
  <c r="SU10" i="6" s="1"/>
  <c r="SV10" i="6" s="1"/>
  <c r="SW10" i="6" s="1"/>
  <c r="SX10" i="6" s="1"/>
  <c r="SY10" i="6" s="1"/>
  <c r="SZ10" i="6" s="1"/>
  <c r="TA10" i="6" s="1"/>
  <c r="X10" i="6"/>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W7" i="6"/>
  <c r="V10" i="6" s="1"/>
  <c r="W10" i="6" s="1"/>
  <c r="C18" i="8"/>
  <c r="O7" i="8"/>
  <c r="N7" i="8"/>
  <c r="K8" i="8"/>
  <c r="K7" i="8"/>
  <c r="J7" i="8"/>
  <c r="I7" i="8"/>
  <c r="H7" i="8"/>
  <c r="X4" i="1"/>
  <c r="C6" i="8"/>
  <c r="FC12" i="6" l="1"/>
  <c r="FC13" i="6" s="1"/>
  <c r="EY12" i="6"/>
  <c r="EY13" i="6" s="1"/>
  <c r="EU12" i="6"/>
  <c r="EU13" i="6" s="1"/>
  <c r="EQ12" i="6"/>
  <c r="EQ13" i="6" s="1"/>
  <c r="EM12" i="6"/>
  <c r="EM13" i="6" s="1"/>
  <c r="EI12" i="6"/>
  <c r="EI13" i="6" s="1"/>
  <c r="EE12" i="6"/>
  <c r="EE13" i="6" s="1"/>
  <c r="EA12" i="6"/>
  <c r="EA13" i="6" s="1"/>
  <c r="DW12" i="6"/>
  <c r="DW13" i="6" s="1"/>
  <c r="DS12" i="6"/>
  <c r="DS13" i="6" s="1"/>
  <c r="DO12" i="6"/>
  <c r="DO13" i="6" s="1"/>
  <c r="DK12" i="6"/>
  <c r="DK13" i="6" s="1"/>
  <c r="DG12" i="6"/>
  <c r="DG13" i="6" s="1"/>
  <c r="DC12" i="6"/>
  <c r="DC13" i="6" s="1"/>
  <c r="CY12" i="6"/>
  <c r="CY13" i="6" s="1"/>
  <c r="CU12" i="6"/>
  <c r="CU13" i="6" s="1"/>
  <c r="CQ12" i="6"/>
  <c r="CQ13" i="6" s="1"/>
  <c r="CM12" i="6"/>
  <c r="CM13" i="6" s="1"/>
  <c r="CI12" i="6"/>
  <c r="CI13" i="6" s="1"/>
  <c r="CE12" i="6"/>
  <c r="CE13" i="6" s="1"/>
  <c r="CA12" i="6"/>
  <c r="CA13" i="6" s="1"/>
  <c r="BW12" i="6"/>
  <c r="BW13" i="6" s="1"/>
  <c r="X11" i="6"/>
  <c r="V11" i="6"/>
  <c r="Y11" i="6" l="1"/>
  <c r="W11" i="6"/>
  <c r="Z11" i="6" l="1"/>
  <c r="AA11" i="6" l="1"/>
  <c r="AB11" i="6" l="1"/>
  <c r="AC11" i="6" l="1"/>
  <c r="AD11" i="6" l="1"/>
  <c r="AE11" i="6" l="1"/>
  <c r="AF11" i="6" l="1"/>
  <c r="AG11" i="6" l="1"/>
  <c r="AH11" i="6" l="1"/>
  <c r="AI11" i="6" l="1"/>
  <c r="AJ11" i="6" l="1"/>
  <c r="AK11" i="6" l="1"/>
  <c r="AL11" i="6" l="1"/>
  <c r="AM11" i="6" l="1"/>
  <c r="AN11" i="6" l="1"/>
  <c r="AO11" i="6" l="1"/>
  <c r="AP11" i="6" l="1"/>
  <c r="AQ11" i="6" l="1"/>
  <c r="AR11" i="6" l="1"/>
  <c r="AS11" i="6" l="1"/>
  <c r="AT11" i="6" l="1"/>
  <c r="AU11" i="6" l="1"/>
  <c r="AV11" i="6" l="1"/>
  <c r="AW11" i="6" l="1"/>
  <c r="AX11" i="6" l="1"/>
  <c r="AY11" i="6" l="1"/>
  <c r="AZ11" i="6" l="1"/>
  <c r="BA11" i="6" l="1"/>
  <c r="BB11" i="6" l="1"/>
  <c r="BC11" i="6" l="1"/>
  <c r="BD11" i="6" l="1"/>
  <c r="BE11" i="6" l="1"/>
  <c r="BF11" i="6" l="1"/>
  <c r="BG11" i="6" l="1"/>
  <c r="BH11" i="6" l="1"/>
  <c r="BI11" i="6" l="1"/>
  <c r="BJ11" i="6" l="1"/>
  <c r="BK11" i="6" l="1"/>
  <c r="BL11" i="6" l="1"/>
  <c r="BM11" i="6" l="1"/>
  <c r="BN11" i="6" l="1"/>
  <c r="BO11" i="6" l="1"/>
  <c r="BP11" i="6" l="1"/>
  <c r="BQ11" i="6" l="1"/>
  <c r="BS11" i="6" l="1"/>
  <c r="BR11" i="6"/>
  <c r="BS13" i="6" l="1"/>
  <c r="X12" i="6" l="1"/>
  <c r="X13" i="6" s="1"/>
  <c r="Y12" i="6"/>
  <c r="Y13" i="6" s="1"/>
  <c r="Z12" i="6"/>
  <c r="Z13" i="6" s="1"/>
  <c r="AA12" i="6"/>
  <c r="AA13" i="6" s="1"/>
  <c r="AB12" i="6"/>
  <c r="AB13" i="6" s="1"/>
  <c r="AC12" i="6"/>
  <c r="AC13" i="6" s="1"/>
  <c r="AD12" i="6"/>
  <c r="AD13" i="6" s="1"/>
  <c r="AE12" i="6"/>
  <c r="AE13" i="6" s="1"/>
  <c r="V12" i="6"/>
  <c r="W12" i="6"/>
  <c r="W13" i="6" s="1"/>
  <c r="AF12" i="6"/>
  <c r="AF13" i="6" s="1"/>
  <c r="AG12" i="6"/>
  <c r="AG13" i="6" s="1"/>
  <c r="AH12" i="6"/>
  <c r="AH13" i="6" s="1"/>
  <c r="AI12" i="6"/>
  <c r="AI13" i="6" s="1"/>
  <c r="AJ12" i="6"/>
  <c r="AJ13" i="6" s="1"/>
  <c r="AK12" i="6"/>
  <c r="AK13" i="6" s="1"/>
  <c r="AL12" i="6"/>
  <c r="AL13" i="6" s="1"/>
  <c r="AM12" i="6"/>
  <c r="AM13" i="6" s="1"/>
  <c r="AN12" i="6"/>
  <c r="AN13" i="6" s="1"/>
  <c r="AO12" i="6"/>
  <c r="AO13" i="6" s="1"/>
  <c r="AP12" i="6"/>
  <c r="AP13" i="6" s="1"/>
  <c r="AQ12" i="6"/>
  <c r="AQ13" i="6" s="1"/>
  <c r="AR12" i="6"/>
  <c r="AR13" i="6" s="1"/>
  <c r="AS12" i="6"/>
  <c r="AS13" i="6" s="1"/>
  <c r="AT12" i="6"/>
  <c r="AT13" i="6" s="1"/>
  <c r="AU12" i="6"/>
  <c r="AU13" i="6" s="1"/>
  <c r="AV12" i="6"/>
  <c r="AV13" i="6" s="1"/>
  <c r="AW12" i="6"/>
  <c r="AW13" i="6" s="1"/>
  <c r="AX12" i="6"/>
  <c r="AX13" i="6" s="1"/>
  <c r="AY12" i="6"/>
  <c r="AY13" i="6" s="1"/>
  <c r="AZ12" i="6"/>
  <c r="AZ13" i="6" s="1"/>
  <c r="BA12" i="6"/>
  <c r="BA13" i="6" s="1"/>
  <c r="BB12" i="6"/>
  <c r="BB13" i="6" s="1"/>
  <c r="BC12" i="6"/>
  <c r="BC13" i="6" s="1"/>
  <c r="BD12" i="6"/>
  <c r="BD13" i="6" s="1"/>
  <c r="BE12" i="6"/>
  <c r="BE13" i="6" s="1"/>
  <c r="BF12" i="6"/>
  <c r="BF13" i="6" s="1"/>
  <c r="BG12" i="6"/>
  <c r="BG13" i="6" s="1"/>
  <c r="BH12" i="6"/>
  <c r="BH13" i="6" s="1"/>
  <c r="BI13" i="6"/>
  <c r="BJ13" i="6"/>
  <c r="BK13" i="6"/>
  <c r="BL13" i="6"/>
  <c r="BM13" i="6"/>
  <c r="BN13" i="6"/>
  <c r="BO13" i="6"/>
  <c r="BP13" i="6"/>
  <c r="BQ13" i="6"/>
  <c r="BR13" i="6"/>
  <c r="V13" i="6" l="1"/>
  <c r="S189" i="8" l="1"/>
  <c r="S190" i="8"/>
  <c r="S191" i="8"/>
  <c r="S192" i="8"/>
  <c r="S193" i="8"/>
  <c r="S194" i="8"/>
  <c r="S195" i="8"/>
  <c r="S196" i="8"/>
  <c r="S197" i="8"/>
  <c r="S198" i="8"/>
  <c r="S199" i="8"/>
  <c r="S200" i="8"/>
  <c r="S201" i="8"/>
  <c r="S202" i="8"/>
  <c r="S203" i="8"/>
  <c r="S204" i="8"/>
  <c r="S205" i="8"/>
  <c r="S206" i="8"/>
  <c r="S207" i="8"/>
  <c r="S188" i="8"/>
  <c r="T207" i="8"/>
  <c r="T193" i="8"/>
  <c r="T194" i="8"/>
  <c r="T195" i="8"/>
  <c r="T196" i="8"/>
  <c r="T197" i="8"/>
  <c r="T198" i="8"/>
  <c r="T199" i="8"/>
  <c r="T200" i="8"/>
  <c r="T201" i="8"/>
  <c r="T202" i="8"/>
  <c r="T203" i="8"/>
  <c r="T204" i="8"/>
  <c r="T205" i="8"/>
  <c r="T206" i="8"/>
  <c r="T192" i="8"/>
  <c r="T191" i="8"/>
  <c r="T190" i="8"/>
  <c r="T189" i="8"/>
  <c r="T188" i="8"/>
  <c r="T181" i="8"/>
  <c r="S186" i="8"/>
  <c r="T185" i="8" s="1"/>
  <c r="T183" i="8"/>
  <c r="T184" i="8"/>
  <c r="T182" i="8"/>
  <c r="F45" i="8"/>
  <c r="F48" i="8" s="1"/>
  <c r="O181" i="8" l="1"/>
  <c r="D95" i="8" l="1"/>
  <c r="I90" i="8" l="1"/>
  <c r="D112" i="8" s="1"/>
  <c r="I130" i="8" s="1"/>
  <c r="I95" i="8"/>
  <c r="I102" i="8" s="1"/>
  <c r="G132" i="8" l="1"/>
  <c r="H132" i="8"/>
  <c r="F132" i="8"/>
  <c r="B170" i="8" l="1"/>
  <c r="C170" i="8"/>
  <c r="D170" i="8"/>
  <c r="B171" i="8"/>
  <c r="C171" i="8"/>
  <c r="D171" i="8"/>
  <c r="B172" i="8"/>
  <c r="C172" i="8"/>
  <c r="D172" i="8"/>
  <c r="J117" i="8" l="1"/>
  <c r="J116" i="8"/>
  <c r="G150" i="8"/>
  <c r="G160" i="8" s="1"/>
  <c r="H150" i="8"/>
  <c r="I150" i="8"/>
  <c r="J150" i="8"/>
  <c r="K150" i="8"/>
  <c r="L150" i="8"/>
  <c r="M150" i="8"/>
  <c r="N150" i="8"/>
  <c r="O150" i="8"/>
  <c r="P150" i="8"/>
  <c r="Q150" i="8"/>
  <c r="R150" i="8"/>
  <c r="S150" i="8"/>
  <c r="T150" i="8"/>
  <c r="P169" i="8" s="1"/>
  <c r="U150" i="8"/>
  <c r="Q169" i="8" s="1"/>
  <c r="V150" i="8"/>
  <c r="R169" i="8" s="1"/>
  <c r="W150" i="8"/>
  <c r="S169" i="8" s="1"/>
  <c r="X150" i="8"/>
  <c r="T169" i="8" s="1"/>
  <c r="Y150" i="8"/>
  <c r="U169" i="8" s="1"/>
  <c r="Z150" i="8"/>
  <c r="V169" i="8" s="1"/>
  <c r="AA150" i="8"/>
  <c r="W169" i="8" s="1"/>
  <c r="AB150" i="8"/>
  <c r="X169" i="8" s="1"/>
  <c r="AC150" i="8"/>
  <c r="Y169" i="8" s="1"/>
  <c r="AD150" i="8"/>
  <c r="Z169" i="8" s="1"/>
  <c r="AE150" i="8"/>
  <c r="AA169" i="8" s="1"/>
  <c r="AF150" i="8"/>
  <c r="AB169" i="8" s="1"/>
  <c r="AG150" i="8"/>
  <c r="AC169" i="8" s="1"/>
  <c r="AH150" i="8"/>
  <c r="AD169" i="8" s="1"/>
  <c r="AI150" i="8"/>
  <c r="AE169" i="8" s="1"/>
  <c r="AJ150" i="8"/>
  <c r="AF169" i="8" s="1"/>
  <c r="AK150" i="8"/>
  <c r="AG169" i="8" s="1"/>
  <c r="AL150" i="8"/>
  <c r="AH169" i="8" s="1"/>
  <c r="F150" i="8"/>
  <c r="L130" i="8"/>
  <c r="L132" i="8" s="1"/>
  <c r="L155" i="8" s="1"/>
  <c r="B169" i="8" l="1"/>
  <c r="F160" i="8"/>
  <c r="O169" i="8"/>
  <c r="S160" i="8"/>
  <c r="D169" i="8"/>
  <c r="H160" i="8"/>
  <c r="C169" i="8"/>
  <c r="H170" i="8"/>
  <c r="K130" i="8"/>
  <c r="K132" i="8" s="1"/>
  <c r="K155" i="8" s="1"/>
  <c r="AI130" i="8"/>
  <c r="AI132" i="8" s="1"/>
  <c r="AI155" i="8" s="1"/>
  <c r="AE130" i="8"/>
  <c r="AE132" i="8" s="1"/>
  <c r="AE155" i="8" s="1"/>
  <c r="AA130" i="8"/>
  <c r="AA132" i="8" s="1"/>
  <c r="AA155" i="8" s="1"/>
  <c r="W130" i="8"/>
  <c r="W132" i="8" s="1"/>
  <c r="W155" i="8" s="1"/>
  <c r="S130" i="8"/>
  <c r="S132" i="8" s="1"/>
  <c r="S155" i="8" s="1"/>
  <c r="O130" i="8"/>
  <c r="O132" i="8" s="1"/>
  <c r="O155" i="8" s="1"/>
  <c r="I132" i="8"/>
  <c r="AL130" i="8"/>
  <c r="AL132" i="8" s="1"/>
  <c r="AL155" i="8" s="1"/>
  <c r="AH130" i="8"/>
  <c r="AH132" i="8" s="1"/>
  <c r="AH155" i="8" s="1"/>
  <c r="AD130" i="8"/>
  <c r="AD132" i="8" s="1"/>
  <c r="AD155" i="8" s="1"/>
  <c r="Z130" i="8"/>
  <c r="Z132" i="8" s="1"/>
  <c r="Z155" i="8" s="1"/>
  <c r="V130" i="8"/>
  <c r="V132" i="8" s="1"/>
  <c r="V155" i="8" s="1"/>
  <c r="R130" i="8"/>
  <c r="R132" i="8" s="1"/>
  <c r="R155" i="8" s="1"/>
  <c r="N130" i="8"/>
  <c r="N132" i="8" s="1"/>
  <c r="N155" i="8" s="1"/>
  <c r="AK130" i="8"/>
  <c r="AK132" i="8" s="1"/>
  <c r="AK155" i="8" s="1"/>
  <c r="AG130" i="8"/>
  <c r="AG132" i="8" s="1"/>
  <c r="AG155" i="8" s="1"/>
  <c r="AC130" i="8"/>
  <c r="AC132" i="8" s="1"/>
  <c r="AC155" i="8" s="1"/>
  <c r="Y130" i="8"/>
  <c r="Y132" i="8" s="1"/>
  <c r="Y155" i="8" s="1"/>
  <c r="U130" i="8"/>
  <c r="U132" i="8" s="1"/>
  <c r="U155" i="8" s="1"/>
  <c r="Q130" i="8"/>
  <c r="Q132" i="8" s="1"/>
  <c r="Q155" i="8" s="1"/>
  <c r="M130" i="8"/>
  <c r="M132" i="8" s="1"/>
  <c r="M155" i="8" s="1"/>
  <c r="J130" i="8"/>
  <c r="J132" i="8" s="1"/>
  <c r="J155" i="8" s="1"/>
  <c r="AJ130" i="8"/>
  <c r="AJ132" i="8" s="1"/>
  <c r="AJ155" i="8" s="1"/>
  <c r="AF130" i="8"/>
  <c r="AF132" i="8" s="1"/>
  <c r="AF155" i="8" s="1"/>
  <c r="AB130" i="8"/>
  <c r="AB132" i="8" s="1"/>
  <c r="AB155" i="8" s="1"/>
  <c r="X130" i="8"/>
  <c r="X132" i="8" s="1"/>
  <c r="X155" i="8" s="1"/>
  <c r="T130" i="8"/>
  <c r="T132" i="8" s="1"/>
  <c r="T155" i="8" s="1"/>
  <c r="P130" i="8"/>
  <c r="P132" i="8" s="1"/>
  <c r="P155" i="8" s="1"/>
  <c r="I155" i="8" l="1"/>
  <c r="E170" i="8" s="1"/>
  <c r="X170" i="8"/>
  <c r="O170" i="8"/>
  <c r="AC170" i="8"/>
  <c r="Q170" i="8"/>
  <c r="W170" i="8"/>
  <c r="I170" i="8"/>
  <c r="Y170" i="8"/>
  <c r="AE170" i="8"/>
  <c r="K170" i="8"/>
  <c r="AA170" i="8"/>
  <c r="R170" i="8"/>
  <c r="V170" i="8"/>
  <c r="AF170" i="8"/>
  <c r="L170" i="8"/>
  <c r="AH170" i="8"/>
  <c r="G170" i="8"/>
  <c r="AB170" i="8"/>
  <c r="M170" i="8"/>
  <c r="AG170" i="8"/>
  <c r="F170" i="8"/>
  <c r="J170" i="8"/>
  <c r="Z170" i="8"/>
  <c r="N170" i="8"/>
  <c r="AD170" i="8"/>
  <c r="T170" i="8"/>
  <c r="U170" i="8"/>
  <c r="S170" i="8"/>
  <c r="P170" i="8"/>
  <c r="E155" i="8" l="1"/>
  <c r="I59" i="8" l="1"/>
  <c r="E80" i="8"/>
  <c r="I66" i="8"/>
  <c r="I65" i="8"/>
  <c r="E75" i="8" s="1"/>
  <c r="I64" i="8"/>
  <c r="I62" i="8"/>
  <c r="I63" i="8"/>
  <c r="I60" i="8"/>
  <c r="AH141" i="8" l="1"/>
  <c r="AL141" i="8"/>
  <c r="AF141" i="8"/>
  <c r="AG141" i="8"/>
  <c r="AE141" i="8"/>
  <c r="AI141" i="8"/>
  <c r="I142" i="8"/>
  <c r="AJ141" i="8"/>
  <c r="AK141" i="8"/>
  <c r="I68" i="8"/>
  <c r="J142" i="8" l="1"/>
  <c r="K142" i="8" s="1"/>
  <c r="L142" i="8" s="1"/>
  <c r="M142" i="8" s="1"/>
  <c r="N142" i="8" s="1"/>
  <c r="O142" i="8" s="1"/>
  <c r="P142" i="8" s="1"/>
  <c r="Q142" i="8" s="1"/>
  <c r="R142" i="8" s="1"/>
  <c r="S142" i="8" s="1"/>
  <c r="T142" i="8" s="1"/>
  <c r="U142" i="8" s="1"/>
  <c r="V142" i="8" s="1"/>
  <c r="W142" i="8" s="1"/>
  <c r="X142" i="8" s="1"/>
  <c r="Y142" i="8" s="1"/>
  <c r="Z142" i="8" s="1"/>
  <c r="AA142" i="8" s="1"/>
  <c r="AB142" i="8" s="1"/>
  <c r="AC142" i="8" s="1"/>
  <c r="AD142" i="8" s="1"/>
  <c r="AE142" i="8" s="1"/>
  <c r="AF142" i="8" s="1"/>
  <c r="AG142" i="8" s="1"/>
  <c r="AH142" i="8" s="1"/>
  <c r="AI142" i="8" s="1"/>
  <c r="AJ142" i="8" s="1"/>
  <c r="AK142" i="8" s="1"/>
  <c r="AL142" i="8" s="1"/>
  <c r="E70" i="8"/>
  <c r="M62" i="8"/>
  <c r="M61" i="8"/>
  <c r="M58" i="8"/>
  <c r="M63" i="8"/>
  <c r="M64" i="8"/>
  <c r="M59" i="8"/>
  <c r="M60" i="8"/>
  <c r="E72" i="8" l="1"/>
  <c r="E76" i="8" s="1"/>
  <c r="D94" i="8" s="1"/>
  <c r="I94" i="8" s="1"/>
  <c r="D107" i="8" l="1"/>
  <c r="H122" i="8"/>
  <c r="H157" i="8" s="1"/>
  <c r="F122" i="8"/>
  <c r="I99" i="8"/>
  <c r="I101" i="8" s="1"/>
  <c r="F123" i="8"/>
  <c r="F158" i="8" s="1"/>
  <c r="E81" i="8"/>
  <c r="D96" i="8" s="1"/>
  <c r="I138" i="8" l="1"/>
  <c r="I139" i="8" s="1"/>
  <c r="M138" i="8"/>
  <c r="J138" i="8"/>
  <c r="N138" i="8"/>
  <c r="K138" i="8"/>
  <c r="O138" i="8"/>
  <c r="L138" i="8"/>
  <c r="P138" i="8"/>
  <c r="I96" i="8"/>
  <c r="I103" i="8" s="1"/>
  <c r="H124" i="8" s="1"/>
  <c r="D168" i="8" s="1"/>
  <c r="F157" i="8"/>
  <c r="Q138" i="8"/>
  <c r="U138" i="8"/>
  <c r="Y138" i="8"/>
  <c r="AC138" i="8"/>
  <c r="AG138" i="8"/>
  <c r="AK138" i="8"/>
  <c r="AA138" i="8"/>
  <c r="AI138" i="8"/>
  <c r="X138" i="8"/>
  <c r="AF138" i="8"/>
  <c r="R138" i="8"/>
  <c r="V138" i="8"/>
  <c r="Z138" i="8"/>
  <c r="AD138" i="8"/>
  <c r="AH138" i="8"/>
  <c r="AL138" i="8"/>
  <c r="S138" i="8"/>
  <c r="W138" i="8"/>
  <c r="AE138" i="8"/>
  <c r="T138" i="8"/>
  <c r="AB138" i="8"/>
  <c r="AJ138" i="8"/>
  <c r="E83" i="8"/>
  <c r="E158" i="8"/>
  <c r="B167" i="8"/>
  <c r="B166" i="8"/>
  <c r="F128" i="8"/>
  <c r="F127" i="8" s="1"/>
  <c r="F152" i="8" s="1"/>
  <c r="D166" i="8"/>
  <c r="G122" i="8"/>
  <c r="G157" i="8" s="1"/>
  <c r="C166" i="8" s="1"/>
  <c r="J139" i="8" l="1"/>
  <c r="K139" i="8" s="1"/>
  <c r="E157" i="8"/>
  <c r="J62" i="8"/>
  <c r="J66" i="8"/>
  <c r="J63" i="8"/>
  <c r="J68" i="8"/>
  <c r="J64" i="8"/>
  <c r="J59" i="8"/>
  <c r="J60" i="8"/>
  <c r="J65" i="8"/>
  <c r="L139" i="8"/>
  <c r="M139" i="8" s="1"/>
  <c r="N139" i="8" s="1"/>
  <c r="O139" i="8" s="1"/>
  <c r="P139" i="8" s="1"/>
  <c r="Q139" i="8" s="1"/>
  <c r="R139" i="8" s="1"/>
  <c r="S139" i="8" s="1"/>
  <c r="T139" i="8" s="1"/>
  <c r="U139" i="8" s="1"/>
  <c r="V139" i="8" s="1"/>
  <c r="W139" i="8" s="1"/>
  <c r="X139" i="8" s="1"/>
  <c r="Y139" i="8" s="1"/>
  <c r="Z139" i="8" s="1"/>
  <c r="AA139" i="8" s="1"/>
  <c r="AB139" i="8" s="1"/>
  <c r="AC139" i="8" s="1"/>
  <c r="AD139" i="8" s="1"/>
  <c r="AE139" i="8" s="1"/>
  <c r="AF139" i="8" s="1"/>
  <c r="AG139" i="8" s="1"/>
  <c r="AH139" i="8" s="1"/>
  <c r="AI139" i="8" s="1"/>
  <c r="AJ139" i="8" s="1"/>
  <c r="AK139" i="8" s="1"/>
  <c r="AL139" i="8" s="1"/>
  <c r="B173" i="8"/>
  <c r="G128" i="8"/>
  <c r="G127" i="8" s="1"/>
  <c r="G152" i="8" s="1"/>
  <c r="L126" i="8"/>
  <c r="L160" i="8" s="1"/>
  <c r="J126" i="8"/>
  <c r="J160" i="8" s="1"/>
  <c r="K126" i="8"/>
  <c r="K160" i="8" s="1"/>
  <c r="Q126" i="8"/>
  <c r="Q160" i="8" s="1"/>
  <c r="N126" i="8"/>
  <c r="N160" i="8" s="1"/>
  <c r="O126" i="8"/>
  <c r="O160" i="8" s="1"/>
  <c r="M126" i="8"/>
  <c r="M160" i="8" s="1"/>
  <c r="P126" i="8"/>
  <c r="P160" i="8" s="1"/>
  <c r="I126" i="8"/>
  <c r="I160" i="8" s="1"/>
  <c r="R126" i="8"/>
  <c r="R160" i="8" s="1"/>
  <c r="E126" i="8" l="1"/>
  <c r="Q176" i="8" s="1"/>
  <c r="I169" i="8"/>
  <c r="K169" i="8"/>
  <c r="L169" i="8"/>
  <c r="M169" i="8"/>
  <c r="G169" i="8"/>
  <c r="N169" i="8"/>
  <c r="F169" i="8"/>
  <c r="E169" i="8"/>
  <c r="J169" i="8"/>
  <c r="H169" i="8"/>
  <c r="C173" i="8"/>
  <c r="H128" i="8"/>
  <c r="H127" i="8" s="1"/>
  <c r="H152" i="8" s="1"/>
  <c r="D173" i="8" l="1"/>
  <c r="I127" i="8"/>
  <c r="I128" i="8" s="1"/>
  <c r="J127" i="8" s="1"/>
  <c r="J128" i="8" s="1"/>
  <c r="K127" i="8" l="1"/>
  <c r="K128" i="8" s="1"/>
  <c r="L127" i="8" l="1"/>
  <c r="L128" i="8" s="1"/>
  <c r="M127" i="8" s="1"/>
  <c r="M128" i="8" s="1"/>
  <c r="N127" i="8" s="1"/>
  <c r="N128" i="8" s="1"/>
  <c r="O127" i="8" s="1"/>
  <c r="O128" i="8" s="1"/>
  <c r="P127" i="8" s="1"/>
  <c r="P128" i="8" s="1"/>
  <c r="Q127" i="8" l="1"/>
  <c r="Q128" i="8" s="1"/>
  <c r="R127" i="8" s="1"/>
  <c r="R128" i="8" s="1"/>
  <c r="S127" i="8" s="1"/>
  <c r="S128" i="8" s="1"/>
  <c r="T127" i="8" s="1"/>
  <c r="T128" i="8" s="1"/>
  <c r="U127" i="8" s="1"/>
  <c r="U128" i="8" s="1"/>
  <c r="V127" i="8" l="1"/>
  <c r="V128" i="8" s="1"/>
  <c r="W127" i="8" s="1"/>
  <c r="W128" i="8" s="1"/>
  <c r="X127" i="8" s="1"/>
  <c r="X128" i="8" s="1"/>
  <c r="Y127" i="8" s="1"/>
  <c r="Y128" i="8" s="1"/>
  <c r="Z127" i="8" s="1"/>
  <c r="Z128" i="8" s="1"/>
  <c r="AA127" i="8" s="1"/>
  <c r="AA128" i="8" s="1"/>
  <c r="AB127" i="8" s="1"/>
  <c r="AB128" i="8" s="1"/>
  <c r="AC127" i="8" s="1"/>
  <c r="AC128" i="8" s="1"/>
  <c r="AD127" i="8" l="1"/>
  <c r="AD128" i="8" s="1"/>
  <c r="AE127" i="8" s="1"/>
  <c r="AE128" i="8" s="1"/>
  <c r="AF127" i="8" s="1"/>
  <c r="AF128" i="8" s="1"/>
  <c r="AG127" i="8" s="1"/>
  <c r="AG128" i="8" s="1"/>
  <c r="AH127" i="8" s="1"/>
  <c r="AH128" i="8" s="1"/>
  <c r="AI127" i="8" s="1"/>
  <c r="AI128" i="8" s="1"/>
  <c r="AJ127" i="8" s="1"/>
  <c r="AJ128" i="8" s="1"/>
  <c r="AK127" i="8" l="1"/>
  <c r="AK128" i="8" s="1"/>
  <c r="AL127" i="8" l="1"/>
  <c r="AL128" i="8" s="1"/>
  <c r="E51" i="8" l="1"/>
  <c r="B31" i="8" l="1"/>
  <c r="D31" i="8" s="1"/>
  <c r="B35" i="8" l="1"/>
  <c r="B42" i="8"/>
  <c r="D42" i="8" s="1"/>
  <c r="C33" i="8" l="1"/>
  <c r="C30" i="8"/>
  <c r="S20" i="1" l="1"/>
  <c r="O75" i="9"/>
  <c r="Q60" i="9"/>
  <c r="F60" i="9" s="1"/>
  <c r="E60" i="9"/>
  <c r="B72" i="9"/>
  <c r="H72" i="9" s="1"/>
  <c r="M41" i="1"/>
  <c r="C18" i="1"/>
  <c r="K17" i="2"/>
  <c r="A16" i="2" s="1"/>
  <c r="B43" i="9"/>
  <c r="B44" i="9"/>
  <c r="B42" i="9"/>
  <c r="B40" i="9"/>
  <c r="C105" i="1"/>
  <c r="C106" i="1"/>
  <c r="C107" i="1"/>
  <c r="C104" i="1"/>
  <c r="C55" i="1"/>
  <c r="A11" i="2" s="1"/>
  <c r="C54" i="1"/>
  <c r="A10" i="2" s="1"/>
  <c r="C53" i="1"/>
  <c r="A9" i="2" s="1"/>
  <c r="C11" i="1"/>
  <c r="C10" i="1" s="1"/>
  <c r="C36" i="1"/>
  <c r="C35" i="1"/>
  <c r="C34" i="1"/>
  <c r="C49" i="1"/>
  <c r="C48" i="1"/>
  <c r="C47" i="1"/>
  <c r="A12" i="2"/>
  <c r="K6" i="3"/>
  <c r="M60" i="9" l="1"/>
  <c r="H60" i="9"/>
  <c r="L60" i="9"/>
  <c r="I60" i="9"/>
  <c r="C9" i="1"/>
  <c r="K60" i="9"/>
  <c r="G60" i="9"/>
  <c r="D60" i="9"/>
  <c r="J60" i="9"/>
  <c r="G72" i="9"/>
  <c r="D72" i="9"/>
  <c r="K72" i="9"/>
  <c r="J72" i="9"/>
  <c r="F72" i="9"/>
  <c r="M72" i="9"/>
  <c r="I72" i="9"/>
  <c r="E72" i="9"/>
  <c r="L72" i="9"/>
  <c r="K18" i="2"/>
  <c r="K19" i="2" s="1"/>
  <c r="K20" i="2" s="1"/>
  <c r="C26" i="1"/>
  <c r="C25" i="1"/>
  <c r="C24" i="1" s="1"/>
  <c r="C23" i="1" s="1"/>
  <c r="C22" i="1" s="1"/>
  <c r="C21" i="1" s="1"/>
  <c r="C108" i="1"/>
  <c r="M47" i="9"/>
  <c r="AB77" i="9" s="1"/>
  <c r="M48" i="9"/>
  <c r="AB78" i="9" s="1"/>
  <c r="M49" i="9"/>
  <c r="AB79" i="9" s="1"/>
  <c r="M50" i="9"/>
  <c r="AB80" i="9" s="1"/>
  <c r="L47" i="9"/>
  <c r="AA77" i="9" s="1"/>
  <c r="L48" i="9"/>
  <c r="AA78" i="9" s="1"/>
  <c r="L49" i="9"/>
  <c r="AA79" i="9" s="1"/>
  <c r="L50" i="9"/>
  <c r="AA80" i="9" s="1"/>
  <c r="K47" i="9"/>
  <c r="Z77" i="9" s="1"/>
  <c r="K48" i="9"/>
  <c r="Z78" i="9" s="1"/>
  <c r="K49" i="9"/>
  <c r="Z79" i="9" s="1"/>
  <c r="K50" i="9"/>
  <c r="Z80" i="9" s="1"/>
  <c r="J47" i="9"/>
  <c r="Y77" i="9" s="1"/>
  <c r="J48" i="9"/>
  <c r="Y78" i="9" s="1"/>
  <c r="J49" i="9"/>
  <c r="Y79" i="9" s="1"/>
  <c r="J50" i="9"/>
  <c r="Y80" i="9" s="1"/>
  <c r="I47" i="9"/>
  <c r="X77" i="9" s="1"/>
  <c r="I48" i="9"/>
  <c r="X78" i="9" s="1"/>
  <c r="I49" i="9"/>
  <c r="X79" i="9" s="1"/>
  <c r="I50" i="9"/>
  <c r="X80" i="9" s="1"/>
  <c r="H47" i="9"/>
  <c r="W77" i="9" s="1"/>
  <c r="H48" i="9"/>
  <c r="W78" i="9" s="1"/>
  <c r="H49" i="9"/>
  <c r="W79" i="9" s="1"/>
  <c r="H50" i="9"/>
  <c r="W80" i="9" s="1"/>
  <c r="G47" i="9"/>
  <c r="V77" i="9" s="1"/>
  <c r="G48" i="9"/>
  <c r="V78" i="9" s="1"/>
  <c r="G49" i="9"/>
  <c r="V79" i="9" s="1"/>
  <c r="G50" i="9"/>
  <c r="V80" i="9" s="1"/>
  <c r="F47" i="9"/>
  <c r="U77" i="9" s="1"/>
  <c r="F48" i="9"/>
  <c r="U78" i="9" s="1"/>
  <c r="F49" i="9"/>
  <c r="U79" i="9" s="1"/>
  <c r="F50" i="9"/>
  <c r="U80" i="9" s="1"/>
  <c r="E47" i="9"/>
  <c r="T77" i="9" s="1"/>
  <c r="E48" i="9"/>
  <c r="T78" i="9" s="1"/>
  <c r="E49" i="9"/>
  <c r="T79" i="9" s="1"/>
  <c r="E50" i="9"/>
  <c r="T80" i="9" s="1"/>
  <c r="D47" i="9"/>
  <c r="S77" i="9" s="1"/>
  <c r="D48" i="9"/>
  <c r="S78" i="9" s="1"/>
  <c r="D49" i="9"/>
  <c r="S79" i="9" s="1"/>
  <c r="D50" i="9"/>
  <c r="S80" i="9" s="1"/>
  <c r="L51" i="9"/>
  <c r="AA81" i="9" s="1"/>
  <c r="C30" i="1" l="1"/>
  <c r="K22" i="2"/>
  <c r="K24" i="2" s="1"/>
  <c r="K21" i="2"/>
  <c r="C115" i="1" s="1"/>
  <c r="A15" i="2"/>
  <c r="A18" i="2" s="1"/>
  <c r="E51" i="9"/>
  <c r="T81" i="9" s="1"/>
  <c r="G51" i="9"/>
  <c r="V81" i="9" s="1"/>
  <c r="K51" i="9"/>
  <c r="Z81" i="9" s="1"/>
  <c r="D51" i="9"/>
  <c r="S81" i="9" s="1"/>
  <c r="I51" i="9"/>
  <c r="X81" i="9" s="1"/>
  <c r="M51" i="9"/>
  <c r="AB81" i="9" s="1"/>
  <c r="F51" i="9"/>
  <c r="U81" i="9" s="1"/>
  <c r="H51" i="9"/>
  <c r="W81" i="9" s="1"/>
  <c r="J51" i="9"/>
  <c r="Y81" i="9" s="1"/>
  <c r="A8" i="3"/>
  <c r="A9" i="3"/>
  <c r="A7" i="3"/>
  <c r="A6" i="3"/>
  <c r="A5" i="3"/>
  <c r="C110" i="1" l="1"/>
  <c r="C100" i="1"/>
  <c r="M52" i="9"/>
  <c r="AB82" i="9" s="1"/>
  <c r="K52" i="9"/>
  <c r="Z82" i="9" s="1"/>
  <c r="I52" i="9"/>
  <c r="X82" i="9" s="1"/>
  <c r="L52" i="9"/>
  <c r="AA82" i="9" s="1"/>
  <c r="J52" i="9"/>
  <c r="Y82" i="9" s="1"/>
  <c r="H52" i="9"/>
  <c r="W82" i="9" s="1"/>
  <c r="F52" i="9"/>
  <c r="U82" i="9" s="1"/>
  <c r="D52" i="9"/>
  <c r="S82" i="9" s="1"/>
  <c r="E52" i="9"/>
  <c r="T82" i="9" s="1"/>
  <c r="G52" i="9"/>
  <c r="V82" i="9" s="1"/>
  <c r="F5" i="2"/>
  <c r="F7" i="2"/>
  <c r="A13" i="2"/>
  <c r="B45" i="9" l="1"/>
  <c r="F45" i="9" s="1"/>
  <c r="U75" i="9" s="1"/>
  <c r="F6" i="2"/>
  <c r="B54" i="9"/>
  <c r="D54" i="9" s="1"/>
  <c r="M53" i="9"/>
  <c r="AB83" i="9" s="1"/>
  <c r="K53" i="9"/>
  <c r="Z83" i="9" s="1"/>
  <c r="I53" i="9"/>
  <c r="X83" i="9" s="1"/>
  <c r="G53" i="9"/>
  <c r="V83" i="9" s="1"/>
  <c r="E53" i="9"/>
  <c r="T83" i="9" s="1"/>
  <c r="J53" i="9"/>
  <c r="Y83" i="9" s="1"/>
  <c r="F53" i="9"/>
  <c r="U83" i="9" s="1"/>
  <c r="L53" i="9"/>
  <c r="AA83" i="9" s="1"/>
  <c r="H53" i="9"/>
  <c r="W83" i="9" s="1"/>
  <c r="D53" i="9"/>
  <c r="S83" i="9" s="1"/>
  <c r="C99" i="1"/>
  <c r="C95" i="1"/>
  <c r="C79" i="1"/>
  <c r="C66" i="1"/>
  <c r="C52" i="1"/>
  <c r="C29" i="1"/>
  <c r="C14" i="1"/>
  <c r="B44" i="6"/>
  <c r="J20" i="6"/>
  <c r="F20" i="6"/>
  <c r="B20" i="6"/>
  <c r="K45" i="9" l="1"/>
  <c r="Z75" i="9" s="1"/>
  <c r="H45" i="9"/>
  <c r="W75" i="9" s="1"/>
  <c r="J45" i="9"/>
  <c r="Y75" i="9" s="1"/>
  <c r="E45" i="9"/>
  <c r="T75" i="9" s="1"/>
  <c r="D45" i="9"/>
  <c r="S75" i="9" s="1"/>
  <c r="L45" i="9"/>
  <c r="AA75" i="9" s="1"/>
  <c r="M45" i="9"/>
  <c r="AB75" i="9" s="1"/>
  <c r="G45" i="9"/>
  <c r="V75" i="9" s="1"/>
  <c r="I45" i="9"/>
  <c r="X75" i="9" s="1"/>
  <c r="F18" i="2"/>
  <c r="K54" i="9"/>
  <c r="Z84" i="9" s="1"/>
  <c r="L54" i="9"/>
  <c r="AA84" i="9" s="1"/>
  <c r="M54" i="9"/>
  <c r="AB84" i="9" s="1"/>
  <c r="J54" i="9"/>
  <c r="Y84" i="9" s="1"/>
  <c r="G54" i="9"/>
  <c r="V84" i="9" s="1"/>
  <c r="F54" i="9"/>
  <c r="U84" i="9" s="1"/>
  <c r="S84" i="9"/>
  <c r="I54" i="9"/>
  <c r="X84" i="9" s="1"/>
  <c r="E54" i="9"/>
  <c r="T84" i="9" s="1"/>
  <c r="H54" i="9"/>
  <c r="W84" i="9" s="1"/>
  <c r="D14" i="5"/>
  <c r="D12" i="5"/>
  <c r="D11" i="5"/>
  <c r="D4" i="5"/>
  <c r="H91" i="1" l="1"/>
  <c r="H102" i="1" s="1"/>
  <c r="H90" i="1"/>
  <c r="H101" i="1" s="1"/>
  <c r="H89" i="1"/>
  <c r="H100" i="1" s="1"/>
  <c r="H59" i="1"/>
  <c r="H58" i="1"/>
  <c r="H57" i="1"/>
  <c r="H55" i="1"/>
  <c r="H56" i="1" s="1"/>
  <c r="H53" i="1"/>
  <c r="H54" i="1" s="1"/>
  <c r="H33" i="1"/>
  <c r="H85" i="1" l="1"/>
  <c r="H87" i="1"/>
  <c r="H98" i="1" s="1"/>
  <c r="H158" i="1" s="1"/>
  <c r="H86" i="1"/>
  <c r="H97" i="1" s="1"/>
  <c r="H88" i="1"/>
  <c r="H99" i="1" s="1"/>
  <c r="H10" i="1"/>
  <c r="C147" i="1"/>
  <c r="C91" i="1"/>
  <c r="C92" i="1" s="1"/>
  <c r="C89" i="1"/>
  <c r="C63" i="1"/>
  <c r="H96" i="1" l="1"/>
  <c r="H157" i="1" s="1"/>
  <c r="H159" i="1" s="1"/>
  <c r="D9" i="5"/>
  <c r="D7" i="5"/>
  <c r="C5" i="1"/>
  <c r="C2" i="8" s="1"/>
  <c r="E7" i="8" l="1"/>
  <c r="E8" i="8" s="1"/>
  <c r="D7" i="8"/>
  <c r="D8" i="8" s="1"/>
  <c r="E17" i="8"/>
  <c r="E18" i="8" s="1"/>
  <c r="F7" i="8"/>
  <c r="F8" i="8" s="1"/>
  <c r="C7" i="8"/>
  <c r="C8" i="8" s="1"/>
  <c r="G7" i="8"/>
  <c r="G8" i="8" s="1"/>
  <c r="I8" i="8"/>
  <c r="N8" i="8"/>
  <c r="J8" i="8"/>
  <c r="H8" i="8"/>
  <c r="O8" i="8"/>
  <c r="P6" i="8" s="1"/>
  <c r="P8" i="8" s="1"/>
  <c r="C75" i="1"/>
  <c r="C76" i="1" s="1"/>
  <c r="C45" i="1"/>
  <c r="C44" i="1"/>
  <c r="C43" i="1"/>
  <c r="M40" i="9"/>
  <c r="C116" i="1"/>
  <c r="C117" i="1" s="1"/>
  <c r="C118" i="1" s="1"/>
  <c r="C132" i="1"/>
  <c r="D41" i="9"/>
  <c r="S71" i="9" s="1"/>
  <c r="M41" i="9"/>
  <c r="AB71" i="9" s="1"/>
  <c r="F41" i="9"/>
  <c r="U71" i="9" s="1"/>
  <c r="H41" i="9"/>
  <c r="W71" i="9" s="1"/>
  <c r="E41" i="9"/>
  <c r="T71" i="9" s="1"/>
  <c r="I41" i="9"/>
  <c r="X71" i="9" s="1"/>
  <c r="L41" i="9"/>
  <c r="AA71" i="9" s="1"/>
  <c r="K41" i="9"/>
  <c r="Z71" i="9" s="1"/>
  <c r="J41" i="9"/>
  <c r="Y71" i="9" s="1"/>
  <c r="G41" i="9"/>
  <c r="V71" i="9" s="1"/>
  <c r="A10" i="3" l="1"/>
  <c r="B7" i="8" s="1"/>
  <c r="B8" i="8" s="1"/>
  <c r="C10" i="8" s="1"/>
  <c r="C121" i="1"/>
  <c r="C122" i="1" s="1"/>
  <c r="C124" i="1" s="1"/>
  <c r="C125" i="1"/>
  <c r="C126" i="1" s="1"/>
  <c r="F40" i="9"/>
  <c r="H44" i="9"/>
  <c r="W74" i="9" s="1"/>
  <c r="L43" i="9"/>
  <c r="AA73" i="9" s="1"/>
  <c r="G42" i="9"/>
  <c r="V72" i="9" s="1"/>
  <c r="C128" i="1"/>
  <c r="C131" i="1" s="1"/>
  <c r="H40" i="9"/>
  <c r="J40" i="9"/>
  <c r="K40" i="9"/>
  <c r="C101" i="1"/>
  <c r="L44" i="9"/>
  <c r="AA74" i="9" s="1"/>
  <c r="K44" i="9"/>
  <c r="Z74" i="9" s="1"/>
  <c r="I40" i="9"/>
  <c r="E40" i="9"/>
  <c r="D40" i="9"/>
  <c r="G40" i="9"/>
  <c r="L40" i="9"/>
  <c r="C133" i="1"/>
  <c r="A11" i="3" s="1"/>
  <c r="C111" i="1"/>
  <c r="C112" i="1" s="1"/>
  <c r="AB70" i="9"/>
  <c r="X5" i="1" l="1"/>
  <c r="H13" i="8"/>
  <c r="H14" i="8" s="1"/>
  <c r="H17" i="8" s="1"/>
  <c r="L8" i="8"/>
  <c r="M6" i="8" s="1"/>
  <c r="M8" i="8" s="1"/>
  <c r="C11" i="8" s="1"/>
  <c r="C12" i="8" s="1"/>
  <c r="N9" i="3"/>
  <c r="K7" i="3"/>
  <c r="S70" i="9"/>
  <c r="W70" i="9"/>
  <c r="V70" i="9"/>
  <c r="Y70" i="9"/>
  <c r="T70" i="9"/>
  <c r="U70" i="9"/>
  <c r="AA70" i="9"/>
  <c r="Z70" i="9"/>
  <c r="X70" i="9"/>
  <c r="K10" i="3"/>
  <c r="C136" i="1"/>
  <c r="D44" i="9"/>
  <c r="S74" i="9" s="1"/>
  <c r="I44" i="9"/>
  <c r="X74" i="9" s="1"/>
  <c r="J44" i="9"/>
  <c r="Y74" i="9" s="1"/>
  <c r="J42" i="9"/>
  <c r="Y72" i="9" s="1"/>
  <c r="L42" i="9"/>
  <c r="AA72" i="9" s="1"/>
  <c r="F44" i="9"/>
  <c r="U74" i="9" s="1"/>
  <c r="G44" i="9"/>
  <c r="V74" i="9" s="1"/>
  <c r="H42" i="9"/>
  <c r="W72" i="9" s="1"/>
  <c r="F42" i="9"/>
  <c r="U72" i="9" s="1"/>
  <c r="K42" i="9"/>
  <c r="Z72" i="9" s="1"/>
  <c r="E44" i="9"/>
  <c r="T74" i="9" s="1"/>
  <c r="M44" i="9"/>
  <c r="AB74" i="9" s="1"/>
  <c r="E42" i="9"/>
  <c r="T72" i="9" s="1"/>
  <c r="I42" i="9"/>
  <c r="X72" i="9" s="1"/>
  <c r="D42" i="9"/>
  <c r="S72" i="9" s="1"/>
  <c r="M42" i="9"/>
  <c r="K43" i="9"/>
  <c r="Z73" i="9" s="1"/>
  <c r="H43" i="9"/>
  <c r="W73" i="9" s="1"/>
  <c r="M43" i="9"/>
  <c r="AB73" i="9" s="1"/>
  <c r="E43" i="9"/>
  <c r="T73" i="9" s="1"/>
  <c r="G43" i="9"/>
  <c r="V73" i="9" s="1"/>
  <c r="I43" i="9"/>
  <c r="X73" i="9" s="1"/>
  <c r="F43" i="9"/>
  <c r="U73" i="9" s="1"/>
  <c r="J43" i="9"/>
  <c r="Y73" i="9" s="1"/>
  <c r="S73" i="9"/>
  <c r="C142" i="1"/>
  <c r="C149" i="1" s="1"/>
  <c r="C143" i="1" s="1"/>
  <c r="C137" i="1"/>
  <c r="A12" i="3"/>
  <c r="C113" i="1"/>
  <c r="C123" i="1" s="1"/>
  <c r="A4" i="3" s="1"/>
  <c r="C120" i="1"/>
  <c r="M9" i="3" l="1"/>
  <c r="A14" i="3"/>
  <c r="AB72" i="9"/>
  <c r="M7" i="3"/>
  <c r="B55" i="9"/>
  <c r="G55" i="9" s="1"/>
  <c r="M30" i="1"/>
  <c r="C152" i="1"/>
  <c r="M18" i="1"/>
  <c r="H17" i="1"/>
  <c r="H16" i="1"/>
  <c r="M25" i="1" s="1"/>
  <c r="O25" i="1" s="1"/>
  <c r="C134" i="1"/>
  <c r="H4" i="1" l="1"/>
  <c r="D14" i="3"/>
  <c r="I55" i="9"/>
  <c r="X85" i="9" s="1"/>
  <c r="L55" i="9"/>
  <c r="AA85" i="9" s="1"/>
  <c r="D55" i="9"/>
  <c r="S85" i="9" s="1"/>
  <c r="F55" i="9"/>
  <c r="U85" i="9" s="1"/>
  <c r="J55" i="9"/>
  <c r="Y85" i="9" s="1"/>
  <c r="M55" i="9"/>
  <c r="AB85" i="9" s="1"/>
  <c r="E55" i="9"/>
  <c r="T85" i="9" s="1"/>
  <c r="H55" i="9"/>
  <c r="W85" i="9" s="1"/>
  <c r="K55" i="9"/>
  <c r="Z85" i="9" s="1"/>
  <c r="A41" i="9"/>
  <c r="M23" i="1"/>
  <c r="O23" i="1" s="1"/>
  <c r="A23" i="3"/>
  <c r="B19" i="6"/>
  <c r="B21" i="6" s="1"/>
  <c r="B22" i="6" s="1"/>
  <c r="H5" i="1" s="1"/>
  <c r="H14" i="1"/>
  <c r="H21" i="1" s="1"/>
  <c r="H22" i="1" s="1"/>
  <c r="H6" i="1"/>
  <c r="F20" i="2" s="1"/>
  <c r="H65" i="1"/>
  <c r="V85" i="9"/>
  <c r="F17" i="8" l="1"/>
  <c r="D17" i="8"/>
  <c r="D18" i="8" s="1"/>
  <c r="B17" i="8"/>
  <c r="H15" i="1"/>
  <c r="A16" i="3" s="1"/>
  <c r="F21" i="2"/>
  <c r="A20" i="2"/>
  <c r="H23" i="1"/>
  <c r="H39" i="1" s="1"/>
  <c r="H25" i="1" s="1"/>
  <c r="F22" i="2" s="1"/>
  <c r="H62" i="1"/>
  <c r="H73" i="1" s="1"/>
  <c r="H123" i="1" s="1"/>
  <c r="H125" i="1" s="1"/>
  <c r="H110" i="1" s="1"/>
  <c r="F26" i="2" s="1"/>
  <c r="H66" i="1"/>
  <c r="M26" i="1"/>
  <c r="O26" i="1" s="1"/>
  <c r="B27" i="8" l="1"/>
  <c r="D27" i="8" s="1"/>
  <c r="H24" i="1"/>
  <c r="H63" i="1" s="1"/>
  <c r="H64" i="1" s="1"/>
  <c r="H70" i="1"/>
  <c r="A21" i="2"/>
  <c r="H138" i="1"/>
  <c r="L39" i="8" s="1"/>
  <c r="M39" i="8" s="1"/>
  <c r="H141" i="1"/>
  <c r="H127" i="1"/>
  <c r="B66" i="9" s="1"/>
  <c r="D66" i="9" s="1"/>
  <c r="D35" i="8" l="1"/>
  <c r="B70" i="9"/>
  <c r="M70" i="9" s="1"/>
  <c r="B39" i="8"/>
  <c r="B64" i="9"/>
  <c r="K64" i="9" s="1"/>
  <c r="AL73" i="9" s="1"/>
  <c r="B28" i="8"/>
  <c r="A22" i="2"/>
  <c r="L40" i="8"/>
  <c r="M40" i="8" s="1"/>
  <c r="F19" i="6"/>
  <c r="F21" i="6" s="1"/>
  <c r="F22" i="6" s="1"/>
  <c r="H26" i="1" s="1"/>
  <c r="F23" i="2" s="1"/>
  <c r="H82" i="1"/>
  <c r="H74" i="1" s="1"/>
  <c r="F24" i="2" s="1"/>
  <c r="H105" i="1"/>
  <c r="L37" i="8"/>
  <c r="M37" i="8" s="1"/>
  <c r="H72" i="1"/>
  <c r="H71" i="1"/>
  <c r="A17" i="3"/>
  <c r="B29" i="8" l="1"/>
  <c r="B33" i="8" s="1"/>
  <c r="D33" i="8" s="1"/>
  <c r="H112" i="1"/>
  <c r="H142" i="1" s="1"/>
  <c r="A18" i="3" s="1"/>
  <c r="A20" i="3" s="1"/>
  <c r="F70" i="9"/>
  <c r="AG79" i="9" s="1"/>
  <c r="G70" i="9"/>
  <c r="AH79" i="9" s="1"/>
  <c r="K70" i="9"/>
  <c r="J70" i="9"/>
  <c r="AK79" i="9" s="1"/>
  <c r="H70" i="9"/>
  <c r="AI79" i="9" s="1"/>
  <c r="E70" i="9"/>
  <c r="AF79" i="9" s="1"/>
  <c r="I70" i="9"/>
  <c r="L70" i="9"/>
  <c r="AM79" i="9" s="1"/>
  <c r="D70" i="9"/>
  <c r="AE79" i="9" s="1"/>
  <c r="F64" i="9"/>
  <c r="AG73" i="9" s="1"/>
  <c r="D64" i="9"/>
  <c r="AE73" i="9" s="1"/>
  <c r="L38" i="8"/>
  <c r="M38" i="8" s="1"/>
  <c r="B38" i="8" s="1"/>
  <c r="L36" i="8"/>
  <c r="M36" i="8" s="1"/>
  <c r="J64" i="9"/>
  <c r="AK73" i="9" s="1"/>
  <c r="I64" i="9"/>
  <c r="AJ73" i="9" s="1"/>
  <c r="G64" i="9"/>
  <c r="AH73" i="9" s="1"/>
  <c r="D29" i="8"/>
  <c r="D32" i="8"/>
  <c r="D28" i="8"/>
  <c r="B71" i="9"/>
  <c r="E71" i="9" s="1"/>
  <c r="AF80" i="9" s="1"/>
  <c r="B40" i="8"/>
  <c r="M64" i="9"/>
  <c r="AN73" i="9" s="1"/>
  <c r="L64" i="9"/>
  <c r="AM73" i="9" s="1"/>
  <c r="E64" i="9"/>
  <c r="AF73" i="9" s="1"/>
  <c r="B67" i="9"/>
  <c r="M67" i="9" s="1"/>
  <c r="AN76" i="9" s="1"/>
  <c r="B69" i="9"/>
  <c r="H69" i="9" s="1"/>
  <c r="AI78" i="9" s="1"/>
  <c r="H64" i="9"/>
  <c r="AI73" i="9" s="1"/>
  <c r="H106" i="1"/>
  <c r="M16" i="1"/>
  <c r="A22" i="3" s="1"/>
  <c r="A23" i="2"/>
  <c r="M13" i="1"/>
  <c r="H147" i="1"/>
  <c r="H162" i="1" s="1"/>
  <c r="AL79" i="9"/>
  <c r="AJ79" i="9"/>
  <c r="AN79" i="9"/>
  <c r="H67" i="9" l="1"/>
  <c r="AI76" i="9" s="1"/>
  <c r="M41" i="8"/>
  <c r="D34" i="8" s="1"/>
  <c r="H71" i="9"/>
  <c r="AI80" i="9" s="1"/>
  <c r="L67" i="9"/>
  <c r="AM76" i="9" s="1"/>
  <c r="G67" i="9"/>
  <c r="AH76" i="9" s="1"/>
  <c r="G71" i="9"/>
  <c r="AH80" i="9" s="1"/>
  <c r="B36" i="8"/>
  <c r="K71" i="9"/>
  <c r="AL80" i="9" s="1"/>
  <c r="F71" i="9"/>
  <c r="AG80" i="9" s="1"/>
  <c r="L71" i="9"/>
  <c r="AM80" i="9" s="1"/>
  <c r="D71" i="9"/>
  <c r="AE80" i="9" s="1"/>
  <c r="J71" i="9"/>
  <c r="AK80" i="9" s="1"/>
  <c r="I71" i="9"/>
  <c r="AJ80" i="9" s="1"/>
  <c r="M71" i="9"/>
  <c r="AN80" i="9" s="1"/>
  <c r="E67" i="9"/>
  <c r="AF76" i="9" s="1"/>
  <c r="I67" i="9"/>
  <c r="AJ76" i="9" s="1"/>
  <c r="F67" i="9"/>
  <c r="AG76" i="9" s="1"/>
  <c r="J67" i="9"/>
  <c r="AK76" i="9" s="1"/>
  <c r="B37" i="8"/>
  <c r="D38" i="8" s="1"/>
  <c r="D69" i="9"/>
  <c r="AE78" i="9" s="1"/>
  <c r="M69" i="9"/>
  <c r="AN78" i="9" s="1"/>
  <c r="L69" i="9"/>
  <c r="AM78" i="9" s="1"/>
  <c r="G69" i="9"/>
  <c r="AH78" i="9" s="1"/>
  <c r="E69" i="9"/>
  <c r="AF78" i="9" s="1"/>
  <c r="K69" i="9"/>
  <c r="AL78" i="9" s="1"/>
  <c r="I69" i="9"/>
  <c r="AJ78" i="9" s="1"/>
  <c r="F69" i="9"/>
  <c r="AG78" i="9" s="1"/>
  <c r="J69" i="9"/>
  <c r="AK78" i="9" s="1"/>
  <c r="K67" i="9"/>
  <c r="AL76" i="9" s="1"/>
  <c r="D67" i="9"/>
  <c r="AE76" i="9" s="1"/>
  <c r="B63" i="9"/>
  <c r="J63" i="9" s="1"/>
  <c r="AK72" i="9" s="1"/>
  <c r="B30" i="8"/>
  <c r="M11" i="1"/>
  <c r="M4" i="1" s="1"/>
  <c r="F41" i="2" s="1"/>
  <c r="M24" i="1"/>
  <c r="O24" i="1" s="1"/>
  <c r="O27" i="1" s="1"/>
  <c r="M12" i="1"/>
  <c r="M5" i="1" s="1"/>
  <c r="F42" i="2" s="1"/>
  <c r="J19" i="6"/>
  <c r="J21" i="6" s="1"/>
  <c r="J22" i="6" s="1"/>
  <c r="H146" i="1"/>
  <c r="R3" i="1"/>
  <c r="Q43" i="9"/>
  <c r="A25" i="3"/>
  <c r="M66" i="9"/>
  <c r="H66" i="9"/>
  <c r="G66" i="9"/>
  <c r="J66" i="9"/>
  <c r="L66" i="9"/>
  <c r="I66" i="9"/>
  <c r="F66" i="9"/>
  <c r="K66" i="9"/>
  <c r="E66" i="9"/>
  <c r="F63" i="9" l="1"/>
  <c r="AG72" i="9" s="1"/>
  <c r="E63" i="9"/>
  <c r="AF72" i="9" s="1"/>
  <c r="H63" i="9"/>
  <c r="AI72" i="9" s="1"/>
  <c r="H163" i="1"/>
  <c r="M3" i="1" s="1"/>
  <c r="H149" i="1"/>
  <c r="H148" i="1"/>
  <c r="D30" i="8"/>
  <c r="L63" i="9"/>
  <c r="AM72" i="9" s="1"/>
  <c r="M63" i="9"/>
  <c r="AN72" i="9" s="1"/>
  <c r="I63" i="9"/>
  <c r="AJ72" i="9" s="1"/>
  <c r="G63" i="9"/>
  <c r="AH72" i="9" s="1"/>
  <c r="D63" i="9"/>
  <c r="AE72" i="9" s="1"/>
  <c r="K63" i="9"/>
  <c r="AL72" i="9" s="1"/>
  <c r="F44" i="2"/>
  <c r="H150" i="1"/>
  <c r="H75" i="1"/>
  <c r="F25" i="2" s="1"/>
  <c r="R4" i="1"/>
  <c r="R9" i="1"/>
  <c r="M6" i="4"/>
  <c r="AH75" i="9"/>
  <c r="AF75" i="9"/>
  <c r="AJ75" i="9"/>
  <c r="AI75" i="9"/>
  <c r="AL75" i="9"/>
  <c r="AK75" i="9"/>
  <c r="AG75" i="9"/>
  <c r="AE75" i="9"/>
  <c r="AM75" i="9"/>
  <c r="AN75" i="9"/>
  <c r="B18" i="8" l="1"/>
  <c r="F18" i="8" s="1"/>
  <c r="F16" i="8" s="1"/>
  <c r="M10" i="4"/>
  <c r="A34" i="2"/>
  <c r="A39" i="2" s="1"/>
  <c r="A42" i="2" s="1"/>
  <c r="B68" i="9"/>
  <c r="E30" i="8"/>
  <c r="Y15" i="1"/>
  <c r="Y17" i="1" s="1"/>
  <c r="R17" i="1"/>
  <c r="E31" i="8"/>
  <c r="E42" i="8"/>
  <c r="E27" i="8"/>
  <c r="E35" i="8"/>
  <c r="E28" i="8"/>
  <c r="E32" i="8"/>
  <c r="E29" i="8"/>
  <c r="E33" i="8"/>
  <c r="E34" i="8"/>
  <c r="E38" i="8"/>
  <c r="N63" i="9"/>
  <c r="N60" i="9"/>
  <c r="W9" i="1"/>
  <c r="W10" i="1" s="1"/>
  <c r="R15" i="1"/>
  <c r="B65" i="9" s="1"/>
  <c r="R12" i="1"/>
  <c r="R16" i="1"/>
  <c r="B61" i="9" s="1"/>
  <c r="G61" i="9" s="1"/>
  <c r="N61" i="9" s="1"/>
  <c r="R13" i="1"/>
  <c r="R14" i="1"/>
  <c r="N72" i="9"/>
  <c r="R11" i="1"/>
  <c r="N64" i="9"/>
  <c r="N70" i="9"/>
  <c r="N69" i="9"/>
  <c r="N67" i="9"/>
  <c r="N71" i="9"/>
  <c r="M42" i="1"/>
  <c r="M43" i="1" s="1"/>
  <c r="F39" i="2"/>
  <c r="F46" i="2" s="1"/>
  <c r="F48" i="2" s="1"/>
  <c r="N66" i="9"/>
  <c r="B74" i="9"/>
  <c r="D74" i="9" s="1"/>
  <c r="Q58" i="9"/>
  <c r="R5" i="1"/>
  <c r="R7" i="1" s="1"/>
  <c r="M17" i="1"/>
  <c r="M38" i="1" s="1"/>
  <c r="M49" i="1" s="1"/>
  <c r="B43" i="6"/>
  <c r="B45" i="6" s="1"/>
  <c r="B46" i="6" s="1"/>
  <c r="AF70" i="9"/>
  <c r="AI70" i="9"/>
  <c r="AH70" i="9"/>
  <c r="AL70" i="9"/>
  <c r="AG70" i="9"/>
  <c r="AE70" i="9"/>
  <c r="AN70" i="9"/>
  <c r="AK70" i="9"/>
  <c r="AJ70" i="9"/>
  <c r="AM70" i="9"/>
  <c r="D20" i="3" l="1"/>
  <c r="M44" i="1"/>
  <c r="M20" i="1" s="1"/>
  <c r="Y18" i="1"/>
  <c r="R18" i="1" s="1"/>
  <c r="B43" i="8" s="1"/>
  <c r="D43" i="8" s="1"/>
  <c r="E43" i="8" s="1"/>
  <c r="G43" i="8" s="1"/>
  <c r="AB17" i="1"/>
  <c r="G34" i="8"/>
  <c r="G28" i="8"/>
  <c r="G31" i="8"/>
  <c r="G33" i="8"/>
  <c r="G35" i="8"/>
  <c r="G29" i="8"/>
  <c r="G38" i="8"/>
  <c r="G32" i="8"/>
  <c r="G42" i="8"/>
  <c r="B73" i="9"/>
  <c r="L73" i="9" s="1"/>
  <c r="B41" i="8"/>
  <c r="D41" i="8" s="1"/>
  <c r="E41" i="8" s="1"/>
  <c r="K68" i="9"/>
  <c r="AL77" i="9" s="1"/>
  <c r="M68" i="9"/>
  <c r="AN77" i="9" s="1"/>
  <c r="H68" i="9"/>
  <c r="AI77" i="9" s="1"/>
  <c r="J68" i="9"/>
  <c r="AK77" i="9" s="1"/>
  <c r="D68" i="9"/>
  <c r="AE77" i="9" s="1"/>
  <c r="F68" i="9"/>
  <c r="AG77" i="9" s="1"/>
  <c r="L68" i="9"/>
  <c r="AM77" i="9" s="1"/>
  <c r="I68" i="9"/>
  <c r="AJ77" i="9" s="1"/>
  <c r="E68" i="9"/>
  <c r="AF77" i="9" s="1"/>
  <c r="G68" i="9"/>
  <c r="J65" i="9"/>
  <c r="AK74" i="9" s="1"/>
  <c r="G65" i="9"/>
  <c r="M65" i="9"/>
  <c r="AN74" i="9" s="1"/>
  <c r="H65" i="9"/>
  <c r="AI74" i="9" s="1"/>
  <c r="E65" i="9"/>
  <c r="AF74" i="9" s="1"/>
  <c r="K65" i="9"/>
  <c r="AL74" i="9" s="1"/>
  <c r="F65" i="9"/>
  <c r="AG74" i="9" s="1"/>
  <c r="I65" i="9"/>
  <c r="AJ74" i="9" s="1"/>
  <c r="L65" i="9"/>
  <c r="AM74" i="9" s="1"/>
  <c r="D65" i="9"/>
  <c r="AE74" i="9" s="1"/>
  <c r="L49" i="1"/>
  <c r="M50" i="1"/>
  <c r="P61" i="9"/>
  <c r="H74" i="9"/>
  <c r="E74" i="9"/>
  <c r="I74" i="9"/>
  <c r="L74" i="9"/>
  <c r="J74" i="9"/>
  <c r="K74" i="9"/>
  <c r="F74" i="9"/>
  <c r="G74" i="9"/>
  <c r="N74" i="9" s="1"/>
  <c r="M74" i="9"/>
  <c r="M27" i="1"/>
  <c r="M31" i="1" s="1"/>
  <c r="A24" i="3"/>
  <c r="A27" i="3" s="1"/>
  <c r="A29" i="3" s="1"/>
  <c r="D31" i="3" s="1"/>
  <c r="M61" i="9"/>
  <c r="F61" i="9"/>
  <c r="J61" i="9"/>
  <c r="D61" i="9"/>
  <c r="K61" i="9"/>
  <c r="L61" i="9"/>
  <c r="E61" i="9"/>
  <c r="H61" i="9"/>
  <c r="I61" i="9"/>
  <c r="E45" i="8" l="1"/>
  <c r="F22" i="3"/>
  <c r="M7" i="4"/>
  <c r="G73" i="9"/>
  <c r="N73" i="9" s="1"/>
  <c r="J73" i="9"/>
  <c r="M73" i="9"/>
  <c r="E73" i="9"/>
  <c r="K73" i="9"/>
  <c r="H73" i="9"/>
  <c r="I73" i="9"/>
  <c r="F73" i="9"/>
  <c r="D73" i="9"/>
  <c r="G41" i="8"/>
  <c r="B62" i="9"/>
  <c r="K62" i="9" s="1"/>
  <c r="B47" i="8"/>
  <c r="D47" i="8" s="1"/>
  <c r="N68" i="9"/>
  <c r="P68" i="9" s="1"/>
  <c r="AH77" i="9"/>
  <c r="N65" i="9"/>
  <c r="P65" i="9" s="1"/>
  <c r="AH74" i="9"/>
  <c r="AA9" i="1"/>
  <c r="AA10" i="1" s="1"/>
  <c r="AA8" i="1" s="1"/>
  <c r="M32" i="1"/>
  <c r="O32" i="1"/>
  <c r="AJ71" i="9"/>
  <c r="AL71" i="9"/>
  <c r="AG71" i="9"/>
  <c r="AI71" i="9"/>
  <c r="AE71" i="9"/>
  <c r="AN71" i="9"/>
  <c r="AF71" i="9"/>
  <c r="AK71" i="9"/>
  <c r="AM71" i="9"/>
  <c r="AH71" i="9"/>
  <c r="D62" i="9" l="1"/>
  <c r="M62" i="9"/>
  <c r="L62" i="9"/>
  <c r="I62" i="9"/>
  <c r="J62" i="9"/>
  <c r="F62" i="9"/>
  <c r="H62" i="9"/>
  <c r="G62" i="9"/>
  <c r="N62" i="9" s="1"/>
  <c r="N75" i="9" s="1"/>
  <c r="E62" i="9"/>
  <c r="E47" i="8"/>
  <c r="G47" i="8" s="1"/>
  <c r="G45" i="8"/>
  <c r="C71" i="1"/>
  <c r="B46" i="9"/>
  <c r="D46" i="9" s="1"/>
  <c r="E49" i="8" l="1"/>
  <c r="D57" i="9"/>
  <c r="D58" i="9" s="1"/>
  <c r="D77" i="9" s="1"/>
  <c r="S76" i="9"/>
  <c r="G46" i="9"/>
  <c r="G57" i="9" s="1"/>
  <c r="J46" i="9"/>
  <c r="M46" i="9"/>
  <c r="I46" i="9"/>
  <c r="H46" i="9"/>
  <c r="L46" i="9"/>
  <c r="F46" i="9"/>
  <c r="K46" i="9"/>
  <c r="E46" i="9"/>
  <c r="J47" i="8" l="1"/>
  <c r="I51" i="8"/>
  <c r="G49" i="8"/>
  <c r="J39" i="8"/>
  <c r="J36" i="8"/>
  <c r="J40" i="8"/>
  <c r="J44" i="8"/>
  <c r="J37" i="8"/>
  <c r="J46" i="8"/>
  <c r="J43" i="8"/>
  <c r="J33" i="8"/>
  <c r="J38" i="8"/>
  <c r="J28" i="8"/>
  <c r="J35" i="8"/>
  <c r="J32" i="8"/>
  <c r="J31" i="8"/>
  <c r="J29" i="8"/>
  <c r="J42" i="8"/>
  <c r="J30" i="8"/>
  <c r="J27" i="8"/>
  <c r="J34" i="8"/>
  <c r="J41" i="8"/>
  <c r="D91" i="8"/>
  <c r="D110" i="9"/>
  <c r="D109" i="9"/>
  <c r="D78" i="9"/>
  <c r="M15" i="4" s="1"/>
  <c r="D99" i="9"/>
  <c r="Q45" i="9"/>
  <c r="S45" i="9" s="1"/>
  <c r="K57" i="9"/>
  <c r="K58" i="9" s="1"/>
  <c r="K77" i="9" s="1"/>
  <c r="I57" i="9"/>
  <c r="I58" i="9" s="1"/>
  <c r="I77" i="9" s="1"/>
  <c r="F57" i="9"/>
  <c r="F58" i="9" s="1"/>
  <c r="F77" i="9" s="1"/>
  <c r="M57" i="9"/>
  <c r="M58" i="9" s="1"/>
  <c r="M77" i="9" s="1"/>
  <c r="M99" i="9" s="1"/>
  <c r="L57" i="9"/>
  <c r="L58" i="9" s="1"/>
  <c r="L77" i="9" s="1"/>
  <c r="J57" i="9"/>
  <c r="J58" i="9" s="1"/>
  <c r="J77" i="9" s="1"/>
  <c r="E57" i="9"/>
  <c r="E58" i="9" s="1"/>
  <c r="E77" i="9" s="1"/>
  <c r="H57" i="9"/>
  <c r="H58" i="9" s="1"/>
  <c r="H77" i="9" s="1"/>
  <c r="G58" i="9"/>
  <c r="G77" i="9" s="1"/>
  <c r="Y76" i="9"/>
  <c r="AA76" i="9"/>
  <c r="T76" i="9"/>
  <c r="W76" i="9"/>
  <c r="V76" i="9"/>
  <c r="Z76" i="9"/>
  <c r="X76" i="9"/>
  <c r="U76" i="9"/>
  <c r="AB76" i="9"/>
  <c r="K51" i="8" l="1"/>
  <c r="I53" i="8"/>
  <c r="I91" i="8"/>
  <c r="E110" i="9"/>
  <c r="E109" i="9"/>
  <c r="I99" i="9"/>
  <c r="I110" i="9"/>
  <c r="I109" i="9"/>
  <c r="L99" i="9"/>
  <c r="L110" i="9"/>
  <c r="L109" i="9"/>
  <c r="K99" i="9"/>
  <c r="K110" i="9"/>
  <c r="K109" i="9"/>
  <c r="F99" i="9"/>
  <c r="F110" i="9"/>
  <c r="F109" i="9"/>
  <c r="J99" i="9"/>
  <c r="J110" i="9"/>
  <c r="J109" i="9"/>
  <c r="G110" i="9"/>
  <c r="G109" i="9"/>
  <c r="H99" i="9"/>
  <c r="H110" i="9"/>
  <c r="H109" i="9"/>
  <c r="M110" i="9"/>
  <c r="M109" i="9"/>
  <c r="G78" i="9"/>
  <c r="M9" i="4" s="1"/>
  <c r="G99" i="9"/>
  <c r="G111" i="9"/>
  <c r="E78" i="9"/>
  <c r="M16" i="4" s="1"/>
  <c r="E82" i="9"/>
  <c r="E111" i="9"/>
  <c r="E99" i="9"/>
  <c r="M111" i="9"/>
  <c r="M78" i="9"/>
  <c r="M23" i="4" s="1"/>
  <c r="L88" i="9"/>
  <c r="L78" i="9"/>
  <c r="M22" i="4" s="1"/>
  <c r="L111" i="9"/>
  <c r="K111" i="9"/>
  <c r="K78" i="9"/>
  <c r="M21" i="4" s="1"/>
  <c r="J88" i="9"/>
  <c r="J111" i="9"/>
  <c r="J78" i="9"/>
  <c r="M20" i="4" s="1"/>
  <c r="I78" i="9"/>
  <c r="M19" i="4" s="1"/>
  <c r="I111" i="9"/>
  <c r="H88" i="9"/>
  <c r="H78" i="9"/>
  <c r="M18" i="4" s="1"/>
  <c r="H111" i="9"/>
  <c r="F88" i="9"/>
  <c r="F111" i="9"/>
  <c r="F78" i="9"/>
  <c r="M17" i="4" s="1"/>
  <c r="B79" i="9"/>
  <c r="H86" i="9"/>
  <c r="H84" i="9"/>
  <c r="H83" i="9"/>
  <c r="H90" i="9"/>
  <c r="H96" i="9"/>
  <c r="H87" i="9"/>
  <c r="H92" i="9"/>
  <c r="H94" i="9"/>
  <c r="H89" i="9"/>
  <c r="H91" i="9"/>
  <c r="H85" i="9"/>
  <c r="H82" i="9"/>
  <c r="H97" i="9"/>
  <c r="H95" i="9"/>
  <c r="H93" i="9"/>
  <c r="M85" i="9"/>
  <c r="M87" i="9"/>
  <c r="M90" i="9"/>
  <c r="M91" i="9"/>
  <c r="M89" i="9"/>
  <c r="M84" i="9"/>
  <c r="M94" i="9"/>
  <c r="M95" i="9"/>
  <c r="M93" i="9"/>
  <c r="M82" i="9"/>
  <c r="M92" i="9"/>
  <c r="M97" i="9"/>
  <c r="M86" i="9"/>
  <c r="M83" i="9"/>
  <c r="M96" i="9"/>
  <c r="E85" i="9"/>
  <c r="E83" i="9"/>
  <c r="E86" i="9"/>
  <c r="E87" i="9"/>
  <c r="E89" i="9"/>
  <c r="E95" i="9"/>
  <c r="E90" i="9"/>
  <c r="E91" i="9"/>
  <c r="E93" i="9"/>
  <c r="E94" i="9"/>
  <c r="E84" i="9"/>
  <c r="E97" i="9"/>
  <c r="E96" i="9"/>
  <c r="E92" i="9"/>
  <c r="F84" i="9"/>
  <c r="F90" i="9"/>
  <c r="F85" i="9"/>
  <c r="F86" i="9"/>
  <c r="F82" i="9"/>
  <c r="F89" i="9"/>
  <c r="F94" i="9"/>
  <c r="F92" i="9"/>
  <c r="F83" i="9"/>
  <c r="F93" i="9"/>
  <c r="F87" i="9"/>
  <c r="F96" i="9"/>
  <c r="F95" i="9"/>
  <c r="F97" i="9"/>
  <c r="F91" i="9"/>
  <c r="E88" i="9"/>
  <c r="J96" i="9"/>
  <c r="J85" i="9"/>
  <c r="J86" i="9"/>
  <c r="J91" i="9"/>
  <c r="J84" i="9"/>
  <c r="J90" i="9"/>
  <c r="J89" i="9"/>
  <c r="J94" i="9"/>
  <c r="J87" i="9"/>
  <c r="J82" i="9"/>
  <c r="J93" i="9"/>
  <c r="J92" i="9"/>
  <c r="J95" i="9"/>
  <c r="J97" i="9"/>
  <c r="J83" i="9"/>
  <c r="I85" i="9"/>
  <c r="I83" i="9"/>
  <c r="I86" i="9"/>
  <c r="I87" i="9"/>
  <c r="I89" i="9"/>
  <c r="I91" i="9"/>
  <c r="I90" i="9"/>
  <c r="I95" i="9"/>
  <c r="I93" i="9"/>
  <c r="I94" i="9"/>
  <c r="I84" i="9"/>
  <c r="I97" i="9"/>
  <c r="I96" i="9"/>
  <c r="I82" i="9"/>
  <c r="I92" i="9"/>
  <c r="M88" i="9"/>
  <c r="G83" i="9"/>
  <c r="G89" i="9"/>
  <c r="G93" i="9"/>
  <c r="G97" i="9"/>
  <c r="G92" i="9"/>
  <c r="G86" i="9"/>
  <c r="G84" i="9"/>
  <c r="G87" i="9"/>
  <c r="G82" i="9"/>
  <c r="G91" i="9"/>
  <c r="G90" i="9"/>
  <c r="G96" i="9"/>
  <c r="G94" i="9"/>
  <c r="G95" i="9"/>
  <c r="G85" i="9"/>
  <c r="L86" i="9"/>
  <c r="L84" i="9"/>
  <c r="L83" i="9"/>
  <c r="L90" i="9"/>
  <c r="L92" i="9"/>
  <c r="L87" i="9"/>
  <c r="L96" i="9"/>
  <c r="L94" i="9"/>
  <c r="L85" i="9"/>
  <c r="L91" i="9"/>
  <c r="L89" i="9"/>
  <c r="L82" i="9"/>
  <c r="L93" i="9"/>
  <c r="L95" i="9"/>
  <c r="L97" i="9"/>
  <c r="K83" i="9"/>
  <c r="K89" i="9"/>
  <c r="K82" i="9"/>
  <c r="K96" i="9"/>
  <c r="K87" i="9"/>
  <c r="K97" i="9"/>
  <c r="K84" i="9"/>
  <c r="K85" i="9"/>
  <c r="K91" i="9"/>
  <c r="K86" i="9"/>
  <c r="K93" i="9"/>
  <c r="K95" i="9"/>
  <c r="K94" i="9"/>
  <c r="K92" i="9"/>
  <c r="K90" i="9"/>
  <c r="D98" i="9"/>
  <c r="D85" i="9"/>
  <c r="D104" i="9"/>
  <c r="D91" i="9"/>
  <c r="D90" i="9"/>
  <c r="D107" i="9"/>
  <c r="D108" i="9"/>
  <c r="D100" i="9"/>
  <c r="D96" i="9"/>
  <c r="D97" i="9"/>
  <c r="D86" i="9"/>
  <c r="D89" i="9"/>
  <c r="D101" i="9"/>
  <c r="D94" i="9"/>
  <c r="D87" i="9"/>
  <c r="D92" i="9"/>
  <c r="D111" i="9"/>
  <c r="D93" i="9"/>
  <c r="D106" i="9"/>
  <c r="D103" i="9"/>
  <c r="D82" i="9"/>
  <c r="D95" i="9"/>
  <c r="D105" i="9"/>
  <c r="D84" i="9"/>
  <c r="D83" i="9"/>
  <c r="D102" i="9"/>
  <c r="D88" i="9"/>
  <c r="I88" i="9"/>
  <c r="K88" i="9"/>
  <c r="G88" i="9"/>
  <c r="N58" i="9"/>
  <c r="N57" i="9" s="1"/>
  <c r="P57" i="9" s="1"/>
  <c r="I107" i="9"/>
  <c r="I98" i="9"/>
  <c r="I103" i="9"/>
  <c r="I104" i="9"/>
  <c r="I106" i="9"/>
  <c r="I108" i="9"/>
  <c r="I102" i="9"/>
  <c r="Q50" i="9"/>
  <c r="S50" i="9" s="1"/>
  <c r="I100" i="9"/>
  <c r="I101" i="9"/>
  <c r="I105" i="9"/>
  <c r="H98" i="9"/>
  <c r="H104" i="9"/>
  <c r="Q49" i="9"/>
  <c r="S49" i="9" s="1"/>
  <c r="H105" i="9"/>
  <c r="H100" i="9"/>
  <c r="H107" i="9"/>
  <c r="H103" i="9"/>
  <c r="H108" i="9"/>
  <c r="H106" i="9"/>
  <c r="H102" i="9"/>
  <c r="H101" i="9"/>
  <c r="J101" i="9"/>
  <c r="J107" i="9"/>
  <c r="Q51" i="9"/>
  <c r="S51" i="9" s="1"/>
  <c r="J103" i="9"/>
  <c r="J108" i="9"/>
  <c r="J100" i="9"/>
  <c r="J105" i="9"/>
  <c r="J106" i="9"/>
  <c r="J98" i="9"/>
  <c r="J102" i="9"/>
  <c r="J104" i="9"/>
  <c r="Q54" i="9"/>
  <c r="S54" i="9" s="1"/>
  <c r="M98" i="9"/>
  <c r="M103" i="9"/>
  <c r="M108" i="9"/>
  <c r="M105" i="9"/>
  <c r="M106" i="9"/>
  <c r="M104" i="9"/>
  <c r="M101" i="9"/>
  <c r="M100" i="9"/>
  <c r="M107" i="9"/>
  <c r="M102" i="9"/>
  <c r="L98" i="9"/>
  <c r="L104" i="9"/>
  <c r="L101" i="9"/>
  <c r="L102" i="9"/>
  <c r="L106" i="9"/>
  <c r="L105" i="9"/>
  <c r="Q53" i="9"/>
  <c r="S53" i="9" s="1"/>
  <c r="L107" i="9"/>
  <c r="L100" i="9"/>
  <c r="L103" i="9"/>
  <c r="L108" i="9"/>
  <c r="E106" i="9"/>
  <c r="E104" i="9"/>
  <c r="E107" i="9"/>
  <c r="E102" i="9"/>
  <c r="E108" i="9"/>
  <c r="Q46" i="9"/>
  <c r="S46" i="9" s="1"/>
  <c r="E105" i="9"/>
  <c r="E100" i="9"/>
  <c r="E103" i="9"/>
  <c r="E98" i="9"/>
  <c r="E101" i="9"/>
  <c r="G104" i="9"/>
  <c r="G108" i="9"/>
  <c r="G107" i="9"/>
  <c r="G106" i="9"/>
  <c r="G98" i="9"/>
  <c r="G105" i="9"/>
  <c r="G102" i="9"/>
  <c r="G100" i="9"/>
  <c r="G103" i="9"/>
  <c r="G101" i="9"/>
  <c r="Q48" i="9"/>
  <c r="S48" i="9" s="1"/>
  <c r="K103" i="9"/>
  <c r="K106" i="9"/>
  <c r="K104" i="9"/>
  <c r="K100" i="9"/>
  <c r="Q52" i="9"/>
  <c r="S52" i="9" s="1"/>
  <c r="K101" i="9"/>
  <c r="K105" i="9"/>
  <c r="K108" i="9"/>
  <c r="K102" i="9"/>
  <c r="K98" i="9"/>
  <c r="K107" i="9"/>
  <c r="F107" i="9"/>
  <c r="F106" i="9"/>
  <c r="F100" i="9"/>
  <c r="F105" i="9"/>
  <c r="F101" i="9"/>
  <c r="F98" i="9"/>
  <c r="F104" i="9"/>
  <c r="F108" i="9"/>
  <c r="F102" i="9"/>
  <c r="Q47" i="9"/>
  <c r="S47" i="9" s="1"/>
  <c r="F103" i="9"/>
  <c r="D92" i="8" l="1"/>
  <c r="I92" i="8" s="1"/>
  <c r="I98" i="8" s="1"/>
  <c r="J113" i="9"/>
  <c r="G113" i="9"/>
  <c r="M113" i="9"/>
  <c r="L113" i="9"/>
  <c r="K113" i="9"/>
  <c r="I113" i="9"/>
  <c r="H113" i="9"/>
  <c r="F113" i="9"/>
  <c r="E113" i="9"/>
  <c r="D113" i="9"/>
  <c r="G79" i="9"/>
  <c r="F80" i="9" s="1"/>
  <c r="J98" i="8" l="1"/>
  <c r="L134" i="8"/>
  <c r="L144" i="8" s="1"/>
  <c r="R134" i="8"/>
  <c r="R144" i="8" s="1"/>
  <c r="H29" i="8"/>
  <c r="AA134" i="8"/>
  <c r="AA144" i="8" s="1"/>
  <c r="AC134" i="8"/>
  <c r="AC144" i="8" s="1"/>
  <c r="K134" i="8"/>
  <c r="K144" i="8" s="1"/>
  <c r="M134" i="8"/>
  <c r="M144" i="8" s="1"/>
  <c r="U134" i="8"/>
  <c r="U144" i="8" s="1"/>
  <c r="P134" i="8"/>
  <c r="P144" i="8" s="1"/>
  <c r="H34" i="8"/>
  <c r="AI134" i="8"/>
  <c r="AI144" i="8" s="1"/>
  <c r="Z134" i="8"/>
  <c r="Z156" i="8" s="1"/>
  <c r="V171" i="8" s="1"/>
  <c r="X134" i="8"/>
  <c r="X156" i="8" s="1"/>
  <c r="T171" i="8" s="1"/>
  <c r="AG134" i="8"/>
  <c r="AG156" i="8" s="1"/>
  <c r="AC171" i="8" s="1"/>
  <c r="J134" i="8"/>
  <c r="J156" i="8" s="1"/>
  <c r="F171" i="8" s="1"/>
  <c r="AL134" i="8"/>
  <c r="AL144" i="8" s="1"/>
  <c r="AJ134" i="8"/>
  <c r="AJ156" i="8" s="1"/>
  <c r="AF171" i="8" s="1"/>
  <c r="H35" i="8"/>
  <c r="H30" i="8"/>
  <c r="S134" i="8"/>
  <c r="S156" i="8" s="1"/>
  <c r="O171" i="8" s="1"/>
  <c r="AD134" i="8"/>
  <c r="AD144" i="8" s="1"/>
  <c r="H32" i="8"/>
  <c r="O134" i="8"/>
  <c r="Y134" i="8"/>
  <c r="H27" i="8"/>
  <c r="AH134" i="8"/>
  <c r="AH144" i="8" s="1"/>
  <c r="H38" i="8"/>
  <c r="H33" i="8"/>
  <c r="H44" i="8"/>
  <c r="AE134" i="8"/>
  <c r="Q134" i="8"/>
  <c r="T134" i="8"/>
  <c r="W134" i="8"/>
  <c r="H28" i="8"/>
  <c r="V134" i="8"/>
  <c r="AB134" i="8"/>
  <c r="AB144" i="8" s="1"/>
  <c r="I134" i="8"/>
  <c r="I156" i="8" s="1"/>
  <c r="E171" i="8" s="1"/>
  <c r="H42" i="8"/>
  <c r="N134" i="8"/>
  <c r="H43" i="8"/>
  <c r="AK134" i="8"/>
  <c r="AF134" i="8"/>
  <c r="H41" i="8"/>
  <c r="H31" i="8"/>
  <c r="L156" i="8"/>
  <c r="H171" i="8" s="1"/>
  <c r="AG144" i="8"/>
  <c r="Z144" i="8"/>
  <c r="S144" i="8"/>
  <c r="AL156" i="8"/>
  <c r="AH171" i="8" s="1"/>
  <c r="AA156" i="8"/>
  <c r="W171" i="8" s="1"/>
  <c r="U156" i="8"/>
  <c r="Q171" i="8" s="1"/>
  <c r="P156" i="8"/>
  <c r="L171" i="8" s="1"/>
  <c r="R156" i="8" l="1"/>
  <c r="N171" i="8" s="1"/>
  <c r="AJ144" i="8"/>
  <c r="AC156" i="8"/>
  <c r="Y171" i="8" s="1"/>
  <c r="X144" i="8"/>
  <c r="AB156" i="8"/>
  <c r="X171" i="8" s="1"/>
  <c r="I144" i="8"/>
  <c r="I146" i="8" s="1"/>
  <c r="I147" i="8" s="1"/>
  <c r="I154" i="8" s="1"/>
  <c r="E172" i="8" s="1"/>
  <c r="AD156" i="8"/>
  <c r="Z171" i="8" s="1"/>
  <c r="K156" i="8"/>
  <c r="G171" i="8" s="1"/>
  <c r="AH156" i="8"/>
  <c r="AD171" i="8" s="1"/>
  <c r="V156" i="8"/>
  <c r="R171" i="8" s="1"/>
  <c r="V144" i="8"/>
  <c r="AI156" i="8"/>
  <c r="AE171" i="8" s="1"/>
  <c r="AF144" i="8"/>
  <c r="AF156" i="8"/>
  <c r="AB171" i="8" s="1"/>
  <c r="AE144" i="8"/>
  <c r="AE156" i="8"/>
  <c r="AA171" i="8" s="1"/>
  <c r="N156" i="8"/>
  <c r="J171" i="8" s="1"/>
  <c r="N144" i="8"/>
  <c r="Q144" i="8"/>
  <c r="Q156" i="8"/>
  <c r="M171" i="8" s="1"/>
  <c r="O144" i="8"/>
  <c r="O156" i="8"/>
  <c r="K171" i="8" s="1"/>
  <c r="AK144" i="8"/>
  <c r="AK156" i="8"/>
  <c r="AG171" i="8" s="1"/>
  <c r="W144" i="8"/>
  <c r="W156" i="8"/>
  <c r="S171" i="8" s="1"/>
  <c r="J144" i="8"/>
  <c r="M156" i="8"/>
  <c r="I171" i="8" s="1"/>
  <c r="T144" i="8"/>
  <c r="T156" i="8"/>
  <c r="P171" i="8" s="1"/>
  <c r="Y144" i="8"/>
  <c r="Y156" i="8"/>
  <c r="U171" i="8" s="1"/>
  <c r="L43" i="1"/>
  <c r="L44" i="1" s="1"/>
  <c r="I149" i="8" l="1"/>
  <c r="I151" i="8" s="1"/>
  <c r="E173" i="8" s="1"/>
  <c r="J145" i="8"/>
  <c r="J146" i="8" s="1"/>
  <c r="K145" i="8" s="1"/>
  <c r="K146" i="8" s="1"/>
  <c r="K147" i="8" s="1"/>
  <c r="K154" i="8" s="1"/>
  <c r="G172" i="8" s="1"/>
  <c r="E156" i="8"/>
  <c r="Q177" i="8" s="1"/>
  <c r="L145" i="8" l="1"/>
  <c r="L146" i="8" s="1"/>
  <c r="L147" i="8" s="1"/>
  <c r="L149" i="8" s="1"/>
  <c r="L151" i="8" s="1"/>
  <c r="K149" i="8"/>
  <c r="K151" i="8" s="1"/>
  <c r="J147" i="8"/>
  <c r="J149" i="8" s="1"/>
  <c r="J151" i="8" s="1"/>
  <c r="F173" i="8" s="1"/>
  <c r="L154" i="8" l="1"/>
  <c r="H172" i="8" s="1"/>
  <c r="M145" i="8"/>
  <c r="M146" i="8" s="1"/>
  <c r="M147" i="8" s="1"/>
  <c r="M149" i="8" s="1"/>
  <c r="M151" i="8" s="1"/>
  <c r="J154" i="8"/>
  <c r="F172" i="8" s="1"/>
  <c r="G173" i="8"/>
  <c r="H173" i="8" s="1"/>
  <c r="M154" i="8" l="1"/>
  <c r="I172" i="8" s="1"/>
  <c r="N145" i="8"/>
  <c r="N146" i="8" s="1"/>
  <c r="N147" i="8" s="1"/>
  <c r="N149" i="8" s="1"/>
  <c r="N151" i="8" s="1"/>
  <c r="I173" i="8"/>
  <c r="N154" i="8" l="1"/>
  <c r="J172" i="8" s="1"/>
  <c r="J173" i="8"/>
  <c r="O145" i="8"/>
  <c r="O146" i="8" s="1"/>
  <c r="O147" i="8" s="1"/>
  <c r="O149" i="8" s="1"/>
  <c r="O151" i="8" s="1"/>
  <c r="K173" i="8" s="1"/>
  <c r="P145" i="8" l="1"/>
  <c r="P146" i="8" s="1"/>
  <c r="P147" i="8" s="1"/>
  <c r="P149" i="8" s="1"/>
  <c r="P151" i="8" s="1"/>
  <c r="L173" i="8" s="1"/>
  <c r="O154" i="8"/>
  <c r="K172" i="8" s="1"/>
  <c r="Q145" i="8" l="1"/>
  <c r="Q146" i="8" s="1"/>
  <c r="Q147" i="8" s="1"/>
  <c r="Q149" i="8" s="1"/>
  <c r="Q151" i="8" s="1"/>
  <c r="M173" i="8" s="1"/>
  <c r="P154" i="8"/>
  <c r="L172" i="8" s="1"/>
  <c r="R145" i="8" l="1"/>
  <c r="R146" i="8" s="1"/>
  <c r="R147" i="8" s="1"/>
  <c r="R149" i="8" s="1"/>
  <c r="R151" i="8" s="1"/>
  <c r="Q154" i="8"/>
  <c r="M172" i="8" s="1"/>
  <c r="N173" i="8"/>
  <c r="R154" i="8"/>
  <c r="N172" i="8" s="1"/>
  <c r="S145" i="8"/>
  <c r="S146" i="8" s="1"/>
  <c r="S147" i="8" s="1"/>
  <c r="S149" i="8" s="1"/>
  <c r="S151" i="8" s="1"/>
  <c r="O173" i="8" l="1"/>
  <c r="T145" i="8"/>
  <c r="T146" i="8" s="1"/>
  <c r="T147" i="8" s="1"/>
  <c r="T149" i="8" s="1"/>
  <c r="T151" i="8" s="1"/>
  <c r="S154" i="8"/>
  <c r="O172" i="8" s="1"/>
  <c r="P173" i="8" l="1"/>
  <c r="T154" i="8"/>
  <c r="P172" i="8" s="1"/>
  <c r="U145" i="8"/>
  <c r="U146" i="8" s="1"/>
  <c r="U147" i="8" s="1"/>
  <c r="U149" i="8" s="1"/>
  <c r="U151" i="8" s="1"/>
  <c r="Q173" i="8" s="1"/>
  <c r="V145" i="8" l="1"/>
  <c r="V146" i="8" s="1"/>
  <c r="V147" i="8" s="1"/>
  <c r="V149" i="8" s="1"/>
  <c r="V151" i="8" s="1"/>
  <c r="R173" i="8" s="1"/>
  <c r="U154" i="8"/>
  <c r="Q172" i="8" s="1"/>
  <c r="W145" i="8" l="1"/>
  <c r="W146" i="8" s="1"/>
  <c r="W147" i="8" s="1"/>
  <c r="W149" i="8" s="1"/>
  <c r="W151" i="8" s="1"/>
  <c r="S173" i="8" s="1"/>
  <c r="V154" i="8"/>
  <c r="R172" i="8" s="1"/>
  <c r="W154" i="8" l="1"/>
  <c r="S172" i="8" s="1"/>
  <c r="X145" i="8"/>
  <c r="X146" i="8" s="1"/>
  <c r="X147" i="8" s="1"/>
  <c r="X149" i="8" s="1"/>
  <c r="X151" i="8" s="1"/>
  <c r="T173" i="8" s="1"/>
  <c r="Y145" i="8" l="1"/>
  <c r="Y146" i="8" s="1"/>
  <c r="Y147" i="8" s="1"/>
  <c r="Y149" i="8" s="1"/>
  <c r="Y151" i="8" s="1"/>
  <c r="U173" i="8" s="1"/>
  <c r="X154" i="8"/>
  <c r="T172" i="8" s="1"/>
  <c r="Y154" i="8" l="1"/>
  <c r="U172" i="8" s="1"/>
  <c r="Z145" i="8"/>
  <c r="Z146" i="8" s="1"/>
  <c r="Z147" i="8" s="1"/>
  <c r="Z149" i="8" s="1"/>
  <c r="Z151" i="8" s="1"/>
  <c r="V173" i="8" s="1"/>
  <c r="AA145" i="8" l="1"/>
  <c r="AA146" i="8" s="1"/>
  <c r="AA147" i="8" s="1"/>
  <c r="AA149" i="8" s="1"/>
  <c r="AA151" i="8" s="1"/>
  <c r="W173" i="8" s="1"/>
  <c r="Z154" i="8"/>
  <c r="V172" i="8" s="1"/>
  <c r="AA154" i="8" l="1"/>
  <c r="W172" i="8" s="1"/>
  <c r="AB145" i="8"/>
  <c r="AB146" i="8" s="1"/>
  <c r="AB147" i="8" s="1"/>
  <c r="AB149" i="8" s="1"/>
  <c r="AB151" i="8" s="1"/>
  <c r="X173" i="8" s="1"/>
  <c r="AC145" i="8" l="1"/>
  <c r="AC146" i="8" s="1"/>
  <c r="AC147" i="8" s="1"/>
  <c r="AC149" i="8" s="1"/>
  <c r="AC151" i="8" s="1"/>
  <c r="Y173" i="8" s="1"/>
  <c r="AB154" i="8"/>
  <c r="X172" i="8" s="1"/>
  <c r="AC154" i="8" l="1"/>
  <c r="Y172" i="8" s="1"/>
  <c r="AD145" i="8"/>
  <c r="AD146" i="8" s="1"/>
  <c r="AD147" i="8" s="1"/>
  <c r="AD149" i="8" s="1"/>
  <c r="AD151" i="8" s="1"/>
  <c r="Z173" i="8" s="1"/>
  <c r="AE145" i="8" l="1"/>
  <c r="AE146" i="8" s="1"/>
  <c r="AE147" i="8" s="1"/>
  <c r="AE149" i="8" s="1"/>
  <c r="AE151" i="8" s="1"/>
  <c r="AA173" i="8" s="1"/>
  <c r="AD154" i="8"/>
  <c r="Z172" i="8" s="1"/>
  <c r="AE154" i="8" l="1"/>
  <c r="AA172" i="8" s="1"/>
  <c r="AF145" i="8"/>
  <c r="AF146" i="8" s="1"/>
  <c r="AF147" i="8" s="1"/>
  <c r="AF149" i="8" s="1"/>
  <c r="AF151" i="8" s="1"/>
  <c r="AB173" i="8" s="1"/>
  <c r="AG145" i="8" l="1"/>
  <c r="AG146" i="8" s="1"/>
  <c r="AG147" i="8" s="1"/>
  <c r="AG149" i="8" s="1"/>
  <c r="AG151" i="8" s="1"/>
  <c r="AC173" i="8" s="1"/>
  <c r="AF154" i="8"/>
  <c r="AB172" i="8" s="1"/>
  <c r="AH145" i="8" l="1"/>
  <c r="AH146" i="8" s="1"/>
  <c r="AH147" i="8" s="1"/>
  <c r="AG154" i="8"/>
  <c r="AC172" i="8" s="1"/>
  <c r="AI145" i="8" l="1"/>
  <c r="AI146" i="8" s="1"/>
  <c r="AI147" i="8" s="1"/>
  <c r="AH149" i="8"/>
  <c r="AH151" i="8" s="1"/>
  <c r="AD173" i="8" s="1"/>
  <c r="AH154" i="8"/>
  <c r="AD172" i="8" s="1"/>
  <c r="AJ145" i="8" l="1"/>
  <c r="AJ146" i="8" s="1"/>
  <c r="AJ147" i="8" s="1"/>
  <c r="AI149" i="8"/>
  <c r="AI151" i="8" s="1"/>
  <c r="AE173" i="8" s="1"/>
  <c r="AI154" i="8"/>
  <c r="AE172" i="8" s="1"/>
  <c r="AK145" i="8" l="1"/>
  <c r="AK146" i="8" s="1"/>
  <c r="AK147" i="8" s="1"/>
  <c r="AJ149" i="8"/>
  <c r="AJ151" i="8" s="1"/>
  <c r="AF173" i="8" s="1"/>
  <c r="AJ154" i="8"/>
  <c r="AF172" i="8" s="1"/>
  <c r="AL145" i="8" l="1"/>
  <c r="AL146" i="8" s="1"/>
  <c r="AL147" i="8" s="1"/>
  <c r="AL154" i="8" s="1"/>
  <c r="AH172" i="8" s="1"/>
  <c r="AK149" i="8"/>
  <c r="AK151" i="8" s="1"/>
  <c r="AK154" i="8"/>
  <c r="AG172" i="8" s="1"/>
  <c r="AL149" i="8" l="1"/>
  <c r="AL151" i="8" s="1"/>
  <c r="E151" i="8" s="1"/>
  <c r="H116" i="8" s="1"/>
  <c r="E154" i="8"/>
  <c r="AG173" i="8"/>
  <c r="AH173"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I7" authorId="0" shapeId="0" xr:uid="{DEA433F2-1E98-4C8D-A5F6-5311BEA7163D}">
      <text>
        <r>
          <rPr>
            <b/>
            <sz val="9"/>
            <color indexed="81"/>
            <rFont val="Tahoma"/>
            <family val="2"/>
          </rPr>
          <t>Jacks074:</t>
        </r>
        <r>
          <rPr>
            <sz val="9"/>
            <color indexed="81"/>
            <rFont val="Tahoma"/>
            <family val="2"/>
          </rPr>
          <t xml:space="preserve">
This will likely be replaced as yield will come from DayCent data</t>
        </r>
      </text>
    </comment>
    <comment ref="M10" authorId="0" shapeId="0" xr:uid="{1BA3883A-46ED-4448-B240-335128D72A91}">
      <text>
        <r>
          <rPr>
            <b/>
            <sz val="9"/>
            <color indexed="81"/>
            <rFont val="Tahoma"/>
            <family val="2"/>
          </rPr>
          <t>Jacks074:</t>
        </r>
        <r>
          <rPr>
            <sz val="9"/>
            <color indexed="81"/>
            <rFont val="Tahoma"/>
            <family val="2"/>
          </rPr>
          <t xml:space="preserve">
Less sure what to report here; clearly the vast majority of this is for corn plant growth - which corresponds to simple rainwater for this geographical location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Q3" authorId="0" shapeId="0" xr:uid="{3BBB954B-C43F-4F55-B5C3-94475CD3B9D1}">
      <text>
        <r>
          <rPr>
            <b/>
            <sz val="9"/>
            <color indexed="81"/>
            <rFont val="Tahoma"/>
            <family val="2"/>
          </rPr>
          <t>Jacks074:</t>
        </r>
        <r>
          <rPr>
            <sz val="9"/>
            <color indexed="81"/>
            <rFont val="Tahoma"/>
            <family val="2"/>
          </rPr>
          <t xml:space="preserve">
Dependant on User Defined inputs of Nutrient Uptake from soil (N,P,K,S) and applied Fertilizer Amounts</t>
        </r>
      </text>
    </comment>
    <comment ref="A5" authorId="0" shapeId="0" xr:uid="{00000000-0006-0000-0100-000001000000}">
      <text>
        <r>
          <rPr>
            <b/>
            <sz val="9"/>
            <color indexed="81"/>
            <rFont val="Tahoma"/>
            <family val="2"/>
          </rPr>
          <t>Jacks074:</t>
        </r>
        <r>
          <rPr>
            <sz val="9"/>
            <color indexed="81"/>
            <rFont val="Tahoma"/>
            <family val="2"/>
          </rPr>
          <t xml:space="preserve">
Assuming 1900 seeds/lb
https://hancockseed.com/products/reids-yellow-dent-field-corn-seed#:~:text=90%2D100%20days.-,The%20ears%20of%20corn%20are%20approximately%209%2D10%20inches.,approximately%201900%20seeds%20per%20pound.</t>
        </r>
      </text>
    </comment>
    <comment ref="H5" authorId="0" shapeId="0" xr:uid="{00000000-0006-0000-0100-000002000000}">
      <text>
        <r>
          <rPr>
            <b/>
            <sz val="9"/>
            <color indexed="81"/>
            <rFont val="Tahoma"/>
            <family val="2"/>
          </rPr>
          <t>Jacks074:</t>
        </r>
        <r>
          <rPr>
            <sz val="9"/>
            <color indexed="81"/>
            <rFont val="Tahoma"/>
            <family val="2"/>
          </rPr>
          <t xml:space="preserve">
Do we convert this via the LHV to the MJ actually "put in"?
</t>
        </r>
      </text>
    </comment>
    <comment ref="B7" authorId="0" shapeId="0" xr:uid="{E8B05B86-32BC-4BC6-8BDC-1587D9A5011F}">
      <text>
        <r>
          <rPr>
            <b/>
            <sz val="9"/>
            <color indexed="81"/>
            <rFont val="Tahoma"/>
            <family val="2"/>
          </rPr>
          <t>Jacks074:</t>
        </r>
        <r>
          <rPr>
            <sz val="9"/>
            <color indexed="81"/>
            <rFont val="Tahoma"/>
            <family val="2"/>
          </rPr>
          <t xml:space="preserve">
Convert these to the element</t>
        </r>
      </text>
    </comment>
    <comment ref="L17" authorId="0" shapeId="0" xr:uid="{D6653FEE-A0ED-4DF6-9608-538A8C0B9CFE}">
      <text>
        <r>
          <rPr>
            <b/>
            <sz val="9"/>
            <color indexed="81"/>
            <rFont val="Tahoma"/>
            <family val="2"/>
          </rPr>
          <t>Jacks074:</t>
        </r>
        <r>
          <rPr>
            <sz val="9"/>
            <color indexed="81"/>
            <rFont val="Tahoma"/>
            <family val="2"/>
          </rPr>
          <t xml:space="preserve">
per ha - Iowa
Source?</t>
        </r>
      </text>
    </comment>
    <comment ref="L18" authorId="0" shapeId="0" xr:uid="{99AE74C6-582F-431D-AE41-B5D8A5210641}">
      <text>
        <r>
          <rPr>
            <b/>
            <sz val="9"/>
            <color indexed="81"/>
            <rFont val="Tahoma"/>
            <family val="2"/>
          </rPr>
          <t>Jacks074:</t>
        </r>
        <r>
          <rPr>
            <sz val="9"/>
            <color indexed="81"/>
            <rFont val="Tahoma"/>
            <family val="2"/>
          </rPr>
          <t xml:space="preserve">
per ha - Iowa
Source?</t>
        </r>
      </text>
    </comment>
    <comment ref="P18" authorId="0" shapeId="0" xr:uid="{B36E2FB9-12C4-4E1C-A2E8-AAFC40C6DB18}">
      <text>
        <r>
          <rPr>
            <b/>
            <sz val="9"/>
            <color indexed="81"/>
            <rFont val="Tahoma"/>
            <family val="2"/>
          </rPr>
          <t>Jacks074:</t>
        </r>
        <r>
          <rPr>
            <sz val="9"/>
            <color indexed="81"/>
            <rFont val="Tahoma"/>
            <family val="2"/>
          </rPr>
          <t xml:space="preserve">
% of stover collected from the field (rest remains to cover the field from wind Erosion)</t>
        </r>
      </text>
    </comment>
    <comment ref="L19" authorId="0" shapeId="0" xr:uid="{DFD6EAF1-7F62-4495-A30B-730990CF61B1}">
      <text>
        <r>
          <rPr>
            <b/>
            <sz val="9"/>
            <color indexed="81"/>
            <rFont val="Tahoma"/>
            <family val="2"/>
          </rPr>
          <t>Jacks074:</t>
        </r>
        <r>
          <rPr>
            <sz val="9"/>
            <color indexed="81"/>
            <rFont val="Tahoma"/>
            <family val="2"/>
          </rPr>
          <t xml:space="preserve">
Describes the amount of water consumed for the fast-carbon cycle to build to plant mass</t>
        </r>
      </text>
    </comment>
    <comment ref="L20" authorId="0" shapeId="0" xr:uid="{DD0F498E-9FE1-43D7-8ED6-E1404ABAD418}">
      <text>
        <r>
          <rPr>
            <b/>
            <sz val="9"/>
            <color indexed="81"/>
            <rFont val="Tahoma"/>
            <family val="2"/>
          </rPr>
          <t>Jacks074:</t>
        </r>
        <r>
          <rPr>
            <sz val="9"/>
            <color indexed="81"/>
            <rFont val="Tahoma"/>
            <family val="2"/>
          </rPr>
          <t xml:space="preserve">
by chemical mass ratios - assuming 46 percent oxygen content of the plant</t>
        </r>
      </text>
    </comment>
    <comment ref="R24" authorId="0" shapeId="0" xr:uid="{9BC870C0-27CF-4BC5-AD12-0B7DADB09B55}">
      <text>
        <r>
          <rPr>
            <b/>
            <sz val="9"/>
            <color indexed="81"/>
            <rFont val="Tahoma"/>
            <family val="2"/>
          </rPr>
          <t>Jacks074:</t>
        </r>
        <r>
          <rPr>
            <sz val="9"/>
            <color indexed="81"/>
            <rFont val="Tahoma"/>
            <family val="2"/>
          </rPr>
          <t xml:space="preserve">
Now this is dumb; the "growth" model is tuned to nat'l average of 175 bu/acre.  Really, this should be manipulated to take in 34 inches rw and output 200 bu/acre</t>
        </r>
      </text>
    </comment>
    <comment ref="A25" authorId="0" shapeId="0" xr:uid="{7CCBE423-4887-46B5-96F3-EC733C627CE4}">
      <text>
        <r>
          <rPr>
            <b/>
            <sz val="9"/>
            <color indexed="81"/>
            <rFont val="Tahoma"/>
            <family val="2"/>
          </rPr>
          <t>Jacks074:</t>
        </r>
        <r>
          <rPr>
            <sz val="9"/>
            <color indexed="81"/>
            <rFont val="Tahoma"/>
            <family val="2"/>
          </rPr>
          <t xml:space="preserve">
Backed from Humbird TEA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K6" authorId="0" shapeId="0" xr:uid="{2FDCEDEF-CC50-4787-AA4B-E768FD721410}">
      <text>
        <r>
          <rPr>
            <b/>
            <sz val="9"/>
            <color indexed="81"/>
            <rFont val="Tahoma"/>
            <family val="2"/>
          </rPr>
          <t>Jacks074:</t>
        </r>
        <r>
          <rPr>
            <sz val="9"/>
            <color indexed="81"/>
            <rFont val="Tahoma"/>
            <family val="2"/>
          </rPr>
          <t xml:space="preserve">
https://en.wikipedia.org/wiki/Maize#Nutritional_value
https://nutritiondata.self.com/facts/cereal-grains-and-pasta/5687/2</t>
        </r>
      </text>
    </comment>
    <comment ref="B13" authorId="0" shapeId="0" xr:uid="{ABCDA87B-9A47-4941-B120-074F95F01D84}">
      <text>
        <r>
          <rPr>
            <b/>
            <sz val="9"/>
            <color indexed="81"/>
            <rFont val="Tahoma"/>
            <family val="2"/>
          </rPr>
          <t>Jacks074:</t>
        </r>
        <r>
          <rPr>
            <sz val="9"/>
            <color indexed="81"/>
            <rFont val="Tahoma"/>
            <family val="2"/>
          </rPr>
          <t xml:space="preserve">
Going to need to model N2O emissions from the Nitrogen Fertilizer Applied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I4" authorId="0" shapeId="0" xr:uid="{00000000-0006-0000-0000-000001000000}">
      <text>
        <r>
          <rPr>
            <b/>
            <sz val="9"/>
            <color indexed="81"/>
            <rFont val="Tahoma"/>
            <family val="2"/>
          </rPr>
          <t xml:space="preserve">Jacks074:
</t>
        </r>
        <r>
          <rPr>
            <sz val="9"/>
            <color indexed="81"/>
            <rFont val="Tahoma"/>
            <family val="2"/>
          </rPr>
          <t>Untreated</t>
        </r>
      </text>
    </comment>
    <comment ref="X5" authorId="0" shapeId="0" xr:uid="{9CBE9640-4714-42F0-9A4F-7FB1D32D8ACF}">
      <text>
        <r>
          <rPr>
            <b/>
            <sz val="9"/>
            <color indexed="81"/>
            <rFont val="Tahoma"/>
            <family val="2"/>
          </rPr>
          <t>Jacks074:</t>
        </r>
        <r>
          <rPr>
            <sz val="9"/>
            <color indexed="81"/>
            <rFont val="Tahoma"/>
            <family val="2"/>
          </rPr>
          <t xml:space="preserve">
Roughly a quarter of the dedicated corn fields currently present in Iowa</t>
        </r>
      </text>
    </comment>
    <comment ref="D9" authorId="0" shapeId="0" xr:uid="{00000000-0006-0000-0000-000003000000}">
      <text>
        <r>
          <rPr>
            <b/>
            <sz val="9"/>
            <color indexed="81"/>
            <rFont val="Tahoma"/>
            <family val="2"/>
          </rPr>
          <t>Jacks074:</t>
        </r>
        <r>
          <rPr>
            <sz val="9"/>
            <color indexed="81"/>
            <rFont val="Tahoma"/>
            <family val="2"/>
          </rPr>
          <t xml:space="preserve">
While I am adding the Seeds needed here, the labor/Diesel expended for the planting process is included in Block 170</t>
        </r>
      </text>
    </comment>
    <comment ref="O9" authorId="0" shapeId="0" xr:uid="{00000000-0006-0000-0000-000002000000}">
      <text>
        <r>
          <rPr>
            <b/>
            <sz val="9"/>
            <color indexed="81"/>
            <rFont val="Tahoma"/>
            <family val="2"/>
          </rPr>
          <t>Jacks074:</t>
        </r>
        <r>
          <rPr>
            <sz val="9"/>
            <color indexed="81"/>
            <rFont val="Tahoma"/>
            <family val="2"/>
          </rPr>
          <t xml:space="preserve">
End of Conclusion - might be too optimistic power-wise
A sustainable ethanol distillation system - Yang</t>
        </r>
      </text>
    </comment>
    <comment ref="O10" authorId="0" shapeId="0" xr:uid="{00000000-0006-0000-0000-000004000000}">
      <text>
        <r>
          <rPr>
            <b/>
            <sz val="9"/>
            <color indexed="81"/>
            <rFont val="Tahoma"/>
            <family val="2"/>
          </rPr>
          <t>Jacks074:</t>
        </r>
        <r>
          <rPr>
            <sz val="9"/>
            <color indexed="81"/>
            <rFont val="Tahoma"/>
            <family val="2"/>
          </rPr>
          <t xml:space="preserve">
Introduction and Conclusion
Energy, Carbon Dioxide and Water Use Implications of Hydrous Ethanol Production - Saffy</t>
        </r>
      </text>
    </comment>
    <comment ref="H11" authorId="0" shapeId="0" xr:uid="{00000000-0006-0000-0000-000005000000}">
      <text>
        <r>
          <rPr>
            <b/>
            <sz val="9"/>
            <color indexed="81"/>
            <rFont val="Tahoma"/>
            <family val="2"/>
          </rPr>
          <t>Jacks074:</t>
        </r>
        <r>
          <rPr>
            <sz val="9"/>
            <color indexed="81"/>
            <rFont val="Tahoma"/>
            <family val="2"/>
          </rPr>
          <t xml:space="preserve">
Engineering Estimate, meant to cover lost material b/n harvest and insertion to mill (mill inlet screen, for example, could be responsible for some of this)</t>
        </r>
      </text>
    </comment>
    <comment ref="O13" authorId="0" shapeId="0" xr:uid="{00000000-0006-0000-0000-000006000000}">
      <text>
        <r>
          <rPr>
            <b/>
            <sz val="9"/>
            <color indexed="81"/>
            <rFont val="Tahoma"/>
            <family val="2"/>
          </rPr>
          <t>Jacks074:</t>
        </r>
        <r>
          <rPr>
            <sz val="9"/>
            <color indexed="81"/>
            <rFont val="Tahoma"/>
            <family val="2"/>
          </rPr>
          <t xml:space="preserve">
18% Lignin by dry mass percentage</t>
        </r>
      </text>
    </comment>
    <comment ref="R13" authorId="0" shapeId="0" xr:uid="{1B065DB5-7ADC-495A-81CC-35C895DC2E78}">
      <text>
        <r>
          <rPr>
            <b/>
            <sz val="9"/>
            <color indexed="81"/>
            <rFont val="Tahoma"/>
            <family val="2"/>
          </rPr>
          <t>Jacks074:</t>
        </r>
        <r>
          <rPr>
            <sz val="9"/>
            <color indexed="81"/>
            <rFont val="Tahoma"/>
            <family val="2"/>
          </rPr>
          <t xml:space="preserve">
They used about 2/3rds the Glucose you did - though there is pretty heavy variance between each model...</t>
        </r>
      </text>
    </comment>
    <comment ref="N17" authorId="0" shapeId="0" xr:uid="{00000000-0006-0000-0000-000007000000}">
      <text>
        <r>
          <rPr>
            <b/>
            <sz val="9"/>
            <color indexed="81"/>
            <rFont val="Tahoma"/>
            <family val="2"/>
          </rPr>
          <t>Jacks074:</t>
        </r>
        <r>
          <rPr>
            <sz val="9"/>
            <color indexed="81"/>
            <rFont val="Tahoma"/>
            <family val="2"/>
          </rPr>
          <t xml:space="preserve">
Need Data or Yield percentage for Lignin produced</t>
        </r>
      </text>
    </comment>
    <comment ref="D18" authorId="0" shapeId="0" xr:uid="{00000000-0006-0000-0000-00000A000000}">
      <text>
        <r>
          <rPr>
            <b/>
            <sz val="9"/>
            <color indexed="81"/>
            <rFont val="Tahoma"/>
            <family val="2"/>
          </rPr>
          <t>Jacks074:</t>
        </r>
        <r>
          <rPr>
            <sz val="9"/>
            <color indexed="81"/>
            <rFont val="Tahoma"/>
            <family val="2"/>
          </rPr>
          <t xml:space="preserve">
Based on the Iowa  Average </t>
        </r>
      </text>
    </comment>
    <comment ref="N18" authorId="0" shapeId="0" xr:uid="{00000000-0006-0000-0000-000008000000}">
      <text>
        <r>
          <rPr>
            <b/>
            <sz val="9"/>
            <color indexed="81"/>
            <rFont val="Tahoma"/>
            <family val="2"/>
          </rPr>
          <t>Jacks074:</t>
        </r>
        <r>
          <rPr>
            <sz val="9"/>
            <color indexed="81"/>
            <rFont val="Tahoma"/>
            <family val="2"/>
          </rPr>
          <t xml:space="preserve">
14.6% Carbon Content Vented from 
</t>
        </r>
      </text>
    </comment>
    <comment ref="O18" authorId="0" shapeId="0" xr:uid="{00000000-0006-0000-0000-000009000000}">
      <text>
        <r>
          <rPr>
            <b/>
            <sz val="9"/>
            <color indexed="81"/>
            <rFont val="Tahoma"/>
            <family val="2"/>
          </rPr>
          <t>Jacks074:</t>
        </r>
        <r>
          <rPr>
            <sz val="9"/>
            <color indexed="81"/>
            <rFont val="Tahoma"/>
            <family val="2"/>
          </rPr>
          <t xml:space="preserve">
And Table 35</t>
        </r>
      </text>
    </comment>
    <comment ref="I25" authorId="0" shapeId="0" xr:uid="{00000000-0006-0000-0000-00000D000000}">
      <text>
        <r>
          <rPr>
            <b/>
            <sz val="9"/>
            <color indexed="81"/>
            <rFont val="Tahoma"/>
            <family val="2"/>
          </rPr>
          <t>Jacks074:</t>
        </r>
        <r>
          <rPr>
            <sz val="9"/>
            <color indexed="81"/>
            <rFont val="Tahoma"/>
            <family val="2"/>
          </rPr>
          <t xml:space="preserve">
Not quite done - still need to find the yield or conversion rate for energy from an average steam plant</t>
        </r>
      </text>
    </comment>
    <comment ref="B32" authorId="0" shapeId="0" xr:uid="{00000000-0006-0000-0000-00000F000000}">
      <text>
        <r>
          <rPr>
            <b/>
            <sz val="9"/>
            <color indexed="81"/>
            <rFont val="Tahoma"/>
            <family val="2"/>
          </rPr>
          <t>Jacks074:</t>
        </r>
        <r>
          <rPr>
            <sz val="9"/>
            <color indexed="81"/>
            <rFont val="Tahoma"/>
            <family val="2"/>
          </rPr>
          <t xml:space="preserve">
A few limitations of this model: This does not account for multiple applications of Fertilizers at different stages of the growth process.  Additionally, I believe this is related to a National Average; nutrients present in soil clearly vary spatially. </t>
        </r>
      </text>
    </comment>
    <comment ref="I37" authorId="0" shapeId="0" xr:uid="{00000000-0006-0000-0000-000011000000}">
      <text>
        <r>
          <rPr>
            <b/>
            <sz val="9"/>
            <color indexed="81"/>
            <rFont val="Tahoma"/>
            <family val="2"/>
          </rPr>
          <t>Jacks074:</t>
        </r>
        <r>
          <rPr>
            <sz val="9"/>
            <color indexed="81"/>
            <rFont val="Tahoma"/>
            <family val="2"/>
          </rPr>
          <t xml:space="preserve">
Dilute Acid Hydrolysis Source Above</t>
        </r>
      </text>
    </comment>
    <comment ref="N38" authorId="0" shapeId="0" xr:uid="{E29EFFD4-5443-4948-B9B5-2B1F50189B89}">
      <text>
        <r>
          <rPr>
            <b/>
            <sz val="9"/>
            <color indexed="81"/>
            <rFont val="Tahoma"/>
            <family val="2"/>
          </rPr>
          <t>Jacks074:</t>
        </r>
        <r>
          <rPr>
            <sz val="9"/>
            <color indexed="81"/>
            <rFont val="Tahoma"/>
            <family val="2"/>
          </rPr>
          <t xml:space="preserve">
Need Data or Yield percentage for Lignin produced</t>
        </r>
      </text>
    </comment>
    <comment ref="E39" authorId="0" shapeId="0" xr:uid="{00000000-0006-0000-0000-000010000000}">
      <text>
        <r>
          <rPr>
            <b/>
            <sz val="9"/>
            <color indexed="81"/>
            <rFont val="Tahoma"/>
            <family val="2"/>
          </rPr>
          <t>Jacks074:</t>
        </r>
        <r>
          <rPr>
            <sz val="9"/>
            <color indexed="81"/>
            <rFont val="Tahoma"/>
            <family val="2"/>
          </rPr>
          <t xml:space="preserve">
Thank you for the source!</t>
        </r>
      </text>
    </comment>
    <comment ref="N39" authorId="0" shapeId="0" xr:uid="{B82E6644-6E7C-4348-BE2F-21D1C92B4D72}">
      <text>
        <r>
          <rPr>
            <b/>
            <sz val="9"/>
            <color indexed="81"/>
            <rFont val="Tahoma"/>
            <family val="2"/>
          </rPr>
          <t>Jacks074:</t>
        </r>
        <r>
          <rPr>
            <sz val="9"/>
            <color indexed="81"/>
            <rFont val="Tahoma"/>
            <family val="2"/>
          </rPr>
          <t xml:space="preserve">
https://www.researchgate.net/figure/HHV-and-LHV-of-corn-stover-and-biochars-produced-at-400-and-500C_tbl4_304250177</t>
        </r>
      </text>
    </comment>
    <comment ref="J44" authorId="0" shapeId="0" xr:uid="{00000000-0006-0000-0000-000012000000}">
      <text>
        <r>
          <rPr>
            <b/>
            <sz val="9"/>
            <color indexed="81"/>
            <rFont val="Tahoma"/>
            <family val="2"/>
          </rPr>
          <t>Jacks074:</t>
        </r>
        <r>
          <rPr>
            <sz val="9"/>
            <color indexed="81"/>
            <rFont val="Tahoma"/>
            <family val="2"/>
          </rPr>
          <t xml:space="preserve">
Table 2
</t>
        </r>
      </text>
    </comment>
    <comment ref="C53" authorId="0" shapeId="0" xr:uid="{00000000-0006-0000-0000-000013000000}">
      <text>
        <r>
          <rPr>
            <b/>
            <sz val="9"/>
            <color indexed="81"/>
            <rFont val="Tahoma"/>
            <family val="2"/>
          </rPr>
          <t>Jacks074:</t>
        </r>
        <r>
          <rPr>
            <sz val="9"/>
            <color indexed="81"/>
            <rFont val="Tahoma"/>
            <family val="2"/>
          </rPr>
          <t xml:space="preserve">
Currently assuming that no leaching/direct field emissions of fertilizers (going to need more data)</t>
        </r>
      </text>
    </comment>
    <comment ref="B57" authorId="0" shapeId="0" xr:uid="{00000000-0006-0000-0000-000014000000}">
      <text>
        <r>
          <rPr>
            <b/>
            <sz val="9"/>
            <color indexed="81"/>
            <rFont val="Tahoma"/>
            <family val="2"/>
          </rPr>
          <t>Jacks074:</t>
        </r>
        <r>
          <rPr>
            <sz val="9"/>
            <color indexed="81"/>
            <rFont val="Tahoma"/>
            <family val="2"/>
          </rPr>
          <t xml:space="preserve">
Similarly, this is goiing to experience serious variation with respect to geographic location </t>
        </r>
      </text>
    </comment>
    <comment ref="C59" authorId="0" shapeId="0" xr:uid="{D98C1725-730F-4C26-A1D8-A8D23D6374E9}">
      <text>
        <r>
          <rPr>
            <b/>
            <sz val="9"/>
            <color indexed="81"/>
            <rFont val="Tahoma"/>
            <family val="2"/>
          </rPr>
          <t>Jacks074:</t>
        </r>
        <r>
          <rPr>
            <sz val="9"/>
            <color indexed="81"/>
            <rFont val="Tahoma"/>
            <family val="2"/>
          </rPr>
          <t xml:space="preserve">
Great opportunity to add geospatial resolution; pH of soil will determine CaCO3</t>
        </r>
      </text>
    </comment>
    <comment ref="J62" authorId="0" shapeId="0" xr:uid="{00000000-0006-0000-0000-000015000000}">
      <text>
        <r>
          <rPr>
            <b/>
            <sz val="9"/>
            <color indexed="81"/>
            <rFont val="Tahoma"/>
            <family val="2"/>
          </rPr>
          <t>Jacks074:</t>
        </r>
        <r>
          <rPr>
            <sz val="9"/>
            <color indexed="81"/>
            <rFont val="Tahoma"/>
            <family val="2"/>
          </rPr>
          <t xml:space="preserve">
Included for Convenient Reference
</t>
        </r>
      </text>
    </comment>
    <comment ref="G68" authorId="0" shapeId="0" xr:uid="{00000000-0006-0000-0000-000017000000}">
      <text>
        <r>
          <rPr>
            <b/>
            <sz val="9"/>
            <color indexed="81"/>
            <rFont val="Tahoma"/>
            <family val="2"/>
          </rPr>
          <t>Jacks074:</t>
        </r>
        <r>
          <rPr>
            <sz val="9"/>
            <color indexed="81"/>
            <rFont val="Tahoma"/>
            <family val="2"/>
          </rPr>
          <t xml:space="preserve">
I missed appendix C in the NREL Humbird Report; contains all needed info in 1 place… Another iteration undertaking could be to regenerate all steps available from NREL's report for consistency</t>
        </r>
      </text>
    </comment>
    <comment ref="J70" authorId="0" shapeId="0" xr:uid="{00000000-0006-0000-0000-000018000000}">
      <text>
        <r>
          <rPr>
            <b/>
            <sz val="9"/>
            <color indexed="81"/>
            <rFont val="Tahoma"/>
            <family val="2"/>
          </rPr>
          <t>Jacks074:</t>
        </r>
        <r>
          <rPr>
            <sz val="9"/>
            <color indexed="81"/>
            <rFont val="Tahoma"/>
            <family val="2"/>
          </rPr>
          <t xml:space="preserve">
Included for Convenient Reference
</t>
        </r>
      </text>
    </comment>
    <comment ref="E71" authorId="0" shapeId="0" xr:uid="{00000000-0006-0000-0000-000016000000}">
      <text>
        <r>
          <rPr>
            <b/>
            <sz val="9"/>
            <color indexed="81"/>
            <rFont val="Tahoma"/>
            <family val="2"/>
          </rPr>
          <t>Jacks074:</t>
        </r>
        <r>
          <rPr>
            <sz val="9"/>
            <color indexed="81"/>
            <rFont val="Tahoma"/>
            <family val="2"/>
          </rPr>
          <t xml:space="preserve">
Add drop-down list or some such thing so that this may be selected.  </t>
        </r>
      </text>
    </comment>
    <comment ref="G72" authorId="0" shapeId="0" xr:uid="{00000000-0006-0000-0000-000019000000}">
      <text>
        <r>
          <rPr>
            <b/>
            <sz val="9"/>
            <color indexed="81"/>
            <rFont val="Tahoma"/>
            <family val="2"/>
          </rPr>
          <t>Jacks074:</t>
        </r>
        <r>
          <rPr>
            <sz val="9"/>
            <color indexed="81"/>
            <rFont val="Tahoma"/>
            <family val="2"/>
          </rPr>
          <t xml:space="preserve">
The Slurry is drained and washed - currently modeling as a drain/re-dilute, need to confirm</t>
        </r>
      </text>
    </comment>
    <comment ref="I81" authorId="0" shapeId="0" xr:uid="{00000000-0006-0000-0000-00001B000000}">
      <text>
        <r>
          <rPr>
            <b/>
            <sz val="9"/>
            <color indexed="81"/>
            <rFont val="Tahoma"/>
            <family val="2"/>
          </rPr>
          <t>Jacks074:</t>
        </r>
        <r>
          <rPr>
            <sz val="9"/>
            <color indexed="81"/>
            <rFont val="Tahoma"/>
            <family val="2"/>
          </rPr>
          <t xml:space="preserve">
Might be in a different source - verify</t>
        </r>
      </text>
    </comment>
    <comment ref="I82" authorId="0" shapeId="0" xr:uid="{00000000-0006-0000-0000-00001D000000}">
      <text>
        <r>
          <rPr>
            <b/>
            <sz val="9"/>
            <color indexed="81"/>
            <rFont val="Tahoma"/>
            <family val="2"/>
          </rPr>
          <t>Jacks074:</t>
        </r>
        <r>
          <rPr>
            <sz val="9"/>
            <color indexed="81"/>
            <rFont val="Tahoma"/>
            <family val="2"/>
          </rPr>
          <t xml:space="preserve">
Confirm</t>
        </r>
      </text>
    </comment>
    <comment ref="C83" authorId="0" shapeId="0" xr:uid="{00000000-0006-0000-0000-00001A000000}">
      <text>
        <r>
          <rPr>
            <b/>
            <sz val="9"/>
            <color indexed="81"/>
            <rFont val="Tahoma"/>
            <family val="2"/>
          </rPr>
          <t>Jacks074:</t>
        </r>
        <r>
          <rPr>
            <sz val="9"/>
            <color indexed="81"/>
            <rFont val="Tahoma"/>
            <family val="2"/>
          </rPr>
          <t xml:space="preserve">
The intent was to use this block to model the extent of all labor applied, diesel consumed, etc. involved with the sum of all operations for corn growth (tillage, seeding, weeding, harvest, etc.)
This may need to be broken up for added resolution in the future.</t>
        </r>
      </text>
    </comment>
    <comment ref="E88" authorId="0" shapeId="0" xr:uid="{00000000-0006-0000-0000-00001C000000}">
      <text>
        <r>
          <rPr>
            <b/>
            <sz val="9"/>
            <color indexed="81"/>
            <rFont val="Tahoma"/>
            <family val="2"/>
          </rPr>
          <t>Jacks074:</t>
        </r>
        <r>
          <rPr>
            <sz val="9"/>
            <color indexed="81"/>
            <rFont val="Tahoma"/>
            <family val="2"/>
          </rPr>
          <t xml:space="preserve">
Great Source for Broad overview of Crop Operation Energy Use, might add things like Gasoline, Natural Gas, etc.</t>
        </r>
      </text>
    </comment>
    <comment ref="C90" authorId="0" shapeId="0" xr:uid="{00000000-0006-0000-0000-00001E000000}">
      <text>
        <r>
          <rPr>
            <b/>
            <sz val="9"/>
            <color indexed="81"/>
            <rFont val="Tahoma"/>
            <family val="2"/>
          </rPr>
          <t>Jacks074:</t>
        </r>
        <r>
          <rPr>
            <sz val="9"/>
            <color indexed="81"/>
            <rFont val="Tahoma"/>
            <family val="2"/>
          </rPr>
          <t xml:space="preserve">
Same Source as Labor Data - USDA Above</t>
        </r>
      </text>
    </comment>
    <comment ref="B92" authorId="0" shapeId="0" xr:uid="{388BA451-3324-4EAA-AD3B-B4D4269CBBE3}">
      <text>
        <r>
          <rPr>
            <b/>
            <sz val="9"/>
            <color indexed="81"/>
            <rFont val="Tahoma"/>
            <family val="2"/>
          </rPr>
          <t>Jacks074:</t>
        </r>
        <r>
          <rPr>
            <sz val="9"/>
            <color indexed="81"/>
            <rFont val="Tahoma"/>
            <family val="2"/>
          </rPr>
          <t xml:space="preserve">
Alt_JF Diesel L/ha use (why is yours only half?)</t>
        </r>
      </text>
    </comment>
    <comment ref="J93" authorId="0" shapeId="0" xr:uid="{00000000-0006-0000-0000-00001F000000}">
      <text>
        <r>
          <rPr>
            <b/>
            <sz val="9"/>
            <color indexed="81"/>
            <rFont val="Tahoma"/>
            <family val="2"/>
          </rPr>
          <t>Jacks074:</t>
        </r>
        <r>
          <rPr>
            <sz val="9"/>
            <color indexed="81"/>
            <rFont val="Tahoma"/>
            <family val="2"/>
          </rPr>
          <t xml:space="preserve">
Table 9
</t>
        </r>
      </text>
    </comment>
    <comment ref="E100" authorId="0" shapeId="0" xr:uid="{6025EB81-E171-479B-96A6-F726E0FBFED9}">
      <text>
        <r>
          <rPr>
            <b/>
            <sz val="9"/>
            <color indexed="81"/>
            <rFont val="Tahoma"/>
            <family val="2"/>
          </rPr>
          <t>Jacks074:</t>
        </r>
        <r>
          <rPr>
            <sz val="9"/>
            <color indexed="81"/>
            <rFont val="Tahoma"/>
            <family val="2"/>
          </rPr>
          <t xml:space="preserve">
18,000 kg CO2 /ha-yr in Dr. Beal's model… you should work out why what you got here is wrong.</t>
        </r>
      </text>
    </comment>
    <comment ref="D104" authorId="0" shapeId="0" xr:uid="{00000000-0006-0000-0000-000021000000}">
      <text>
        <r>
          <rPr>
            <b/>
            <sz val="9"/>
            <color indexed="81"/>
            <rFont val="Tahoma"/>
            <family val="2"/>
          </rPr>
          <t>Jacks074:</t>
        </r>
        <r>
          <rPr>
            <sz val="9"/>
            <color indexed="81"/>
            <rFont val="Tahoma"/>
            <family val="2"/>
          </rPr>
          <t xml:space="preserve">
Table 1
</t>
        </r>
      </text>
    </comment>
    <comment ref="C110" authorId="0" shapeId="0" xr:uid="{00000000-0006-0000-0000-000023000000}">
      <text>
        <r>
          <rPr>
            <b/>
            <sz val="9"/>
            <color indexed="81"/>
            <rFont val="Tahoma"/>
            <family val="2"/>
          </rPr>
          <t>Jacks074:</t>
        </r>
        <r>
          <rPr>
            <sz val="9"/>
            <color indexed="81"/>
            <rFont val="Tahoma"/>
            <family val="2"/>
          </rPr>
          <t xml:space="preserve">
"Bone Dry"  Everyone seems to know </t>
        </r>
        <r>
          <rPr>
            <i/>
            <sz val="9"/>
            <color indexed="81"/>
            <rFont val="Tahoma"/>
            <family val="2"/>
          </rPr>
          <t>definitively</t>
        </r>
        <r>
          <rPr>
            <sz val="9"/>
            <color indexed="81"/>
            <rFont val="Tahoma"/>
            <family val="2"/>
          </rPr>
          <t xml:space="preserve"> the yield ratio of stover to grain but I have not yet found a singular source which relates both the yield and the </t>
        </r>
        <r>
          <rPr>
            <i/>
            <sz val="9"/>
            <color indexed="81"/>
            <rFont val="Tahoma"/>
            <family val="2"/>
          </rPr>
          <t>specific</t>
        </r>
        <r>
          <rPr>
            <sz val="9"/>
            <color indexed="81"/>
            <rFont val="Tahoma"/>
            <family val="2"/>
          </rPr>
          <t xml:space="preserve"> moisture content of the stover.  The paper from a million years ago [Latshaw - "</t>
        </r>
        <r>
          <rPr>
            <i/>
            <sz val="9"/>
            <color indexed="81"/>
            <rFont val="Tahoma"/>
            <family val="2"/>
          </rPr>
          <t>Elemental Composition of the Corn Plant</t>
        </r>
        <r>
          <rPr>
            <sz val="9"/>
            <color indexed="81"/>
            <rFont val="Tahoma"/>
            <family val="2"/>
          </rPr>
          <t>" and another source speaks to 75% down to 25% moisture.  That is what I have used here.
25% moisture</t>
        </r>
      </text>
    </comment>
    <comment ref="D110" authorId="0" shapeId="0" xr:uid="{00000000-0006-0000-0000-000024000000}">
      <text>
        <r>
          <rPr>
            <b/>
            <sz val="9"/>
            <color indexed="81"/>
            <rFont val="Tahoma"/>
            <family val="2"/>
          </rPr>
          <t>Jacks074:</t>
        </r>
        <r>
          <rPr>
            <sz val="9"/>
            <color indexed="81"/>
            <rFont val="Tahoma"/>
            <family val="2"/>
          </rPr>
          <t xml:space="preserve">
(About 53:47 Corn to Stover)
An obvious limitation; Converting corn </t>
        </r>
        <r>
          <rPr>
            <i/>
            <sz val="9"/>
            <color indexed="81"/>
            <rFont val="Tahoma"/>
            <family val="2"/>
          </rPr>
          <t>grain</t>
        </r>
        <r>
          <rPr>
            <sz val="9"/>
            <color indexed="81"/>
            <rFont val="Tahoma"/>
            <family val="2"/>
          </rPr>
          <t xml:space="preserve"> to stover might not be the best way to do this, as the 53:47 ratio will likely not be observed as yield/acre changes (See Tumbalam). Could consider removing the corn grain yield from this PM and take input directly as kg useable stover.</t>
        </r>
      </text>
    </comment>
    <comment ref="C115" authorId="0" shapeId="0" xr:uid="{00000000-0006-0000-0000-000025000000}">
      <text>
        <r>
          <rPr>
            <b/>
            <sz val="9"/>
            <color indexed="81"/>
            <rFont val="Tahoma"/>
            <family val="2"/>
          </rPr>
          <t>Jacks074:</t>
        </r>
        <r>
          <rPr>
            <sz val="9"/>
            <color indexed="81"/>
            <rFont val="Tahoma"/>
            <family val="2"/>
          </rPr>
          <t xml:space="preserve">
30% Moisture Content at Maturity, 15% moisture content at harvest</t>
        </r>
      </text>
    </comment>
    <comment ref="D122" authorId="0" shapeId="0" xr:uid="{00000000-0006-0000-0000-000026000000}">
      <text>
        <r>
          <rPr>
            <b/>
            <sz val="9"/>
            <color indexed="81"/>
            <rFont val="Tahoma"/>
            <family val="2"/>
          </rPr>
          <t>Jacks074:</t>
        </r>
        <r>
          <rPr>
            <sz val="9"/>
            <color indexed="81"/>
            <rFont val="Tahoma"/>
            <family val="2"/>
          </rPr>
          <t xml:space="preserve">
43.6 % of the Plant Dry Mass is Carbon.  The ratio of CO2 to Carbon is about 44/12 (molar mass basis)</t>
        </r>
      </text>
    </comment>
    <comment ref="I123" authorId="0" shapeId="0" xr:uid="{00000000-0006-0000-0000-000027000000}">
      <text>
        <r>
          <rPr>
            <b/>
            <sz val="9"/>
            <color indexed="81"/>
            <rFont val="Tahoma"/>
            <family val="2"/>
          </rPr>
          <t>Jacks074:</t>
        </r>
        <r>
          <rPr>
            <sz val="9"/>
            <color indexed="81"/>
            <rFont val="Tahoma"/>
            <family val="2"/>
          </rPr>
          <t xml:space="preserve">
10% of the cellulase is retained for retention or something more technical in name</t>
        </r>
      </text>
    </comment>
    <comment ref="I125" authorId="0" shapeId="0" xr:uid="{00000000-0006-0000-0000-000028000000}">
      <text>
        <r>
          <rPr>
            <b/>
            <sz val="9"/>
            <color indexed="81"/>
            <rFont val="Tahoma"/>
            <family val="2"/>
          </rPr>
          <t>Jacks074:</t>
        </r>
        <r>
          <rPr>
            <sz val="9"/>
            <color indexed="81"/>
            <rFont val="Tahoma"/>
            <family val="2"/>
          </rPr>
          <t xml:space="preserve">
NREL Corn Stover Ethanol Report - Table 21</t>
        </r>
      </text>
    </comment>
    <comment ref="I126" authorId="0" shapeId="0" xr:uid="{00000000-0006-0000-0000-00002B000000}">
      <text>
        <r>
          <rPr>
            <b/>
            <sz val="9"/>
            <color indexed="81"/>
            <rFont val="Tahoma"/>
            <family val="2"/>
          </rPr>
          <t>Jacks074:</t>
        </r>
        <r>
          <rPr>
            <sz val="9"/>
            <color indexed="81"/>
            <rFont val="Tahoma"/>
            <family val="2"/>
          </rPr>
          <t xml:space="preserve">
Main Carbon Source - contributes to 50% of enzyme cost
Table 18</t>
        </r>
      </text>
    </comment>
    <comment ref="D128" authorId="0" shapeId="0" xr:uid="{00000000-0006-0000-0000-000029000000}">
      <text>
        <r>
          <rPr>
            <b/>
            <sz val="9"/>
            <color indexed="81"/>
            <rFont val="Tahoma"/>
            <family val="2"/>
          </rPr>
          <t>Jacks074:</t>
        </r>
        <r>
          <rPr>
            <sz val="9"/>
            <color indexed="81"/>
            <rFont val="Tahoma"/>
            <family val="2"/>
          </rPr>
          <t xml:space="preserve">
Only ~50% of the available corn stover is harvested in order to prevent wind erosion/land degradation</t>
        </r>
      </text>
    </comment>
    <comment ref="E128" authorId="0" shapeId="0" xr:uid="{00000000-0006-0000-0000-00002A000000}">
      <text>
        <r>
          <rPr>
            <b/>
            <sz val="9"/>
            <color indexed="81"/>
            <rFont val="Tahoma"/>
            <family val="2"/>
          </rPr>
          <t>Jacks074:</t>
        </r>
        <r>
          <rPr>
            <sz val="9"/>
            <color indexed="81"/>
            <rFont val="Tahoma"/>
            <family val="2"/>
          </rPr>
          <t xml:space="preserve">
CITATION</t>
        </r>
      </text>
    </comment>
    <comment ref="I128" authorId="0" shapeId="0" xr:uid="{00000000-0006-0000-0000-00002C000000}">
      <text>
        <r>
          <rPr>
            <b/>
            <sz val="9"/>
            <color indexed="81"/>
            <rFont val="Tahoma"/>
            <family val="2"/>
          </rPr>
          <t>Jacks074:</t>
        </r>
        <r>
          <rPr>
            <sz val="9"/>
            <color indexed="81"/>
            <rFont val="Tahoma"/>
            <family val="2"/>
          </rPr>
          <t xml:space="preserve">
Nutrients listed from NREL Corn Stover Paper - Cited below - Table 20</t>
        </r>
      </text>
    </comment>
    <comment ref="D131" authorId="0" shapeId="0" xr:uid="{00000000-0006-0000-0000-00002D000000}">
      <text>
        <r>
          <rPr>
            <b/>
            <sz val="9"/>
            <color indexed="81"/>
            <rFont val="Tahoma"/>
            <family val="2"/>
          </rPr>
          <t>Jacks074:</t>
        </r>
        <r>
          <rPr>
            <sz val="9"/>
            <color indexed="81"/>
            <rFont val="Tahoma"/>
            <family val="2"/>
          </rPr>
          <t xml:space="preserve">
17.4 MJ/kg Stover
file:///C:/Users/Jacks074/Downloads/energies-08-04827.pdf</t>
        </r>
      </text>
    </comment>
    <comment ref="I136" authorId="0" shapeId="0" xr:uid="{00000000-0006-0000-0000-00002E000000}">
      <text>
        <r>
          <rPr>
            <b/>
            <sz val="9"/>
            <color indexed="81"/>
            <rFont val="Tahoma"/>
            <family val="2"/>
          </rPr>
          <t>Jacks074:</t>
        </r>
        <r>
          <rPr>
            <sz val="9"/>
            <color indexed="81"/>
            <rFont val="Tahoma"/>
            <family val="2"/>
          </rPr>
          <t xml:space="preserve">
Table 18
</t>
        </r>
      </text>
    </comment>
    <comment ref="I137" authorId="0" shapeId="0" xr:uid="{00000000-0006-0000-0000-00002F000000}">
      <text>
        <r>
          <rPr>
            <b/>
            <sz val="9"/>
            <color indexed="81"/>
            <rFont val="Tahoma"/>
            <family val="2"/>
          </rPr>
          <t>Jacks074:</t>
        </r>
        <r>
          <rPr>
            <sz val="9"/>
            <color indexed="81"/>
            <rFont val="Tahoma"/>
            <family val="2"/>
          </rPr>
          <t xml:space="preserve">
https://www.sigmaaldrich.com/catalog/product/sigma/sae0020?lang=en&amp;region=US</t>
        </r>
      </text>
    </comment>
    <comment ref="D148" authorId="0" shapeId="0" xr:uid="{00000000-0006-0000-0000-000030000000}">
      <text>
        <r>
          <rPr>
            <b/>
            <sz val="9"/>
            <color indexed="81"/>
            <rFont val="Tahoma"/>
            <family val="2"/>
          </rPr>
          <t>Jacks074:</t>
        </r>
        <r>
          <rPr>
            <sz val="9"/>
            <color indexed="81"/>
            <rFont val="Tahoma"/>
            <family val="2"/>
          </rPr>
          <t xml:space="preserve">
Expand</t>
        </r>
      </text>
    </comment>
    <comment ref="H148" authorId="0" shapeId="0" xr:uid="{EC0D897E-9439-484B-B4D4-F806DFDAFEF7}">
      <text>
        <r>
          <rPr>
            <b/>
            <sz val="9"/>
            <color indexed="81"/>
            <rFont val="Tahoma"/>
            <family val="2"/>
          </rPr>
          <t>Jacks074:</t>
        </r>
        <r>
          <rPr>
            <sz val="9"/>
            <color indexed="81"/>
            <rFont val="Tahoma"/>
            <family val="2"/>
          </rPr>
          <t xml:space="preserve">
10% innoculum batch (seed train, I believe) - and then 0.25% by weight of CSL - Table 13</t>
        </r>
      </text>
    </comment>
    <comment ref="H150" authorId="0" shapeId="0" xr:uid="{00000000-0006-0000-0000-000031000000}">
      <text>
        <r>
          <rPr>
            <b/>
            <sz val="9"/>
            <color indexed="81"/>
            <rFont val="Tahoma"/>
            <family val="2"/>
          </rPr>
          <t>Jacks074:</t>
        </r>
        <r>
          <rPr>
            <sz val="9"/>
            <color indexed="81"/>
            <rFont val="Tahoma"/>
            <family val="2"/>
          </rPr>
          <t xml:space="preserve">
Placeholder, until I can get the energy to move fixed</t>
        </r>
      </text>
    </comment>
    <comment ref="J154" authorId="0" shapeId="0" xr:uid="{00000000-0006-0000-0000-000032000000}">
      <text>
        <r>
          <rPr>
            <b/>
            <sz val="9"/>
            <color indexed="81"/>
            <rFont val="Tahoma"/>
            <family val="2"/>
          </rPr>
          <t>Jacks074:</t>
        </r>
        <r>
          <rPr>
            <sz val="9"/>
            <color indexed="81"/>
            <rFont val="Tahoma"/>
            <family val="2"/>
          </rPr>
          <t xml:space="preserve">
Table 15</t>
        </r>
      </text>
    </comment>
    <comment ref="J155" authorId="0" shapeId="0" xr:uid="{00000000-0006-0000-0000-000033000000}">
      <text>
        <r>
          <rPr>
            <b/>
            <sz val="9"/>
            <color indexed="81"/>
            <rFont val="Tahoma"/>
            <family val="2"/>
          </rPr>
          <t>Jacks074:</t>
        </r>
        <r>
          <rPr>
            <sz val="9"/>
            <color indexed="81"/>
            <rFont val="Tahoma"/>
            <family val="2"/>
          </rPr>
          <t xml:space="preserve">
Corn stover ethanol yield as affected by grain yield, Bt trait, and environment</t>
        </r>
      </text>
    </comment>
    <comment ref="I162" authorId="0" shapeId="0" xr:uid="{00000000-0006-0000-0000-000034000000}">
      <text>
        <r>
          <rPr>
            <b/>
            <sz val="9"/>
            <color indexed="81"/>
            <rFont val="Tahoma"/>
            <family val="2"/>
          </rPr>
          <t>Jacks074:</t>
        </r>
        <r>
          <rPr>
            <sz val="9"/>
            <color indexed="81"/>
            <rFont val="Tahoma"/>
            <family val="2"/>
          </rPr>
          <t xml:space="preserve">
Again, currently in &lt;20 Proof Beer form - So next output is better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O14" authorId="0" shapeId="0" xr:uid="{00000000-0006-0000-0300-000001000000}">
      <text>
        <r>
          <rPr>
            <b/>
            <sz val="9"/>
            <color indexed="81"/>
            <rFont val="Tahoma"/>
            <family val="2"/>
          </rPr>
          <t>Jacks074:</t>
        </r>
        <r>
          <rPr>
            <sz val="9"/>
            <color indexed="81"/>
            <rFont val="Tahoma"/>
            <family val="2"/>
          </rPr>
          <t xml:space="preserve">
144 kg/m3
</t>
        </r>
      </text>
    </comment>
    <comment ref="O16" authorId="0" shapeId="0" xr:uid="{00000000-0006-0000-0300-000002000000}">
      <text>
        <r>
          <rPr>
            <b/>
            <sz val="9"/>
            <color indexed="81"/>
            <rFont val="Tahoma"/>
            <family val="2"/>
          </rPr>
          <t>Jacks074:</t>
        </r>
        <r>
          <rPr>
            <sz val="9"/>
            <color indexed="81"/>
            <rFont val="Tahoma"/>
            <family val="2"/>
          </rPr>
          <t xml:space="preserve">
I think about 1,200 pounds… this is, however, for hay (I think) Might need to do some density Lookup</t>
        </r>
      </text>
    </comment>
    <comment ref="G23" authorId="0" shapeId="0" xr:uid="{94FCD6D3-58C2-4432-BE1D-4C5DA031EC9D}">
      <text>
        <r>
          <rPr>
            <b/>
            <sz val="9"/>
            <color indexed="81"/>
            <rFont val="Tahoma"/>
            <family val="2"/>
          </rPr>
          <t>Jacks074:</t>
        </r>
        <r>
          <rPr>
            <sz val="9"/>
            <color indexed="81"/>
            <rFont val="Tahoma"/>
            <family val="2"/>
          </rPr>
          <t xml:space="preserve">
1.90769 - According to EcoInvent
Obnamia has 2.66…?</t>
        </r>
      </text>
    </comment>
    <comment ref="G24" authorId="0" shapeId="0" xr:uid="{183FE0ED-BCB7-4714-AE57-F2536F65F3CC}">
      <text>
        <r>
          <rPr>
            <b/>
            <sz val="9"/>
            <color indexed="81"/>
            <rFont val="Tahoma"/>
            <family val="2"/>
          </rPr>
          <t>Jacks074:</t>
        </r>
        <r>
          <rPr>
            <sz val="9"/>
            <color indexed="81"/>
            <rFont val="Tahoma"/>
            <family val="2"/>
          </rPr>
          <t xml:space="preserve">
Obnamia has 0.85 (?)</t>
        </r>
      </text>
    </comment>
    <comment ref="G30" authorId="0" shapeId="0" xr:uid="{1B04DC7E-CCA3-49A7-99D5-E7E8A4FC4D9B}">
      <text>
        <r>
          <rPr>
            <b/>
            <sz val="9"/>
            <color indexed="81"/>
            <rFont val="Tahoma"/>
            <family val="2"/>
          </rPr>
          <t>Jacks074:</t>
        </r>
        <r>
          <rPr>
            <sz val="9"/>
            <color indexed="81"/>
            <rFont val="Tahoma"/>
            <family val="2"/>
          </rPr>
          <t xml:space="preserve">
Attributed to gas denaturant</t>
        </r>
      </text>
    </comment>
    <comment ref="B41" authorId="0" shapeId="0" xr:uid="{DAEE3232-8790-43C9-A15F-C4D1DEDA3CC5}">
      <text>
        <r>
          <rPr>
            <b/>
            <sz val="9"/>
            <color indexed="81"/>
            <rFont val="Tahoma"/>
            <family val="2"/>
          </rPr>
          <t>Jacks074:</t>
        </r>
        <r>
          <rPr>
            <sz val="9"/>
            <color indexed="81"/>
            <rFont val="Tahoma"/>
            <family val="2"/>
          </rPr>
          <t xml:space="preserve">
https://www.thegazette.com/2012/07/28/some-iowa-farmers-turning-to-irrigation-to-help-crops#:~:text=Because%20of%20the%20state's%20usually,well%20below%20any%20neighboring%20state.
https://www.thegazette.com/2012/07/28/some-iowa-farmers-turning-to-irrigation-to-help-crops#:~:text=Because%20of%20the%20state's%20usually,well%20below%20any%20neighboring%20state.</t>
        </r>
      </text>
    </comment>
    <comment ref="N58" authorId="0" shapeId="0" xr:uid="{AD100EBA-0FC9-47C0-99DD-7D04B1031570}">
      <text>
        <r>
          <rPr>
            <b/>
            <sz val="9"/>
            <color indexed="81"/>
            <rFont val="Tahoma"/>
            <family val="2"/>
          </rPr>
          <t>Jacks074:</t>
        </r>
        <r>
          <rPr>
            <sz val="9"/>
            <color indexed="81"/>
            <rFont val="Tahoma"/>
            <family val="2"/>
          </rPr>
          <t xml:space="preserve">
gCO2eq/MJ EtOH - This is well aligned with both the results of the GHGenius Stover Growth model (13.0) as well as the GREET 2013 (15.7) results.  It seems the energy allocation is close (still need to calculate based on mass allocation) to the system expansion results.</t>
        </r>
      </text>
    </comment>
    <comment ref="B60" authorId="0" shapeId="0" xr:uid="{E017A9B3-6BCA-4A6F-8400-56B36B433B9A}">
      <text>
        <r>
          <rPr>
            <b/>
            <sz val="9"/>
            <color indexed="81"/>
            <rFont val="Tahoma"/>
            <family val="2"/>
          </rPr>
          <t>Jacks074:</t>
        </r>
        <r>
          <rPr>
            <sz val="9"/>
            <color indexed="81"/>
            <rFont val="Tahoma"/>
            <family val="2"/>
          </rPr>
          <t xml:space="preserve">
Might not actually be zero - on next pass-through check what NREL does here</t>
        </r>
      </text>
    </comment>
    <comment ref="N61" authorId="0" shapeId="0" xr:uid="{247A23E8-5504-432D-B5B2-1EBFC5EEBD3B}">
      <text>
        <r>
          <rPr>
            <b/>
            <sz val="9"/>
            <color indexed="81"/>
            <rFont val="Tahoma"/>
            <family val="2"/>
          </rPr>
          <t>Jacks074:</t>
        </r>
        <r>
          <rPr>
            <sz val="9"/>
            <color indexed="81"/>
            <rFont val="Tahoma"/>
            <family val="2"/>
          </rPr>
          <t xml:space="preserve">
Did not use Impact (GWP) Data</t>
        </r>
      </text>
    </comment>
    <comment ref="G99" authorId="0" shapeId="0" xr:uid="{4723FF0E-42EB-4B9B-A3DA-DE509BDF632A}">
      <text>
        <r>
          <rPr>
            <b/>
            <sz val="9"/>
            <color indexed="81"/>
            <rFont val="Tahoma"/>
            <family val="2"/>
          </rPr>
          <t>Jacks074:</t>
        </r>
        <r>
          <rPr>
            <sz val="9"/>
            <color indexed="81"/>
            <rFont val="Tahoma"/>
            <family val="2"/>
          </rPr>
          <t xml:space="preserve">
attenuate all categories based on electricity export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D6" authorId="0" shapeId="0" xr:uid="{C5076327-A1AE-4C80-8DA4-A7BCA61B71AB}">
      <text>
        <r>
          <rPr>
            <b/>
            <sz val="9"/>
            <color indexed="81"/>
            <rFont val="Tahoma"/>
            <family val="2"/>
          </rPr>
          <t>Jacks074:</t>
        </r>
        <r>
          <rPr>
            <sz val="9"/>
            <color indexed="81"/>
            <rFont val="Tahoma"/>
            <family val="2"/>
          </rPr>
          <t xml:space="preserve">
Clark Model</t>
        </r>
      </text>
    </comment>
    <comment ref="E6" authorId="0" shapeId="0" xr:uid="{C2AB3307-A2CA-491D-AE22-4EF5D871B9D1}">
      <text>
        <r>
          <rPr>
            <b/>
            <sz val="9"/>
            <color indexed="81"/>
            <rFont val="Tahoma"/>
            <family val="2"/>
          </rPr>
          <t>Jacks074:</t>
        </r>
        <r>
          <rPr>
            <sz val="9"/>
            <color indexed="81"/>
            <rFont val="Tahoma"/>
            <family val="2"/>
          </rPr>
          <t xml:space="preserve">
Clark Model
</t>
        </r>
      </text>
    </comment>
    <comment ref="F6" authorId="0" shapeId="0" xr:uid="{D03B6C8D-DB81-4798-AF67-4B0995E5DE85}">
      <text>
        <r>
          <rPr>
            <b/>
            <sz val="9"/>
            <color indexed="81"/>
            <rFont val="Tahoma"/>
            <family val="2"/>
          </rPr>
          <t>Jacks074:</t>
        </r>
        <r>
          <rPr>
            <sz val="9"/>
            <color indexed="81"/>
            <rFont val="Tahoma"/>
            <family val="2"/>
          </rPr>
          <t xml:space="preserve">
$376/ton for Potash
(weight converted)
https://www.dtnpf.com/agriculture/web/ag/crops/article/2020/01/08/fertilizer-prices-mostly-lower-start</t>
        </r>
      </text>
    </comment>
    <comment ref="G6" authorId="0" shapeId="0" xr:uid="{10C3472F-D273-4B72-B9C2-55C9550E8497}">
      <text>
        <r>
          <rPr>
            <b/>
            <sz val="9"/>
            <color indexed="81"/>
            <rFont val="Tahoma"/>
            <family val="2"/>
          </rPr>
          <t xml:space="preserve">Jacks074:
</t>
        </r>
        <r>
          <rPr>
            <sz val="9"/>
            <color indexed="81"/>
            <rFont val="Tahoma"/>
            <family val="2"/>
          </rPr>
          <t>$10/ton Aglime from 
https://www.co.polk.wi.us/index.asp?SEC=04C9668C-AE46-431F-9A7F-65D51E92E007&amp;DE=B1FA0061-1930-4324-959E-4F6F769DE0E1</t>
        </r>
      </text>
    </comment>
    <comment ref="I7" authorId="0" shapeId="0" xr:uid="{7BA6EA68-89E3-4BB6-BC63-8F1170B25465}">
      <text>
        <r>
          <rPr>
            <b/>
            <sz val="9"/>
            <color indexed="81"/>
            <rFont val="Tahoma"/>
            <family val="2"/>
          </rPr>
          <t>Jacks074:</t>
        </r>
        <r>
          <rPr>
            <sz val="9"/>
            <color indexed="81"/>
            <rFont val="Tahoma"/>
            <family val="2"/>
          </rPr>
          <t xml:space="preserve">
1.6 is pulled from the Clark model; I averaged the costs for all non-harvest machine costs and similarly averaged his scaling of the acreage input. As we continue to devote time to multiple design iterations/cycles, this will need to expand in resolution</t>
        </r>
      </text>
    </comment>
    <comment ref="H12" authorId="0" shapeId="0" xr:uid="{1660491C-D695-40F4-BFC7-ED8907C489F5}">
      <text>
        <r>
          <rPr>
            <b/>
            <sz val="9"/>
            <color indexed="81"/>
            <rFont val="Tahoma"/>
            <family val="2"/>
          </rPr>
          <t>Jacks074:</t>
        </r>
        <r>
          <rPr>
            <sz val="9"/>
            <color indexed="81"/>
            <rFont val="Tahoma"/>
            <family val="2"/>
          </rPr>
          <t xml:space="preserve">
773000 tons of dry feedstock per year for commercial cell. EtOH facility - Humbird</t>
        </r>
      </text>
    </comment>
    <comment ref="H13" authorId="0" shapeId="0" xr:uid="{887372D5-C354-4644-B463-307443B45BB9}">
      <text>
        <r>
          <rPr>
            <b/>
            <sz val="9"/>
            <color indexed="81"/>
            <rFont val="Tahoma"/>
            <family val="2"/>
          </rPr>
          <t>Jacks074:</t>
        </r>
        <r>
          <rPr>
            <sz val="9"/>
            <color indexed="81"/>
            <rFont val="Tahoma"/>
            <family val="2"/>
          </rPr>
          <t xml:space="preserve">
Average useable corn stover produced from one hectare of land</t>
        </r>
      </text>
    </comment>
    <comment ref="B16" authorId="0" shapeId="0" xr:uid="{36BAC212-7BE5-4AE4-996F-5A56B4AB4F69}">
      <text>
        <r>
          <rPr>
            <b/>
            <sz val="9"/>
            <color indexed="81"/>
            <rFont val="Tahoma"/>
            <family val="2"/>
          </rPr>
          <t>Jacks074:</t>
        </r>
        <r>
          <rPr>
            <sz val="9"/>
            <color indexed="81"/>
            <rFont val="Tahoma"/>
            <family val="2"/>
          </rPr>
          <t xml:space="preserve">
From NREL's Humbird</t>
        </r>
      </text>
    </comment>
    <comment ref="C16" authorId="0" shapeId="0" xr:uid="{B30318E3-E89A-4007-BB2E-AD6CD1300C5E}">
      <text>
        <r>
          <rPr>
            <b/>
            <sz val="9"/>
            <color indexed="81"/>
            <rFont val="Tahoma"/>
            <family val="2"/>
          </rPr>
          <t>Jacks074:</t>
        </r>
        <r>
          <rPr>
            <sz val="9"/>
            <color indexed="81"/>
            <rFont val="Tahoma"/>
            <family val="2"/>
          </rPr>
          <t xml:space="preserve">
Online Sources claim closer to like $50 per acre… so could be something to look into
https://www.extension.iastate.edu/agdm/crops/pdf/a1-70.pdf
</t>
        </r>
      </text>
    </comment>
    <comment ref="F16" authorId="0" shapeId="0" xr:uid="{261AB303-EC9A-4567-8EF7-FC28B6D2674F}">
      <text>
        <r>
          <rPr>
            <b/>
            <sz val="9"/>
            <color indexed="81"/>
            <rFont val="Tahoma"/>
            <family val="2"/>
          </rPr>
          <t>Jacks074:</t>
        </r>
        <r>
          <rPr>
            <sz val="9"/>
            <color indexed="81"/>
            <rFont val="Tahoma"/>
            <family val="2"/>
          </rPr>
          <t xml:space="preserve">
This is the nearest thing to an output which the Ag end of the TEA model possesses.  It would be better to find good data on all of the steps which are required for growth and preprocessing (so that we may validate against Humbird's value for feedstock cost)</t>
        </r>
      </text>
    </comment>
    <comment ref="B17" authorId="0" shapeId="0" xr:uid="{FA20F3B8-48C2-4A85-967E-FC15A93A5C6D}">
      <text>
        <r>
          <rPr>
            <b/>
            <sz val="9"/>
            <color indexed="81"/>
            <rFont val="Tahoma"/>
            <family val="2"/>
          </rPr>
          <t>Jacks074:</t>
        </r>
        <r>
          <rPr>
            <sz val="9"/>
            <color indexed="81"/>
            <rFont val="Tahoma"/>
            <family val="2"/>
          </rPr>
          <t xml:space="preserve">
kg Stover from 351 Acres</t>
        </r>
      </text>
    </comment>
    <comment ref="D17" authorId="0" shapeId="0" xr:uid="{7AEF4381-CED2-4173-A883-D7237570386D}">
      <text>
        <r>
          <rPr>
            <b/>
            <sz val="9"/>
            <color indexed="81"/>
            <rFont val="Tahoma"/>
            <family val="2"/>
          </rPr>
          <t>Jacks074:</t>
        </r>
        <r>
          <rPr>
            <sz val="9"/>
            <color indexed="81"/>
            <rFont val="Tahoma"/>
            <family val="2"/>
          </rPr>
          <t xml:space="preserve">
1500 lb bales</t>
        </r>
      </text>
    </comment>
    <comment ref="E17" authorId="0" shapeId="0" xr:uid="{86D63CB8-F595-4DA9-AA27-C25DA63721A7}">
      <text>
        <r>
          <rPr>
            <b/>
            <sz val="9"/>
            <color indexed="81"/>
            <rFont val="Tahoma"/>
            <family val="2"/>
          </rPr>
          <t>Jacks074:</t>
        </r>
        <r>
          <rPr>
            <sz val="9"/>
            <color indexed="81"/>
            <rFont val="Tahoma"/>
            <family val="2"/>
          </rPr>
          <t xml:space="preserve">
208 kWh/ha for all of Block 200 Electricity</t>
        </r>
      </text>
    </comment>
    <comment ref="C24" authorId="0" shapeId="0" xr:uid="{5EC78097-3B6E-4F2A-9474-9442FC7F7E9B}">
      <text>
        <r>
          <rPr>
            <b/>
            <sz val="9"/>
            <color indexed="81"/>
            <rFont val="Tahoma"/>
            <family val="2"/>
          </rPr>
          <t>Jacks074:</t>
        </r>
        <r>
          <rPr>
            <sz val="9"/>
            <color indexed="81"/>
            <rFont val="Tahoma"/>
            <family val="2"/>
          </rPr>
          <t xml:space="preserve">
also Energy, anything which scales with production rate
(!) not necessarily linear scale</t>
        </r>
      </text>
    </comment>
    <comment ref="A26" authorId="0" shapeId="0" xr:uid="{F3A99558-30FA-40A0-817A-761107569DF7}">
      <text>
        <r>
          <rPr>
            <b/>
            <sz val="9"/>
            <color indexed="81"/>
            <rFont val="Tahoma"/>
            <family val="2"/>
          </rPr>
          <t>Jacks074:</t>
        </r>
        <r>
          <rPr>
            <sz val="9"/>
            <color indexed="81"/>
            <rFont val="Tahoma"/>
            <family val="2"/>
          </rPr>
          <t xml:space="preserve">
NREL has;
Sorbitol (0.69 c/gal)
CSL x2 (0.13 c/gal)
Cooling Tower Chem (0.10 c/gal ethanol)
Ash Disposal (2.5 c/gal)</t>
        </r>
      </text>
    </comment>
    <comment ref="B26" authorId="0" shapeId="0" xr:uid="{8BBE69C6-BEEC-465D-ADBC-04C26E8A28A2}">
      <text>
        <r>
          <rPr>
            <b/>
            <sz val="9"/>
            <color indexed="81"/>
            <rFont val="Tahoma"/>
            <family val="2"/>
          </rPr>
          <t>Jacks074:</t>
        </r>
        <r>
          <rPr>
            <sz val="9"/>
            <color indexed="81"/>
            <rFont val="Tahoma"/>
            <family val="2"/>
          </rPr>
          <t xml:space="preserve">
verify these align with the size of the BPP (on a per ha basis - check)</t>
        </r>
      </text>
    </comment>
    <comment ref="G27" authorId="0" shapeId="0" xr:uid="{D5CA6BBF-0DC8-4311-B3F8-19DD260CB664}">
      <text>
        <r>
          <rPr>
            <b/>
            <sz val="9"/>
            <color indexed="81"/>
            <rFont val="Tahoma"/>
            <family val="2"/>
          </rPr>
          <t>Jacks074:</t>
        </r>
        <r>
          <rPr>
            <sz val="9"/>
            <color indexed="81"/>
            <rFont val="Tahoma"/>
            <family val="2"/>
          </rPr>
          <t xml:space="preserve">
Sum of two water categories is about 4x compared to NREL's "Replacement Water" - Confirm that this is a comparable category</t>
        </r>
      </text>
    </comment>
    <comment ref="B33" authorId="0" shapeId="0" xr:uid="{475DA1F9-865B-40C6-9155-B376E22488BB}">
      <text>
        <r>
          <rPr>
            <b/>
            <sz val="9"/>
            <color indexed="81"/>
            <rFont val="Tahoma"/>
            <family val="2"/>
          </rPr>
          <t>Jacks074:</t>
        </r>
        <r>
          <rPr>
            <sz val="9"/>
            <color indexed="81"/>
            <rFont val="Tahoma"/>
            <family val="2"/>
          </rPr>
          <t xml:space="preserve">
NREL's Humbird expects the Enzymatic Production Step to take 1/10 the NH3 from DAH</t>
        </r>
      </text>
    </comment>
    <comment ref="B35" authorId="0" shapeId="0" xr:uid="{61A5878A-0451-4395-89B2-4D9B2FBEAD3D}">
      <text>
        <r>
          <rPr>
            <b/>
            <sz val="9"/>
            <color indexed="81"/>
            <rFont val="Tahoma"/>
            <family val="2"/>
          </rPr>
          <t>Jacks074:</t>
        </r>
        <r>
          <rPr>
            <sz val="9"/>
            <color indexed="81"/>
            <rFont val="Tahoma"/>
            <family val="2"/>
          </rPr>
          <t xml:space="preserve">
Values in Red are Obnamia quantities (backed out from impact data) that have </t>
        </r>
        <r>
          <rPr>
            <i/>
            <sz val="9"/>
            <color indexed="81"/>
            <rFont val="Tahoma"/>
            <family val="2"/>
          </rPr>
          <t>replaced</t>
        </r>
        <r>
          <rPr>
            <sz val="9"/>
            <color indexed="81"/>
            <rFont val="Tahoma"/>
            <family val="2"/>
          </rPr>
          <t xml:space="preserve"> values I previously found (likely erroneously) from Humbird.  It is important to note that the cost per unit and total cost gives the amount of the unit used, and it seems to consistently be well aligned with Obnamia, and not my attempt. (hence their use here)</t>
        </r>
      </text>
    </comment>
    <comment ref="B43" authorId="0" shapeId="0" xr:uid="{521170D1-3C4C-436E-8684-631BF500EAA7}">
      <text>
        <r>
          <rPr>
            <b/>
            <sz val="9"/>
            <color indexed="81"/>
            <rFont val="Tahoma"/>
            <family val="2"/>
          </rPr>
          <t>Jacks074:</t>
        </r>
        <r>
          <rPr>
            <sz val="9"/>
            <color indexed="81"/>
            <rFont val="Tahoma"/>
            <family val="2"/>
          </rPr>
          <t xml:space="preserve">
Quantities in Blue are Obnamia (backed out) quantities that I did not come up with a value for yet (i.e. could not find in Humbird)</t>
        </r>
      </text>
    </comment>
    <comment ref="C43" authorId="0" shapeId="0" xr:uid="{525F0665-08F5-4BAF-9361-87561C56B049}">
      <text>
        <r>
          <rPr>
            <b/>
            <sz val="9"/>
            <color indexed="81"/>
            <rFont val="Tahoma"/>
            <family val="2"/>
          </rPr>
          <t>Jacks074:</t>
        </r>
        <r>
          <rPr>
            <sz val="9"/>
            <color indexed="81"/>
            <rFont val="Tahoma"/>
            <family val="2"/>
          </rPr>
          <t xml:space="preserve">
$/gal
From NREL's Humbird Report</t>
        </r>
      </text>
    </comment>
    <comment ref="F49" authorId="0" shapeId="0" xr:uid="{14FD2541-5C96-48E3-91AA-51432BED6653}">
      <text>
        <r>
          <rPr>
            <b/>
            <sz val="9"/>
            <color indexed="81"/>
            <rFont val="Tahoma"/>
            <family val="2"/>
          </rPr>
          <t>Jacks074:</t>
        </r>
        <r>
          <rPr>
            <sz val="9"/>
            <color indexed="81"/>
            <rFont val="Tahoma"/>
            <family val="2"/>
          </rPr>
          <t xml:space="preserve">
NREL claims another .6 cent per gallon EtOH credit for feedstock handling which I have not yet worked out.  A few more categories are not shown as well</t>
        </r>
      </text>
    </comment>
    <comment ref="E53" authorId="0" shapeId="0" xr:uid="{DC493AAF-4645-4486-A3B3-7188A324BE5D}">
      <text>
        <r>
          <rPr>
            <b/>
            <sz val="9"/>
            <color indexed="81"/>
            <rFont val="Tahoma"/>
            <family val="2"/>
          </rPr>
          <t>Jacks074:</t>
        </r>
        <r>
          <rPr>
            <sz val="9"/>
            <color indexed="81"/>
            <rFont val="Tahoma"/>
            <family val="2"/>
          </rPr>
          <t xml:space="preserve">
Assumes 90% Labor Burden</t>
        </r>
      </text>
    </comment>
    <comment ref="I67" authorId="0" shapeId="0" xr:uid="{28454C89-05D3-4E18-8F68-09187B22F811}">
      <text>
        <r>
          <rPr>
            <b/>
            <sz val="9"/>
            <color indexed="81"/>
            <rFont val="Tahoma"/>
            <family val="2"/>
          </rPr>
          <t>Jacks074:</t>
        </r>
        <r>
          <rPr>
            <sz val="9"/>
            <color indexed="81"/>
            <rFont val="Tahoma"/>
            <family val="2"/>
          </rPr>
          <t xml:space="preserve">
NREL Excudes block 100 expenses from FCI Analysis - seems to integrate cost into feedstock selling price</t>
        </r>
      </text>
    </comment>
    <comment ref="F72" authorId="0" shapeId="0" xr:uid="{C39381BA-9D93-4BD4-8590-2B7713DC92FA}">
      <text>
        <r>
          <rPr>
            <b/>
            <sz val="9"/>
            <color indexed="81"/>
            <rFont val="Tahoma"/>
            <family val="2"/>
          </rPr>
          <t>Jacks074:</t>
        </r>
        <r>
          <rPr>
            <sz val="9"/>
            <color indexed="81"/>
            <rFont val="Tahoma"/>
            <family val="2"/>
          </rPr>
          <t xml:space="preserve">
NREL:
10% Prorateable
10% Field Expenses
20% Home Office/Construction Fees
10% Project Contingency
10% Other Costs (Start Up)</t>
        </r>
      </text>
    </comment>
    <comment ref="C89" authorId="0" shapeId="0" xr:uid="{745005ED-0391-4FE8-9EE7-BBEA25F1AC96}">
      <text>
        <r>
          <rPr>
            <b/>
            <sz val="9"/>
            <color indexed="81"/>
            <rFont val="Tahoma"/>
            <family val="2"/>
          </rPr>
          <t>Jacks074:</t>
        </r>
        <r>
          <rPr>
            <sz val="9"/>
            <color indexed="81"/>
            <rFont val="Tahoma"/>
            <family val="2"/>
          </rPr>
          <t xml:space="preserve">
Correspond to a feedstock input flowrate of 773,000 tons of dried stover per year (NREL page 12)</t>
        </r>
      </text>
    </comment>
    <comment ref="F92" authorId="0" shapeId="0" xr:uid="{20050FBC-16E8-470C-A10E-82753D702ECB}">
      <text>
        <r>
          <rPr>
            <b/>
            <sz val="9"/>
            <color indexed="81"/>
            <rFont val="Tahoma"/>
            <family val="2"/>
          </rPr>
          <t>Jacks074:</t>
        </r>
        <r>
          <rPr>
            <sz val="9"/>
            <color indexed="81"/>
            <rFont val="Tahoma"/>
            <family val="2"/>
          </rPr>
          <t xml:space="preserve">
Scaled previously
</t>
        </r>
      </text>
    </comment>
    <comment ref="F95" authorId="0" shapeId="0" xr:uid="{CDDBDAF0-B136-400C-8BAF-D1878BE72C9A}">
      <text>
        <r>
          <rPr>
            <b/>
            <sz val="9"/>
            <color indexed="81"/>
            <rFont val="Tahoma"/>
            <family val="2"/>
          </rPr>
          <t>Jacks074:</t>
        </r>
        <r>
          <rPr>
            <sz val="9"/>
            <color indexed="81"/>
            <rFont val="Tahoma"/>
            <family val="2"/>
          </rPr>
          <t xml:space="preserve">
NREL does not scale the land at all when cell d1 is changed</t>
        </r>
      </text>
    </comment>
    <comment ref="B130" authorId="0" shapeId="0" xr:uid="{EF55BA26-2720-4892-B020-2E0FFEAB9E3B}">
      <text>
        <r>
          <rPr>
            <b/>
            <sz val="9"/>
            <color indexed="81"/>
            <rFont val="Tahoma"/>
            <family val="2"/>
          </rPr>
          <t>Jacks074:</t>
        </r>
        <r>
          <rPr>
            <sz val="9"/>
            <color indexed="81"/>
            <rFont val="Tahoma"/>
            <family val="2"/>
          </rPr>
          <t xml:space="preserve">
Note that, though exported, electricity is not evaluated as a true product as the revenue has been incorporated into the Operational Expenses which correspond to running the plant</t>
        </r>
      </text>
    </comment>
    <comment ref="G137" authorId="0" shapeId="0" xr:uid="{F4313247-3E6A-43D8-84FC-20BA24A71008}">
      <text>
        <r>
          <rPr>
            <b/>
            <sz val="9"/>
            <color indexed="81"/>
            <rFont val="Tahoma"/>
            <family val="2"/>
          </rPr>
          <t>Jacks074:</t>
        </r>
        <r>
          <rPr>
            <sz val="9"/>
            <color indexed="81"/>
            <rFont val="Tahoma"/>
            <family val="2"/>
          </rPr>
          <t xml:space="preserve">
The IRS defines 7-yr Property types for that particular Recovery Period: in short, all property not explicitly defined by the IRS (i.e. a Biofuel Production Facility) falls into the 7-yr recovery period plan</t>
        </r>
      </text>
    </comment>
    <comment ref="F152" authorId="0" shapeId="0" xr:uid="{219CA5C0-37C1-4F6A-A12F-D61DBBEF871A}">
      <text>
        <r>
          <rPr>
            <b/>
            <sz val="9"/>
            <color indexed="81"/>
            <rFont val="Tahoma"/>
            <family val="2"/>
          </rPr>
          <t>Jacks074:</t>
        </r>
        <r>
          <rPr>
            <sz val="9"/>
            <color indexed="81"/>
            <rFont val="Tahoma"/>
            <family val="2"/>
          </rPr>
          <t xml:space="preserve">
Why does this include the payment of interest but not the principle Loan amount?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D4" authorId="0" shapeId="0" xr:uid="{00000000-0006-0000-0600-000001000000}">
      <text>
        <r>
          <rPr>
            <b/>
            <sz val="9"/>
            <color indexed="81"/>
            <rFont val="Tahoma"/>
            <family val="2"/>
          </rPr>
          <t>Jacks074:</t>
        </r>
        <r>
          <rPr>
            <sz val="9"/>
            <color indexed="81"/>
            <rFont val="Tahoma"/>
            <family val="2"/>
          </rPr>
          <t xml:space="preserve">
789 kg/m3 
and 
1000 L/m3</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Jacks074</author>
  </authors>
  <commentList>
    <comment ref="G19" authorId="0" shapeId="0" xr:uid="{00000000-0006-0000-0500-000001000000}">
      <text>
        <r>
          <rPr>
            <b/>
            <sz val="9"/>
            <color indexed="81"/>
            <rFont val="Tahoma"/>
            <family val="2"/>
          </rPr>
          <t>Jacks074:</t>
        </r>
        <r>
          <rPr>
            <sz val="9"/>
            <color indexed="81"/>
            <rFont val="Tahoma"/>
            <family val="2"/>
          </rPr>
          <t xml:space="preserve">
Sum of the Water, Acid, Base, and Corn Stover</t>
        </r>
      </text>
    </comment>
    <comment ref="B22" authorId="0" shapeId="0" xr:uid="{00000000-0006-0000-0500-000002000000}">
      <text>
        <r>
          <rPr>
            <b/>
            <sz val="9"/>
            <color indexed="81"/>
            <rFont val="Tahoma"/>
            <family val="2"/>
          </rPr>
          <t>Jacks074:</t>
        </r>
        <r>
          <rPr>
            <sz val="9"/>
            <color indexed="81"/>
            <rFont val="Tahoma"/>
            <family val="2"/>
          </rPr>
          <t xml:space="preserve">
Preliminary Validation against ES's Guayule model; close (lean end)</t>
        </r>
      </text>
    </comment>
    <comment ref="F22" authorId="0" shapeId="0" xr:uid="{00000000-0006-0000-0500-000003000000}">
      <text>
        <r>
          <rPr>
            <b/>
            <sz val="9"/>
            <color indexed="81"/>
            <rFont val="Tahoma"/>
            <family val="2"/>
          </rPr>
          <t>Jacks074:</t>
        </r>
        <r>
          <rPr>
            <sz val="9"/>
            <color indexed="81"/>
            <rFont val="Tahoma"/>
            <family val="2"/>
          </rPr>
          <t xml:space="preserve">
Unvalidated</t>
        </r>
      </text>
    </comment>
    <comment ref="J22" authorId="0" shapeId="0" xr:uid="{00000000-0006-0000-0500-000004000000}">
      <text>
        <r>
          <rPr>
            <b/>
            <sz val="9"/>
            <color indexed="81"/>
            <rFont val="Tahoma"/>
            <family val="2"/>
          </rPr>
          <t>Jacks074:</t>
        </r>
        <r>
          <rPr>
            <sz val="9"/>
            <color indexed="81"/>
            <rFont val="Tahoma"/>
            <family val="2"/>
          </rPr>
          <t xml:space="preserve">
Way too low; I am not satisfied with my method here, might be worth it to look for an outside source. For now, placeholder value</t>
        </r>
      </text>
    </comment>
    <comment ref="B46" authorId="0" shapeId="0" xr:uid="{00000000-0006-0000-0500-000005000000}">
      <text>
        <r>
          <rPr>
            <b/>
            <sz val="9"/>
            <color indexed="81"/>
            <rFont val="Tahoma"/>
            <family val="2"/>
          </rPr>
          <t>Jacks074:</t>
        </r>
        <r>
          <rPr>
            <sz val="9"/>
            <color indexed="81"/>
            <rFont val="Tahoma"/>
            <family val="2"/>
          </rPr>
          <t xml:space="preserve">
Falls very very close to the value presented in Yang</t>
        </r>
      </text>
    </comment>
  </commentList>
</comments>
</file>

<file path=xl/sharedStrings.xml><?xml version="1.0" encoding="utf-8"?>
<sst xmlns="http://schemas.openxmlformats.org/spreadsheetml/2006/main" count="1579" uniqueCount="1005">
  <si>
    <t>Agriculture Production Process - Block 100</t>
  </si>
  <si>
    <t>Size Reduction Process - Comminution - Block 200</t>
  </si>
  <si>
    <t>Dilute Acid Hydrolysis - Block 300</t>
  </si>
  <si>
    <t>Enzymatic Hydrolysis - Block 400</t>
  </si>
  <si>
    <t>Enzyme Production - Block 500</t>
  </si>
  <si>
    <t>Fermentation - Block 600</t>
  </si>
  <si>
    <t>Bushel/Acre</t>
  </si>
  <si>
    <t>ha</t>
  </si>
  <si>
    <t>kg/ha</t>
  </si>
  <si>
    <t>(Total Yield)</t>
  </si>
  <si>
    <t>(Available for Process)</t>
  </si>
  <si>
    <t>kg Corn Stover</t>
  </si>
  <si>
    <t>Inputs</t>
  </si>
  <si>
    <t>miles</t>
  </si>
  <si>
    <t>Storage and Transportation to Biorefinery - Block 190</t>
  </si>
  <si>
    <t>Lime Use - State Avgs</t>
  </si>
  <si>
    <t>Soil pH Management - Block 140</t>
  </si>
  <si>
    <t xml:space="preserve"> </t>
  </si>
  <si>
    <t>Corn Water Consumpt</t>
  </si>
  <si>
    <t>Arable Land:</t>
  </si>
  <si>
    <t>Corn Yield:</t>
  </si>
  <si>
    <t>Area</t>
  </si>
  <si>
    <t>Hectare to Acre</t>
  </si>
  <si>
    <t>acres</t>
  </si>
  <si>
    <t>Mass</t>
  </si>
  <si>
    <t>Bushel Corn</t>
  </si>
  <si>
    <t>kg</t>
  </si>
  <si>
    <t>Outputs</t>
  </si>
  <si>
    <t>Fertilizers (N,P,K) - Block 130</t>
  </si>
  <si>
    <t>Herbicide - Block 160</t>
  </si>
  <si>
    <t>(Conversions and Yield)</t>
  </si>
  <si>
    <t>Acres</t>
  </si>
  <si>
    <t>Nitrogen Fert:</t>
  </si>
  <si>
    <t>Phosph Fert:</t>
  </si>
  <si>
    <t>Potass. Fert:</t>
  </si>
  <si>
    <t>ft2</t>
  </si>
  <si>
    <t>100 Ft2 to Acre</t>
  </si>
  <si>
    <t>kg Lime/Acre</t>
  </si>
  <si>
    <t>Lime Treat.:</t>
  </si>
  <si>
    <t>lbs to kg</t>
  </si>
  <si>
    <t>lb</t>
  </si>
  <si>
    <t>Estim./Avg Use Lime</t>
  </si>
  <si>
    <t>Seeds/Acre</t>
  </si>
  <si>
    <t>Purdue Avg Est.</t>
  </si>
  <si>
    <t>Land Dedication and Seeding - Block 110</t>
  </si>
  <si>
    <t>Seeds/ha</t>
  </si>
  <si>
    <t>ha Seeded (S) Land</t>
  </si>
  <si>
    <t>ha S, Watered (W) Land</t>
  </si>
  <si>
    <t>ha S, W, Fertilized (F) Land</t>
  </si>
  <si>
    <t>ha S, W, F, Limed (L) Land</t>
  </si>
  <si>
    <t>kg N/ha</t>
  </si>
  <si>
    <t>kg Lime/ha</t>
  </si>
  <si>
    <t>Herbicide:</t>
  </si>
  <si>
    <t>Type of Herbicide</t>
  </si>
  <si>
    <t>Atrazine</t>
  </si>
  <si>
    <t>lbs Atrazine/acre</t>
  </si>
  <si>
    <t>kg Atrazine/acre</t>
  </si>
  <si>
    <t>kg Atrazine/ha</t>
  </si>
  <si>
    <t>ha S, W, F, L, Herbicide Treated (H) Land</t>
  </si>
  <si>
    <t>Labor:</t>
  </si>
  <si>
    <t>hours/ha</t>
  </si>
  <si>
    <t>ha, Fully_Treated Land</t>
  </si>
  <si>
    <t>Treated Land:</t>
  </si>
  <si>
    <t>ha Fully Treated Land</t>
  </si>
  <si>
    <t>kg Corn Stover/ha</t>
  </si>
  <si>
    <t>kg Stover/ha</t>
  </si>
  <si>
    <t>Diesel:</t>
  </si>
  <si>
    <t>hours/acre</t>
  </si>
  <si>
    <t>USDA Corn Breakdown</t>
  </si>
  <si>
    <t>Gallons/acre</t>
  </si>
  <si>
    <t>Gallons/ha</t>
  </si>
  <si>
    <t>Liters/ha</t>
  </si>
  <si>
    <t>Volume</t>
  </si>
  <si>
    <t>Bushels Corn - kg</t>
  </si>
  <si>
    <t>Gallons to L</t>
  </si>
  <si>
    <t>gal</t>
  </si>
  <si>
    <t>Liters</t>
  </si>
  <si>
    <t>Liters Diesel/ha</t>
  </si>
  <si>
    <t>Transport:</t>
  </si>
  <si>
    <t>Biomass:</t>
  </si>
  <si>
    <t>km</t>
  </si>
  <si>
    <t>Length</t>
  </si>
  <si>
    <t>Miles to km</t>
  </si>
  <si>
    <t>mi</t>
  </si>
  <si>
    <t>Trucks:</t>
  </si>
  <si>
    <t>Trucks</t>
  </si>
  <si>
    <t>Truck Capacity, Tonnes</t>
  </si>
  <si>
    <t>Trucks Required</t>
  </si>
  <si>
    <t>NASS Fert Data</t>
  </si>
  <si>
    <t>lb N/Acre</t>
  </si>
  <si>
    <t>lb K2O/Acre</t>
  </si>
  <si>
    <t>lb P2O5/Acre</t>
  </si>
  <si>
    <t>kg P2O5/ha</t>
  </si>
  <si>
    <t>kg K2O/ha</t>
  </si>
  <si>
    <t>Distribution and End-Use - Block 900</t>
  </si>
  <si>
    <t>Corn Stover Biomass:</t>
  </si>
  <si>
    <t>Electricity:</t>
  </si>
  <si>
    <t>kg Stover to BP/ha</t>
  </si>
  <si>
    <t>(Conversion and Yield)</t>
  </si>
  <si>
    <t>kWh/tonne stover</t>
  </si>
  <si>
    <t>Energy</t>
  </si>
  <si>
    <t>kWh</t>
  </si>
  <si>
    <t>MJ</t>
  </si>
  <si>
    <t>kWh to MJ (Elec)</t>
  </si>
  <si>
    <t>MJ/kg stover BM</t>
  </si>
  <si>
    <t>Size Reduction</t>
  </si>
  <si>
    <t>BM Pass-through</t>
  </si>
  <si>
    <t>Size-Red. Biomass:</t>
  </si>
  <si>
    <t>kg SR Stover/ha</t>
  </si>
  <si>
    <t>Water:</t>
  </si>
  <si>
    <t>Acid (H2SO4):</t>
  </si>
  <si>
    <t>Base (NH3):</t>
  </si>
  <si>
    <t>kg H20/ha</t>
  </si>
  <si>
    <t>kg H2SO4/ha</t>
  </si>
  <si>
    <t>kg NH3/ha</t>
  </si>
  <si>
    <t>MJ/ha</t>
  </si>
  <si>
    <t>Ratio Water/Stover</t>
  </si>
  <si>
    <t>Percent Acid by Weight</t>
  </si>
  <si>
    <t>Molar Mass H2SO4 (g/mol)</t>
  </si>
  <si>
    <t>Molar Mass NH3 (g/mol)</t>
  </si>
  <si>
    <t>Base to Neutralize (kg NH3/kg H2SO4)</t>
  </si>
  <si>
    <t>C_p Water (kJ/kg*C)</t>
  </si>
  <si>
    <t>C_p H2SO4 (kJ/kg*C)</t>
  </si>
  <si>
    <t>Final Temp (*C)</t>
  </si>
  <si>
    <t>Avg Temp (*C)</t>
  </si>
  <si>
    <t>Q_Required (MJ)</t>
  </si>
  <si>
    <t>C_p Stover (kJ/kg*C)</t>
  </si>
  <si>
    <t>Heating Energy:</t>
  </si>
  <si>
    <t>Dilute Acid Hydroly.</t>
  </si>
  <si>
    <t>C_p Values NCBI</t>
  </si>
  <si>
    <t>** Initial Corn Stover Chemical Makeup **</t>
  </si>
  <si>
    <t>Cellulose</t>
  </si>
  <si>
    <t>Hemicellulose</t>
  </si>
  <si>
    <t>Lignin</t>
  </si>
  <si>
    <t>Ash (Non-convert.)</t>
  </si>
  <si>
    <t>Extractives</t>
  </si>
  <si>
    <t>Corn Stover Comp</t>
  </si>
  <si>
    <t>** DAH Chemical Makeup After Conversion **</t>
  </si>
  <si>
    <t>Cellulose to Glucose</t>
  </si>
  <si>
    <t>Hemicellulose to Xylose</t>
  </si>
  <si>
    <t>Glucose</t>
  </si>
  <si>
    <t>Xylose</t>
  </si>
  <si>
    <t>kg Comm. Stover/ha</t>
  </si>
  <si>
    <t>Total Mass Conv.</t>
  </si>
  <si>
    <t>Pre-Hydrolysate:</t>
  </si>
  <si>
    <t>kg PreHydrolysate_Slurry/ha</t>
  </si>
  <si>
    <t>kg Stover_PostDAH/ha</t>
  </si>
  <si>
    <t>Stover_PostDAH:</t>
  </si>
  <si>
    <t>Enzyme:</t>
  </si>
  <si>
    <t>kg Cellulase/ha</t>
  </si>
  <si>
    <t>kg H2O/ha</t>
  </si>
  <si>
    <t>Ratio Water/Prehydrolysate</t>
  </si>
  <si>
    <t>Ratio Cellulase/Cellulose</t>
  </si>
  <si>
    <t>NREL Humbird</t>
  </si>
  <si>
    <t>Initial Temp Slurry *C</t>
  </si>
  <si>
    <t>Final Temp Slurry *C</t>
  </si>
  <si>
    <t>Conversion Rates:</t>
  </si>
  <si>
    <t>Glucan to Glucose</t>
  </si>
  <si>
    <t>**Chemical Makeup after Enzymatic Hydrolysis**</t>
  </si>
  <si>
    <t>kg Hydrolysate/ha</t>
  </si>
  <si>
    <t>kg Stover_PostEH/ha</t>
  </si>
  <si>
    <t>Final Protein Titer:</t>
  </si>
  <si>
    <t>g/L</t>
  </si>
  <si>
    <t>Calcium Chloride:</t>
  </si>
  <si>
    <t>Magnesium Sulfate:</t>
  </si>
  <si>
    <t>Potassium Phosphate:</t>
  </si>
  <si>
    <t>Ammonium Sulfate:</t>
  </si>
  <si>
    <t>v/v</t>
  </si>
  <si>
    <t>Corn Oil:</t>
  </si>
  <si>
    <t>w/w</t>
  </si>
  <si>
    <t>Corn Steep Liquor:</t>
  </si>
  <si>
    <t>SO2:</t>
  </si>
  <si>
    <t>Ammonia:</t>
  </si>
  <si>
    <t>kg/kg Cell.</t>
  </si>
  <si>
    <t>Glucose:</t>
  </si>
  <si>
    <t>Ammonia</t>
  </si>
  <si>
    <t>kWh/kg Cell.</t>
  </si>
  <si>
    <t>Cellulase Required:</t>
  </si>
  <si>
    <t>Glucose per ha:</t>
  </si>
  <si>
    <t>kg Glucose/ha</t>
  </si>
  <si>
    <t>Glucose Req'd:</t>
  </si>
  <si>
    <t>Hydrolysate:</t>
  </si>
  <si>
    <t>Treated Biomass:</t>
  </si>
  <si>
    <t>Glucose to Ethanol</t>
  </si>
  <si>
    <t>Xylose to Ethanol</t>
  </si>
  <si>
    <t>Restate Amounts:</t>
  </si>
  <si>
    <t>Glucose Proportion</t>
  </si>
  <si>
    <t>Xylose Propotion</t>
  </si>
  <si>
    <t>Proport. BM to Eth:</t>
  </si>
  <si>
    <t>kg Ethanol/kg BM</t>
  </si>
  <si>
    <t>kg Ethanol/ha</t>
  </si>
  <si>
    <t>Bioprocessing and Conversion - Blocks 200-600</t>
  </si>
  <si>
    <t>kg Corn Beer/ha</t>
  </si>
  <si>
    <t>Corn Beer:</t>
  </si>
  <si>
    <t>Maximum Stoich Conv:</t>
  </si>
  <si>
    <t>Max Gluc to Ethanol</t>
  </si>
  <si>
    <t>Gluc to Ethn Conv.</t>
  </si>
  <si>
    <t>Tumbalam</t>
  </si>
  <si>
    <t>Electricity Power:</t>
  </si>
  <si>
    <t>Heat Power:</t>
  </si>
  <si>
    <t>Yang et al - Sust. Dist</t>
  </si>
  <si>
    <t>L eth Prod/kWh Elec.</t>
  </si>
  <si>
    <t>Distillation and Dehydration - Block 700</t>
  </si>
  <si>
    <t>Hydrous Eth Analys.</t>
  </si>
  <si>
    <t>MJ/L eth Produced</t>
  </si>
  <si>
    <t>MJ Elec/ha</t>
  </si>
  <si>
    <t>MJ Heat/ha</t>
  </si>
  <si>
    <t>kg ethanol</t>
  </si>
  <si>
    <t>Custom</t>
  </si>
  <si>
    <t>L Ethanol</t>
  </si>
  <si>
    <t>kg Ethanol to L</t>
  </si>
  <si>
    <t>kg CO_2/ha</t>
  </si>
  <si>
    <t>kg Water/ha</t>
  </si>
  <si>
    <t>kg Lignin/ha</t>
  </si>
  <si>
    <t>Gal Eth/Ton Stover</t>
  </si>
  <si>
    <t>kg to Ton</t>
  </si>
  <si>
    <t>ton</t>
  </si>
  <si>
    <t>L Anhydrous Eth/ha</t>
  </si>
  <si>
    <t>Gal Anhydr. Eth/ha</t>
  </si>
  <si>
    <t>Or</t>
  </si>
  <si>
    <t>Gal Eth/Bu Corn Grain</t>
  </si>
  <si>
    <t>ton to bushel</t>
  </si>
  <si>
    <t>bushel</t>
  </si>
  <si>
    <t>kg to Bushel</t>
  </si>
  <si>
    <t>Bushel</t>
  </si>
  <si>
    <t>(about 2.8 gal/bu for corn grain)</t>
  </si>
  <si>
    <t>NREL Aden</t>
  </si>
  <si>
    <t>Co-Product:</t>
  </si>
  <si>
    <t>Main Product:</t>
  </si>
  <si>
    <t>kg Anhydrous Ethanol</t>
  </si>
  <si>
    <t>Gallons to acre-feet</t>
  </si>
  <si>
    <t>acre-feet</t>
  </si>
  <si>
    <t>Lime Treatment Use</t>
  </si>
  <si>
    <t>Herbicide (Atrazine) Use</t>
  </si>
  <si>
    <t>Labor for Crop Operations (h)</t>
  </si>
  <si>
    <t>Diesel for Crop Operation (gal)</t>
  </si>
  <si>
    <t>h/ha</t>
  </si>
  <si>
    <t>gal/ha</t>
  </si>
  <si>
    <t>Size Reduction Electricity Req</t>
  </si>
  <si>
    <t>Dilution Water DAHydrolysis</t>
  </si>
  <si>
    <t>Sulfuric Acid for DAH</t>
  </si>
  <si>
    <t>Ammonia (Base) for DAH</t>
  </si>
  <si>
    <t>Heating Energy for DAH</t>
  </si>
  <si>
    <t>Electricity For Enzyme Production</t>
  </si>
  <si>
    <t>Glucose Stream for EP</t>
  </si>
  <si>
    <t>Corn Steep Liquor for EP</t>
  </si>
  <si>
    <t>Ammonia for EP</t>
  </si>
  <si>
    <t>SO2 for Enzyme Production (EP)</t>
  </si>
  <si>
    <t>Corn Oil for EP</t>
  </si>
  <si>
    <t>Ammonium Sulfate for EP</t>
  </si>
  <si>
    <t>Potassium Phosphate for EP</t>
  </si>
  <si>
    <t>Metabolic Conversion:</t>
  </si>
  <si>
    <t>Heating Power Dist/Dehydra.</t>
  </si>
  <si>
    <t>Magnesium Sulfate for EP</t>
  </si>
  <si>
    <t>Value</t>
  </si>
  <si>
    <t>Input</t>
  </si>
  <si>
    <t>Unit</t>
  </si>
  <si>
    <t>Block</t>
  </si>
  <si>
    <t>hp</t>
  </si>
  <si>
    <t>kW</t>
  </si>
  <si>
    <t>Equipment List from Humbird</t>
  </si>
  <si>
    <t>Tranfer Conveyor</t>
  </si>
  <si>
    <t>High Angle Conveyor</t>
  </si>
  <si>
    <t>Reversing Load-in Conveyor</t>
  </si>
  <si>
    <t>Dome Reclaim System</t>
  </si>
  <si>
    <t>Reclaim Conveyor</t>
  </si>
  <si>
    <t>High Angle Transfer Conveyor</t>
  </si>
  <si>
    <t>Elevated Transfer Conveyor</t>
  </si>
  <si>
    <t>Process Feed Conveyor</t>
  </si>
  <si>
    <t>Truck Dumper</t>
  </si>
  <si>
    <t>Truck Dumper Hopper</t>
  </si>
  <si>
    <t>EQUIPMENT NAME</t>
  </si>
  <si>
    <t>POWER - HP</t>
  </si>
  <si>
    <t>NUM REQ'D</t>
  </si>
  <si>
    <t>hp to kW</t>
  </si>
  <si>
    <t>kW Subtotal:</t>
  </si>
  <si>
    <t>Mass Served:</t>
  </si>
  <si>
    <t>Mass Stover/ha:</t>
  </si>
  <si>
    <t>kWh/ha</t>
  </si>
  <si>
    <t>POWER (HP)</t>
  </si>
  <si>
    <t>Comminution Electricity:</t>
  </si>
  <si>
    <t>Block 200 - Size Reduction and Comminution E Req.</t>
  </si>
  <si>
    <t>kWh/kg Biomass moved:</t>
  </si>
  <si>
    <t>kWh/ha Farmland Serviced:</t>
  </si>
  <si>
    <t>MJ per ha load for handling Stover:</t>
  </si>
  <si>
    <t>Block 300 - Dilute Acid Hydrolysis E Req.</t>
  </si>
  <si>
    <t>Agitators and Mixers</t>
  </si>
  <si>
    <t>Plug Screw Feeder</t>
  </si>
  <si>
    <t>Conveyors (Belt)</t>
  </si>
  <si>
    <t>Blowdown Discharge Pump</t>
  </si>
  <si>
    <t>Flash Tank Discharge Pump</t>
  </si>
  <si>
    <t>Olig. Hold Tank Discharge Pump</t>
  </si>
  <si>
    <t>Reacidified Hydrolysate Pump</t>
  </si>
  <si>
    <t>kg/hr</t>
  </si>
  <si>
    <t>kWh/ha:</t>
  </si>
  <si>
    <t>kg hydr/hr</t>
  </si>
  <si>
    <t>Biomass/ha:</t>
  </si>
  <si>
    <t>kg phydr/hr</t>
  </si>
  <si>
    <t>kWh/kg phydr</t>
  </si>
  <si>
    <t>MJ per ha for Materials Handling:</t>
  </si>
  <si>
    <t>Hydrolysate Pump</t>
  </si>
  <si>
    <t>kg BM/hour</t>
  </si>
  <si>
    <t>kWh/kg BM</t>
  </si>
  <si>
    <t>Cooling Energy:</t>
  </si>
  <si>
    <t>Q_Required (MJ/ha)</t>
  </si>
  <si>
    <t>Fermentor Agitator:</t>
  </si>
  <si>
    <t>Seed Hold Tank Agitator:</t>
  </si>
  <si>
    <t>4th Seed Vessel Agitator:</t>
  </si>
  <si>
    <t>5th Seed Vessel Agitator:</t>
  </si>
  <si>
    <t>Beer Surge Tank Agitator:</t>
  </si>
  <si>
    <t>Enzyme-Hydrolysate Mixer:</t>
  </si>
  <si>
    <t>Fermentor Recirc/Trans Pump:</t>
  </si>
  <si>
    <t>Seed Hold Transfer Pump:</t>
  </si>
  <si>
    <t>Seed Transfer Pump:</t>
  </si>
  <si>
    <t>Beer Transfer Pump:</t>
  </si>
  <si>
    <t>Sacc. Transfer Pump:</t>
  </si>
  <si>
    <t>Biomass/ha</t>
  </si>
  <si>
    <t>kWh/kh Hydrolysate Moved:</t>
  </si>
  <si>
    <t>kWh/kg preHydrolysate Moved:</t>
  </si>
  <si>
    <t>kWh/kg hydr</t>
  </si>
  <si>
    <t>Block 700 - Dist/Dehydr E Req.</t>
  </si>
  <si>
    <t>Filtrate Tank Agitator:</t>
  </si>
  <si>
    <t>Lignin Belt Conveyor:</t>
  </si>
  <si>
    <t>Lignin Screw Conveyor:</t>
  </si>
  <si>
    <t>Pressure Filter Pressing Compressor:</t>
  </si>
  <si>
    <t>Pressure Filter Drying Compressor:</t>
  </si>
  <si>
    <t>Beer Column Bottom Recirc Pump:</t>
  </si>
  <si>
    <t>Beer Column Stilage Pump:</t>
  </si>
  <si>
    <t>Rectification Column Reflux Pump:</t>
  </si>
  <si>
    <t>Feed Pump:</t>
  </si>
  <si>
    <t>Manifold Flush Pump:</t>
  </si>
  <si>
    <t>Cloth Wash Pump:</t>
  </si>
  <si>
    <t>Filtrate Discharge Pump:</t>
  </si>
  <si>
    <t>kWh/kg Corn Beer Moved:</t>
  </si>
  <si>
    <t>Beer/ha</t>
  </si>
  <si>
    <t>kWh/kg Beer</t>
  </si>
  <si>
    <t>Cellulase Density:</t>
  </si>
  <si>
    <t>Cellulase Volume:</t>
  </si>
  <si>
    <t>L/ha</t>
  </si>
  <si>
    <t>Matr'l Handling Energy:</t>
  </si>
  <si>
    <t>Summarized Inputs and Outputs - Cellulosic Ethanol (Corn Stover)</t>
  </si>
  <si>
    <t>Major Inputs</t>
  </si>
  <si>
    <t>Major Outputs</t>
  </si>
  <si>
    <t>Land Use:</t>
  </si>
  <si>
    <t>Conversions Table</t>
  </si>
  <si>
    <t>Fuel Out:</t>
  </si>
  <si>
    <t>Gallons to m3</t>
  </si>
  <si>
    <t>m3</t>
  </si>
  <si>
    <t>Name Cells</t>
  </si>
  <si>
    <t>2015 E Balance CE</t>
  </si>
  <si>
    <t>Block 400/600 - EH and Fermentation E Req.</t>
  </si>
  <si>
    <t>Seeds Per ha</t>
  </si>
  <si>
    <t>EH Dilution Water</t>
  </si>
  <si>
    <t>Mat'l Handling Energy:</t>
  </si>
  <si>
    <t>Bioprocessing and Conversion - Block 200-600 - ENERGY INPUTS</t>
  </si>
  <si>
    <t>Agricultural Inputs - Block 100 - ENERGY INPUTS</t>
  </si>
  <si>
    <t>Distillation and Dehydration - Block 700-800 - MASS INPUTS</t>
  </si>
  <si>
    <t>Distillation and Dehydration - Block 700-800 - ENERGY INPUTS</t>
  </si>
  <si>
    <t>Dilution Water:</t>
  </si>
  <si>
    <t>Material Handling Size Reduct</t>
  </si>
  <si>
    <t>Material Handling DAH</t>
  </si>
  <si>
    <t>Heating energy for EH</t>
  </si>
  <si>
    <t>Material Handling for EH</t>
  </si>
  <si>
    <t>Diesel for Crop Operation (MJ)</t>
  </si>
  <si>
    <t>Mass Sum</t>
  </si>
  <si>
    <t>Energy Sum</t>
  </si>
  <si>
    <t>Bioprocessing and Conversion - Block 200-600 - ENERGY OUTPUTS</t>
  </si>
  <si>
    <t>Bioprocessing and Conversion - Block 200-600 - MASS OUTPUTS</t>
  </si>
  <si>
    <t>Water From Distillation</t>
  </si>
  <si>
    <t>kg Lost BM/ha</t>
  </si>
  <si>
    <t>kg Waste Water/ha</t>
  </si>
  <si>
    <t>kg Corn Grain/ha</t>
  </si>
  <si>
    <t>kg seeds/ha</t>
  </si>
  <si>
    <t>kg N Leeched, Runoff, etc/ha</t>
  </si>
  <si>
    <t>kg P Leeched, Runoff, etc/ha</t>
  </si>
  <si>
    <t>kg K Leeched, Runoff, etc/ha</t>
  </si>
  <si>
    <t>Nitrogen Emissions/Leach</t>
  </si>
  <si>
    <t>Phosphorous Emissions/Leach</t>
  </si>
  <si>
    <t>Potassium Emissions/Leach</t>
  </si>
  <si>
    <t>kg returned water</t>
  </si>
  <si>
    <t>Irrigation (returned)</t>
  </si>
  <si>
    <t>kg Unused Stover/ha</t>
  </si>
  <si>
    <t>Corn Grain Produced</t>
  </si>
  <si>
    <t>Lost Biomass on Input</t>
  </si>
  <si>
    <t>Waste Water Post_DAH</t>
  </si>
  <si>
    <t>kg/ha TOTAL</t>
  </si>
  <si>
    <t>CO_2 From Distillation</t>
  </si>
  <si>
    <t>Anhydrous Ethanol</t>
  </si>
  <si>
    <t xml:space="preserve">Sum Mass </t>
  </si>
  <si>
    <t>Total MJ/ha</t>
  </si>
  <si>
    <t>kg Waste Nutrients</t>
  </si>
  <si>
    <t>Calcium Chloride for EP</t>
  </si>
  <si>
    <t>Nutrient Stream Loss EP</t>
  </si>
  <si>
    <t>Bioprocessing Block Sum</t>
  </si>
  <si>
    <t>kg Lime emissions</t>
  </si>
  <si>
    <t>Lime Emissions and Loss</t>
  </si>
  <si>
    <t>Herbicide Emissions and Loss</t>
  </si>
  <si>
    <t>kg herbicide emissions</t>
  </si>
  <si>
    <t>kg Dry Corn Stover/ha</t>
  </si>
  <si>
    <t>Non-Water Stover kg/ha</t>
  </si>
  <si>
    <t>kg Total Wet BM/ha</t>
  </si>
  <si>
    <t>Upgrading Block Sum</t>
  </si>
  <si>
    <t>kg Water Lost from Collected Stover/ha</t>
  </si>
  <si>
    <t>Mass in From Soil:</t>
  </si>
  <si>
    <t>Difference:</t>
  </si>
  <si>
    <t>Agriculture - Block 100 - MASS OUTPUTS</t>
  </si>
  <si>
    <t>Agriculture  - Block 100 - ENERGY OUTPUTS</t>
  </si>
  <si>
    <t>TRACI v2.1 IMPACT CATEGORIES</t>
  </si>
  <si>
    <t>Acidification               (kg SO2 eq)</t>
  </si>
  <si>
    <t>Ecotoxicity         (CTUe)</t>
  </si>
  <si>
    <t>Eutrophication         (kg N eq)</t>
  </si>
  <si>
    <t>Global Warming       (kg CO2 eq)</t>
  </si>
  <si>
    <t>Human Health - Carcinogenics (CTUh)</t>
  </si>
  <si>
    <t>Human Health - Non-Carcinogenics (CTUh)</t>
  </si>
  <si>
    <t>Ozone Depletion       (kg CFC-11 eq)</t>
  </si>
  <si>
    <t>Photochemical Ozone Formation (kg O3 eq)</t>
  </si>
  <si>
    <t>Resource Depletion - Fossil Fuels (MJ Surp)</t>
  </si>
  <si>
    <t>Respiratory Effects    (kg PM2.5 eq)</t>
  </si>
  <si>
    <t>Crop Operations - Block 170</t>
  </si>
  <si>
    <t>Growth and Harvest Yield - Block 180</t>
  </si>
  <si>
    <t>Carbon Dioxide in:</t>
  </si>
  <si>
    <t>Resource or Flow</t>
  </si>
  <si>
    <t>Corn Oil</t>
  </si>
  <si>
    <t>Corn Seeds</t>
  </si>
  <si>
    <t>Water (Irrigation)</t>
  </si>
  <si>
    <t>N Fert</t>
  </si>
  <si>
    <t>P Fert</t>
  </si>
  <si>
    <t>K Fert</t>
  </si>
  <si>
    <t>Lime</t>
  </si>
  <si>
    <t>Water (Dilution)</t>
  </si>
  <si>
    <t>H2SO4</t>
  </si>
  <si>
    <t>NH3</t>
  </si>
  <si>
    <t xml:space="preserve">Glucose </t>
  </si>
  <si>
    <t>SO2</t>
  </si>
  <si>
    <t>CSL</t>
  </si>
  <si>
    <t>Ammonium Sulfate</t>
  </si>
  <si>
    <t>Potassium Phosphate</t>
  </si>
  <si>
    <t>Magnesium Sulfate</t>
  </si>
  <si>
    <t>Calcium Chloride</t>
  </si>
  <si>
    <t>maize seed production, organic, at farm | maize seed, organic, at farm | APOS, U</t>
  </si>
  <si>
    <t>EcoInvent</t>
  </si>
  <si>
    <t>irrigation | irrigation | APOS, U</t>
  </si>
  <si>
    <t>/m3</t>
  </si>
  <si>
    <t>/ha</t>
  </si>
  <si>
    <t>ammonium nitrate phosphate production | phosphate fertiliser, as P2O5 | APOS, U</t>
  </si>
  <si>
    <t>/kg</t>
  </si>
  <si>
    <t>potassium chloride production | potassium chloride, as K2O | APOS, U</t>
  </si>
  <si>
    <t>lime production, hydrated, loose weight | lime, hydrated, loose weight | Cutoff, S</t>
  </si>
  <si>
    <t>atrazine production | atrazine | APOS, U</t>
  </si>
  <si>
    <t>tap water production, underground water with chemical treatment | tap water | Cutoff, S</t>
  </si>
  <si>
    <t>sulfuric acid production | sulfuric acid | APOS, U</t>
  </si>
  <si>
    <t>urea ammonium nitrate production | nitrogen fertiliser, as N | APOS, U</t>
  </si>
  <si>
    <t>glucose production | glucose | APOS, U</t>
  </si>
  <si>
    <t>sulfur dioxide production, liquid | sulfur dioxide, liquid | Cutoff, S</t>
  </si>
  <si>
    <t>soda production, solvay process | calcium chloride | APOS, U</t>
  </si>
  <si>
    <t>magnesium sulfate production | magnesium sulfate | APOS, U</t>
  </si>
  <si>
    <t>Planting/Seeding</t>
  </si>
  <si>
    <t>Tillage</t>
  </si>
  <si>
    <t>Swathing</t>
  </si>
  <si>
    <t>fertilising, by broadcaster | fertilising, by broadcaster | APOS, U</t>
  </si>
  <si>
    <t>planting | planting | APOS, U</t>
  </si>
  <si>
    <t>tillage, rotary cultivator | tillage, rotary cultivator | APOS, U</t>
  </si>
  <si>
    <t>swath, by rotary windrower | swath, by rotary windrower | APOS, U</t>
  </si>
  <si>
    <t>Drying of Stillage</t>
  </si>
  <si>
    <t>drying of maize straw and whole-plant | drying of maize straw and whole-plant | APOS, U</t>
  </si>
  <si>
    <t>/l</t>
  </si>
  <si>
    <t>Fertilizer Application</t>
  </si>
  <si>
    <t>Bale Loading</t>
  </si>
  <si>
    <t>Baling</t>
  </si>
  <si>
    <t>bale loading | bale loading | APOS, U</t>
  </si>
  <si>
    <t>/bale</t>
  </si>
  <si>
    <t>baling | baling | APOS, U</t>
  </si>
  <si>
    <t>diesel, burned in agricultural machinery | diesel, burned in agricultural machinery | APOS, S</t>
  </si>
  <si>
    <t>Additional Diesel Use</t>
  </si>
  <si>
    <t>/MJ</t>
  </si>
  <si>
    <t>Electricity</t>
  </si>
  <si>
    <t>/kWh</t>
  </si>
  <si>
    <t>Steam Heat</t>
  </si>
  <si>
    <t>heat production, natural gas, at boiler atmospheric non-modulating &lt;100kW | heat, central or small-scale, natural gas | Cutoff, S</t>
  </si>
  <si>
    <t>transport, freight, lorry 16-32 metric ton, EURO3 | transport, freight, lorry 16-32 metric ton, EURO3 | Cutoff, S</t>
  </si>
  <si>
    <t>/t*km</t>
  </si>
  <si>
    <t>Transportation</t>
  </si>
  <si>
    <t>Acid</t>
  </si>
  <si>
    <t>Eco</t>
  </si>
  <si>
    <t>Eutroph</t>
  </si>
  <si>
    <t>GWP</t>
  </si>
  <si>
    <t>Carcin</t>
  </si>
  <si>
    <t>Non-Carcin</t>
  </si>
  <si>
    <t>O3 Depl</t>
  </si>
  <si>
    <t>O3 Form</t>
  </si>
  <si>
    <t>Resource Depl</t>
  </si>
  <si>
    <t>PM2.5</t>
  </si>
  <si>
    <t>USLCI</t>
  </si>
  <si>
    <t>Corn Steep Liquor - NREL USLCI Database</t>
  </si>
  <si>
    <t>PM Use</t>
  </si>
  <si>
    <t>SUMS</t>
  </si>
  <si>
    <t>Acidification</t>
  </si>
  <si>
    <t>Ecotoxicity</t>
  </si>
  <si>
    <t>Eutrophication</t>
  </si>
  <si>
    <t>Carcinogenics</t>
  </si>
  <si>
    <t>Non-Carcinogenics</t>
  </si>
  <si>
    <t>O3 Depletion</t>
  </si>
  <si>
    <t>O3 Formation</t>
  </si>
  <si>
    <t>Resource Depletion - Fossil Fuels</t>
  </si>
  <si>
    <t>Respiratory Effects</t>
  </si>
  <si>
    <t>for</t>
  </si>
  <si>
    <t>MJ Ethanol</t>
  </si>
  <si>
    <t>(Water Evaped)</t>
  </si>
  <si>
    <t>ammonium sulfate production | ammonium sulfate | APOS, U</t>
  </si>
  <si>
    <t>ammonia production, steam reforming, liquid | ammonia, liquid | APOS, U</t>
  </si>
  <si>
    <t>Carbon Dioxide Mass Input</t>
  </si>
  <si>
    <t>Water Loss Drying Stover kg/ha</t>
  </si>
  <si>
    <t>kg Dry Corn Grain/ha</t>
  </si>
  <si>
    <t>Non-Water Corn Grain kg/ha</t>
  </si>
  <si>
    <t>Water Loss Drying Corn Grain kg/ha</t>
  </si>
  <si>
    <t>Wet Stover kg/ha</t>
  </si>
  <si>
    <t>Wet Corn Grain kg/ha</t>
  </si>
  <si>
    <t>H2O Loss During Drying kg/ha</t>
  </si>
  <si>
    <t>kg CO2 Input/ha</t>
  </si>
  <si>
    <t>kg Carbon Content/ha</t>
  </si>
  <si>
    <t>O2 Emissions from CO2 In</t>
  </si>
  <si>
    <t>kg O2 Emissions/ha</t>
  </si>
  <si>
    <t>kg O Content/ha</t>
  </si>
  <si>
    <t>kg C in Used BM/ha</t>
  </si>
  <si>
    <t>kg O in Used BM/ha</t>
  </si>
  <si>
    <t>kg Lost Carbon/ha</t>
  </si>
  <si>
    <t>kg Remain C/ha</t>
  </si>
  <si>
    <t>kg C Runoff/ha</t>
  </si>
  <si>
    <t>kg C Remain/ha</t>
  </si>
  <si>
    <t>NREL Humbird pg 45</t>
  </si>
  <si>
    <t>kg Burnable Biomass/ha</t>
  </si>
  <si>
    <t>Carbon Content/Carbon Balance Outputs</t>
  </si>
  <si>
    <t>% Total C In</t>
  </si>
  <si>
    <t>kg C in CO2</t>
  </si>
  <si>
    <t>kg C in Ethanol</t>
  </si>
  <si>
    <t>kg C Lost on Input</t>
  </si>
  <si>
    <t>kg C Lost to DAH/EH</t>
  </si>
  <si>
    <t>kg C in Remaining BM</t>
  </si>
  <si>
    <t>kg C out of System</t>
  </si>
  <si>
    <t>kg C into System</t>
  </si>
  <si>
    <t>kg C Deficit</t>
  </si>
  <si>
    <t>% C in Rem BM Humbird:</t>
  </si>
  <si>
    <t>C_out/C_in</t>
  </si>
  <si>
    <t>MJ from Burn BM/ha</t>
  </si>
  <si>
    <t>Nutrient Uptake Patrns</t>
  </si>
  <si>
    <t>lb N/acre</t>
  </si>
  <si>
    <t>lb P2O5/acre</t>
  </si>
  <si>
    <t>lb K2O/acre</t>
  </si>
  <si>
    <t>lb S/acre</t>
  </si>
  <si>
    <t>Total kg/ha Uptake</t>
  </si>
  <si>
    <t>kg H2O Req for O/ha</t>
  </si>
  <si>
    <t>Burnable BM</t>
  </si>
  <si>
    <t>NASA Fast Carbon Cycle</t>
  </si>
  <si>
    <t>Pest:</t>
  </si>
  <si>
    <t>Small</t>
  </si>
  <si>
    <t>81 $/hr</t>
  </si>
  <si>
    <t>Captl Cost</t>
  </si>
  <si>
    <t>m3/ha</t>
  </si>
  <si>
    <t>MJ Content per kg Corn Grain</t>
  </si>
  <si>
    <t>MJ Content per ha (Grain)</t>
  </si>
  <si>
    <t>MJ Content per kg Stover</t>
  </si>
  <si>
    <t>MJ Content per ha (Stover)</t>
  </si>
  <si>
    <t>Stover Harvested</t>
  </si>
  <si>
    <t>Corn Stover Left in Field (leftstovers)</t>
  </si>
  <si>
    <t>Dependent</t>
  </si>
  <si>
    <t>N applied</t>
  </si>
  <si>
    <t>K applied</t>
  </si>
  <si>
    <t>P applied</t>
  </si>
  <si>
    <t>N uptake</t>
  </si>
  <si>
    <t>P uptake</t>
  </si>
  <si>
    <t>K uptake</t>
  </si>
  <si>
    <t>Nitrogen Fert Applied per ha</t>
  </si>
  <si>
    <t>User Inputs</t>
  </si>
  <si>
    <t>Nitrogen Intake from Soil</t>
  </si>
  <si>
    <t>Phosphorus Intake from Soil</t>
  </si>
  <si>
    <t>Potassium Intake from Soil</t>
  </si>
  <si>
    <t>Sulfur Intake from Soil</t>
  </si>
  <si>
    <t>kg P/ha</t>
  </si>
  <si>
    <t>kg K/ha</t>
  </si>
  <si>
    <t>Phosphorus to Phosphate Ratio</t>
  </si>
  <si>
    <t>Potassium to Potash Ratio</t>
  </si>
  <si>
    <t>Nitrogen to N Fert Ratio</t>
  </si>
  <si>
    <t>Phosphorus Fert Applied per ha</t>
  </si>
  <si>
    <t>Potassium Fert Applied per ha</t>
  </si>
  <si>
    <t>Water Throughput - Block 120</t>
  </si>
  <si>
    <t>inches</t>
  </si>
  <si>
    <t>Avg Yearly Rainwater  - Iowa</t>
  </si>
  <si>
    <t>feet</t>
  </si>
  <si>
    <t>Water Consumed</t>
  </si>
  <si>
    <t>Water Available per ha - Iowa</t>
  </si>
  <si>
    <t>Water Cycled Through</t>
  </si>
  <si>
    <t>Corn Stover Produced</t>
  </si>
  <si>
    <t>Percent Avail. Stover Collected</t>
  </si>
  <si>
    <t>Corn Stover Sent to BP Plant</t>
  </si>
  <si>
    <t>Rainwater Per Yr:</t>
  </si>
  <si>
    <t>in</t>
  </si>
  <si>
    <t>Available kg/ha</t>
  </si>
  <si>
    <t>Impact/gal eth</t>
  </si>
  <si>
    <t>Allocation Amnt</t>
  </si>
  <si>
    <t>Agricultural Inputs - Block 100 - SYSTEM MASS INPUTS</t>
  </si>
  <si>
    <t>Bioprocessing and Conversion - Block 200-600 - SYSTEM MASS INPUTS</t>
  </si>
  <si>
    <t>Impact/MJ eth</t>
  </si>
  <si>
    <t>g CO2 eq/MJ eth</t>
  </si>
  <si>
    <t>Fuel Use</t>
  </si>
  <si>
    <t>/MJ EtOH</t>
  </si>
  <si>
    <t>kg/gal</t>
  </si>
  <si>
    <t>Z. Mobilis</t>
  </si>
  <si>
    <t>g CO2eq/MJ</t>
  </si>
  <si>
    <t>kg/ha electricity credit</t>
  </si>
  <si>
    <t>GREET/GHGenius Harm.</t>
  </si>
  <si>
    <t>(expected)</t>
  </si>
  <si>
    <t>electricity, high voltage, production mix | electricity, high voltage | APOS, U (MRO)</t>
  </si>
  <si>
    <t>kWh used for Process</t>
  </si>
  <si>
    <t>kWh extra (same ratio as NREL's Humbird)</t>
  </si>
  <si>
    <t>Electricity Credit</t>
  </si>
  <si>
    <t>MJ used for Process</t>
  </si>
  <si>
    <t>??</t>
  </si>
  <si>
    <t>Ratio Process Elect. To Surplus NREL</t>
  </si>
  <si>
    <t>LHV Corn Stover:</t>
  </si>
  <si>
    <t>MJ/kg</t>
  </si>
  <si>
    <t>MJ from Gas</t>
  </si>
  <si>
    <t>kg CO2 eq from Gas</t>
  </si>
  <si>
    <t>g co2 from gas</t>
  </si>
  <si>
    <t>NaOH</t>
  </si>
  <si>
    <t>Sodium Hydroxide</t>
  </si>
  <si>
    <t>Vent Scrubbing Lime</t>
  </si>
  <si>
    <t>NaOH - From Obnamia</t>
  </si>
  <si>
    <t>kg NaOH</t>
  </si>
  <si>
    <t>Vent Scrub. Lime</t>
  </si>
  <si>
    <t>Lime - From Obnamia</t>
  </si>
  <si>
    <t>kg Lime (scrub)</t>
  </si>
  <si>
    <t>Glucose - From Obnamia</t>
  </si>
  <si>
    <t>kg Glucose</t>
  </si>
  <si>
    <t>-</t>
  </si>
  <si>
    <t>Obnamia</t>
  </si>
  <si>
    <t>gCo2/MJ</t>
  </si>
  <si>
    <t>(136-133)</t>
  </si>
  <si>
    <t>kg CSL</t>
  </si>
  <si>
    <t>kg NH3</t>
  </si>
  <si>
    <t>CSL - From Obnamia</t>
  </si>
  <si>
    <t>Electricity - Hammer Mill</t>
  </si>
  <si>
    <t>lb/gal</t>
  </si>
  <si>
    <t>Energy Allocation:</t>
  </si>
  <si>
    <t>Mass:</t>
  </si>
  <si>
    <t>Amount</t>
  </si>
  <si>
    <t>Herbicide</t>
  </si>
  <si>
    <t>Nitrogen Fert</t>
  </si>
  <si>
    <t>Potassium Fert</t>
  </si>
  <si>
    <t>All inputs are in kg (White Cells) or in MJ (Red Cells) or are otherwise indicated.  (Likely will need to unify to just kg/MJ)</t>
  </si>
  <si>
    <t>H2O (DAH)</t>
  </si>
  <si>
    <t>H2SO4 (DAH)</t>
  </si>
  <si>
    <t>NH3 (DAH)</t>
  </si>
  <si>
    <t>H2O (EH)</t>
  </si>
  <si>
    <t>NH3 (EP)</t>
  </si>
  <si>
    <t>Phosph. Fert</t>
  </si>
  <si>
    <t>Am. Sulf</t>
  </si>
  <si>
    <t>DAP</t>
  </si>
  <si>
    <t>$/kg</t>
  </si>
  <si>
    <t>Diammonium Phosphate</t>
  </si>
  <si>
    <t>kg Corn Steep Liquor/ha</t>
  </si>
  <si>
    <t>kg Diammonium Phosphate/ha</t>
  </si>
  <si>
    <t>Corn Steep Liquor for Fermentation</t>
  </si>
  <si>
    <t>Revenue</t>
  </si>
  <si>
    <t>Total $</t>
  </si>
  <si>
    <t>NREL $ Same Cat</t>
  </si>
  <si>
    <t>$/Ethanol Gallon</t>
  </si>
  <si>
    <t>Ratio of Quant.</t>
  </si>
  <si>
    <t>NaOH Waste-water pH</t>
  </si>
  <si>
    <t>Flue Gas Desulf (FGD) Lime</t>
  </si>
  <si>
    <t>Diammonium Phosphate (DAP)</t>
  </si>
  <si>
    <t>Electricity Grid Credit</t>
  </si>
  <si>
    <t>$/kWh</t>
  </si>
  <si>
    <t>Credits and Revenue:</t>
  </si>
  <si>
    <t>Variable Opex</t>
  </si>
  <si>
    <t>Feedstock:</t>
  </si>
  <si>
    <t>Fixed Opex</t>
  </si>
  <si>
    <t>Salaries</t>
  </si>
  <si>
    <t>Labor Burden</t>
  </si>
  <si>
    <t>Maintenance</t>
  </si>
  <si>
    <t>Insurance (prprty)</t>
  </si>
  <si>
    <t>c/Gal EtOH prod</t>
  </si>
  <si>
    <t>Process Area</t>
  </si>
  <si>
    <t>Purchased Cost</t>
  </si>
  <si>
    <t>Installed Cost</t>
  </si>
  <si>
    <t>Area 100: Feedstock handling*</t>
  </si>
  <si>
    <t>Area 200: Pretreatment</t>
  </si>
  <si>
    <t>Area 200: Neutralization</t>
  </si>
  <si>
    <t>Area 300: Enzymatic Hydrolysis &amp; Fermentation</t>
  </si>
  <si>
    <t>Area 400: Enzyme Production</t>
  </si>
  <si>
    <t>Area 500: Recovery</t>
  </si>
  <si>
    <t>Area 600: Wastewater</t>
  </si>
  <si>
    <t>Area 700: Storage</t>
  </si>
  <si>
    <t>Area 800: Boiler</t>
  </si>
  <si>
    <t>Area 900: Utilities</t>
  </si>
  <si>
    <t>Variable Operating Costs (BPP)         (Materials and Waste)</t>
  </si>
  <si>
    <t>Gasoline Denaturant</t>
  </si>
  <si>
    <t>Gasoline - Denaturant</t>
  </si>
  <si>
    <t>kJ/MJ EtOH</t>
  </si>
  <si>
    <t>total MJ Gasoline</t>
  </si>
  <si>
    <t>LHV Gas</t>
  </si>
  <si>
    <t>MJ/l</t>
  </si>
  <si>
    <t>L Gasoline</t>
  </si>
  <si>
    <t>(2% was target from lit.)</t>
  </si>
  <si>
    <t>gal Gas</t>
  </si>
  <si>
    <t>M</t>
  </si>
  <si>
    <t>Boiler</t>
  </si>
  <si>
    <t>Babcock &amp; Wilcox</t>
  </si>
  <si>
    <t>TowerPak</t>
  </si>
  <si>
    <t>525,000 lb/hr @ 900 psig</t>
  </si>
  <si>
    <t>2752 kW</t>
  </si>
  <si>
    <t>CS</t>
  </si>
  <si>
    <t>BOILER MFR</t>
  </si>
  <si>
    <t>strm.a800.a810.812</t>
  </si>
  <si>
    <t>Combustion Gas Baghouse</t>
  </si>
  <si>
    <t>INCLUDED WITH FGD SYSTEM</t>
  </si>
  <si>
    <t>INCLUDED</t>
  </si>
  <si>
    <t>Turbine/Generator</t>
  </si>
  <si>
    <t>Siemens</t>
  </si>
  <si>
    <t>SST-300</t>
  </si>
  <si>
    <t>23.6 kW, 2 extractions</t>
  </si>
  <si>
    <t/>
  </si>
  <si>
    <t>YES</t>
  </si>
  <si>
    <t>work.wtotal</t>
  </si>
  <si>
    <t>EQPT NO</t>
  </si>
  <si>
    <t>EQUIPMENT TITLE</t>
  </si>
  <si>
    <t>VENDOR</t>
  </si>
  <si>
    <t>MODEL</t>
  </si>
  <si>
    <t>DESCRIPTION</t>
  </si>
  <si>
    <t>HP</t>
  </si>
  <si>
    <t>MATERIAL</t>
  </si>
  <si>
    <t>QUOTE INFO</t>
  </si>
  <si>
    <t>NUM REQD</t>
  </si>
  <si>
    <t>$</t>
  </si>
  <si>
    <t>Year of Quote</t>
  </si>
  <si>
    <t>Purch Cost in Base Yr</t>
  </si>
  <si>
    <t>Scaling Variable</t>
  </si>
  <si>
    <t>Scaling Val</t>
  </si>
  <si>
    <t>Units</t>
  </si>
  <si>
    <t>Scaling Exp</t>
  </si>
  <si>
    <t>Inst Factor</t>
  </si>
  <si>
    <t>New Val</t>
  </si>
  <si>
    <t>Size Ratio</t>
  </si>
  <si>
    <t>Scaled Purch Cost</t>
  </si>
  <si>
    <t>Purch Cost in Proj year</t>
  </si>
  <si>
    <t>Inst Cost in Proj year</t>
  </si>
  <si>
    <t>Block 100</t>
  </si>
  <si>
    <t>Block 200</t>
  </si>
  <si>
    <t>Block 300</t>
  </si>
  <si>
    <t>Ag</t>
  </si>
  <si>
    <t>Size Red</t>
  </si>
  <si>
    <t>Dah</t>
  </si>
  <si>
    <t>EH</t>
  </si>
  <si>
    <t>Enzyme</t>
  </si>
  <si>
    <t>Ferm</t>
  </si>
  <si>
    <t>Dist/dehydr</t>
  </si>
  <si>
    <t>Block 400</t>
  </si>
  <si>
    <t>Block 500</t>
  </si>
  <si>
    <t>Block 600</t>
  </si>
  <si>
    <t>Block 700</t>
  </si>
  <si>
    <t>Spare Biomass Burner - Electricity Generation - Block 800</t>
  </si>
  <si>
    <t>Block 800</t>
  </si>
  <si>
    <t>Boiler/Gen</t>
  </si>
  <si>
    <t>Other Overhead</t>
  </si>
  <si>
    <t>Block 1000</t>
  </si>
  <si>
    <t>Block 400/600</t>
  </si>
  <si>
    <t>Feedstock Handling (need mill)</t>
  </si>
  <si>
    <t>Dilute Acid Hydrolysis</t>
  </si>
  <si>
    <t>EH and Fermentation</t>
  </si>
  <si>
    <t>Enzyme Production</t>
  </si>
  <si>
    <t>Other (WW, Utilities &amp; Storage)</t>
  </si>
  <si>
    <t>Boiler/Electricity Generation</t>
  </si>
  <si>
    <t>Distillation/Dehydration</t>
  </si>
  <si>
    <t>Capital Expenditures</t>
  </si>
  <si>
    <t>Total Direct Costs (TDC):</t>
  </si>
  <si>
    <t>Total Indirect Costs (TIC):</t>
  </si>
  <si>
    <t>Estimated Acres:</t>
  </si>
  <si>
    <t>Cost of Land:</t>
  </si>
  <si>
    <t>$/Acre</t>
  </si>
  <si>
    <t>Total Cost of Land:</t>
  </si>
  <si>
    <t>$ Land Cost</t>
  </si>
  <si>
    <t>Fixed Capital Investment (FCI):</t>
  </si>
  <si>
    <t>Piping, Site Dev, Warehouse:</t>
  </si>
  <si>
    <t>Working Capital:</t>
  </si>
  <si>
    <t>Total Capital Investment (TCI):</t>
  </si>
  <si>
    <t>Operational Cost:</t>
  </si>
  <si>
    <t>Equipment and Facilities Capital Cost:</t>
  </si>
  <si>
    <t>Land Capital Cost:</t>
  </si>
  <si>
    <t>MMGal EtOH/yr:</t>
  </si>
  <si>
    <t>Variable Operating Cost:</t>
  </si>
  <si>
    <t>Per Gal Var Op Cost:</t>
  </si>
  <si>
    <t>Fixed Operating Cost:</t>
  </si>
  <si>
    <t>Fixed Capital Investment:</t>
  </si>
  <si>
    <t>Loan Information</t>
  </si>
  <si>
    <t>Annual Loan Payment:</t>
  </si>
  <si>
    <t>Loan Interest:</t>
  </si>
  <si>
    <t>Equity:</t>
  </si>
  <si>
    <t>Loan Term:</t>
  </si>
  <si>
    <t>yrs</t>
  </si>
  <si>
    <t>Construction Breakdown</t>
  </si>
  <si>
    <t>Year -2:</t>
  </si>
  <si>
    <t>Year -1:</t>
  </si>
  <si>
    <t>Year 0:</t>
  </si>
  <si>
    <t>Productivity Breakdown</t>
  </si>
  <si>
    <t>Start Up Time (yrs):</t>
  </si>
  <si>
    <t>Start-Up % of Full Prod:</t>
  </si>
  <si>
    <t>Full Prod Rate:</t>
  </si>
  <si>
    <t>IRR and Tax Rate</t>
  </si>
  <si>
    <t>IRR:</t>
  </si>
  <si>
    <t>Tax Rate:</t>
  </si>
  <si>
    <t>Cash Flow Analysis</t>
  </si>
  <si>
    <t>Year</t>
  </si>
  <si>
    <t>Equipment and Facilities Capital</t>
  </si>
  <si>
    <t>Land Capital</t>
  </si>
  <si>
    <t>Working Capital</t>
  </si>
  <si>
    <t>Loan Payment</t>
  </si>
  <si>
    <t>Principle</t>
  </si>
  <si>
    <t>Product Sales</t>
  </si>
  <si>
    <t>Ethanol</t>
  </si>
  <si>
    <t>Annual Costs</t>
  </si>
  <si>
    <t>Depreciation</t>
  </si>
  <si>
    <t>Net Revenue</t>
  </si>
  <si>
    <t>Losses forward</t>
  </si>
  <si>
    <t>Taxable income</t>
  </si>
  <si>
    <t>Income tax</t>
  </si>
  <si>
    <t>Annual cash income</t>
  </si>
  <si>
    <t>discount facor</t>
  </si>
  <si>
    <t>Total capital investment + interest</t>
  </si>
  <si>
    <t>NPV tax</t>
  </si>
  <si>
    <t>NPV sales</t>
  </si>
  <si>
    <t>NPV Operating Costs</t>
  </si>
  <si>
    <t>Interest Payment</t>
  </si>
  <si>
    <t>Gallons EtOH/yr</t>
  </si>
  <si>
    <t>MESP</t>
  </si>
  <si>
    <t>$/gal</t>
  </si>
  <si>
    <t>Page 29, 37 Table</t>
  </si>
  <si>
    <t>NPV Equip + Facilities Cap Cost</t>
  </si>
  <si>
    <t>NPV Land Cost</t>
  </si>
  <si>
    <t>NPV</t>
  </si>
  <si>
    <t>Accuracy:</t>
  </si>
  <si>
    <t>$/Gal From NREL</t>
  </si>
  <si>
    <t>Data for Plot</t>
  </si>
  <si>
    <t>Operational Costs</t>
  </si>
  <si>
    <t>Taxes</t>
  </si>
  <si>
    <t>Net Present Worth</t>
  </si>
  <si>
    <t>breakdown of different costs (Guayule)</t>
  </si>
  <si>
    <t>MACRS 7-Yr Markdown General Plant</t>
  </si>
  <si>
    <t>Depreciation Charge</t>
  </si>
  <si>
    <t>Remaining Value</t>
  </si>
  <si>
    <t>MACRS 20-Yr Markdown Steam Plant</t>
  </si>
  <si>
    <t>General Plant Cost:</t>
  </si>
  <si>
    <t>Steam Plant Cost:</t>
  </si>
  <si>
    <t>Annual present value</t>
  </si>
  <si>
    <t>MM$/yr</t>
  </si>
  <si>
    <t>Total</t>
  </si>
  <si>
    <t>Feedstock</t>
  </si>
  <si>
    <t>Processing</t>
  </si>
  <si>
    <t>Fixed Capital/Loan</t>
  </si>
  <si>
    <t>Plant Scaling Ratio:</t>
  </si>
  <si>
    <t>(new scen/baseline)</t>
  </si>
  <si>
    <t>Scaling Factor</t>
  </si>
  <si>
    <t>Baseline Expenses</t>
  </si>
  <si>
    <t>New Scenario Expenses</t>
  </si>
  <si>
    <t>Percent of Total</t>
  </si>
  <si>
    <t>Percent of OPEX</t>
  </si>
  <si>
    <t>Percent of CAPEX</t>
  </si>
  <si>
    <t>Nutrients for EP</t>
  </si>
  <si>
    <t>Capex/Loan Interest</t>
  </si>
  <si>
    <t>Variable Operating</t>
  </si>
  <si>
    <t>Fixed Operating</t>
  </si>
  <si>
    <t>Equip/Facilities</t>
  </si>
  <si>
    <t>Land Cost</t>
  </si>
  <si>
    <t>NPV Loan Total</t>
  </si>
  <si>
    <t>Loan Total</t>
  </si>
  <si>
    <t>Fixed OPEX</t>
  </si>
  <si>
    <t>Name</t>
  </si>
  <si>
    <t>$/Unit</t>
  </si>
  <si>
    <t>Quantity</t>
  </si>
  <si>
    <t>Corn Grain</t>
  </si>
  <si>
    <t>Bushels</t>
  </si>
  <si>
    <t>Seed</t>
  </si>
  <si>
    <t>Lime (Matr'l)</t>
  </si>
  <si>
    <t xml:space="preserve">All App/maint. </t>
  </si>
  <si>
    <t>Acre</t>
  </si>
  <si>
    <t>Property Insurance</t>
  </si>
  <si>
    <t>Property Tax</t>
  </si>
  <si>
    <t>Other</t>
  </si>
  <si>
    <t>Interest on OPEX</t>
  </si>
  <si>
    <t>Percent</t>
  </si>
  <si>
    <t>Percent on Sum</t>
  </si>
  <si>
    <t>Replacement/Conting</t>
  </si>
  <si>
    <t>Harvest</t>
  </si>
  <si>
    <t>Interest on Harvest</t>
  </si>
  <si>
    <t>Percent on Total</t>
  </si>
  <si>
    <t>/1000 Seeds</t>
  </si>
  <si>
    <t>Revenue Total</t>
  </si>
  <si>
    <t>Expenses Total</t>
  </si>
  <si>
    <t>ha/yr</t>
  </si>
  <si>
    <t>Dry US ton/yr</t>
  </si>
  <si>
    <t>dry kg/yr</t>
  </si>
  <si>
    <t>Avg Iowa Corn Farm Size (Iowa, acres)</t>
  </si>
  <si>
    <t>Scale for PM #'s:</t>
  </si>
  <si>
    <t>Total Profit from Corn</t>
  </si>
  <si>
    <t>Corn Stover</t>
  </si>
  <si>
    <t>Harvesting Cost</t>
  </si>
  <si>
    <t>Transportation Cost</t>
  </si>
  <si>
    <t>Preprocessing</t>
  </si>
  <si>
    <t>Circle Problem Attempt</t>
  </si>
  <si>
    <t>r</t>
  </si>
  <si>
    <t>n</t>
  </si>
  <si>
    <t>i</t>
  </si>
  <si>
    <t>Band #</t>
  </si>
  <si>
    <t>Radius</t>
  </si>
  <si>
    <t>Sum of Areas</t>
  </si>
  <si>
    <t>Ratio</t>
  </si>
  <si>
    <t>Rad*Rat</t>
  </si>
  <si>
    <t>Sum of Ratios</t>
  </si>
  <si>
    <t>Avg Distance</t>
  </si>
  <si>
    <t>duh</t>
  </si>
  <si>
    <t>Mile/Bale</t>
  </si>
  <si>
    <t>kg*kWh</t>
  </si>
  <si>
    <t>Farmer Margin</t>
  </si>
  <si>
    <t>System Mass Inputs</t>
  </si>
  <si>
    <t>System Energy Inputs</t>
  </si>
  <si>
    <t>%</t>
  </si>
  <si>
    <t>Nitrogen Fert Uptake</t>
  </si>
  <si>
    <t>Phopshorus Fert Uptake</t>
  </si>
  <si>
    <t>Potassium Fert Uptake</t>
  </si>
  <si>
    <t>Nitrogen Mass Required</t>
  </si>
  <si>
    <t>Phosphorus Mass Required</t>
  </si>
  <si>
    <t>Potassium Mass Required</t>
  </si>
  <si>
    <t>Sulfur Mass Required</t>
  </si>
  <si>
    <t>Total Mass in From Soil</t>
  </si>
  <si>
    <t>N required</t>
  </si>
  <si>
    <t>User Defnd</t>
  </si>
  <si>
    <t>P required</t>
  </si>
  <si>
    <t>K required</t>
  </si>
  <si>
    <t>S required</t>
  </si>
  <si>
    <t>Total Mass in Soil</t>
  </si>
  <si>
    <t>Avg Rainfall</t>
  </si>
  <si>
    <t>Water Cons.</t>
  </si>
  <si>
    <t>Lime Appld</t>
  </si>
  <si>
    <t>Water Supplied/ha</t>
  </si>
  <si>
    <t>Water Supplied</t>
  </si>
  <si>
    <t>H2O Cycled Through</t>
  </si>
  <si>
    <t>H2O for BM Structure</t>
  </si>
  <si>
    <t>Biomass Prod - Cons. H2O</t>
  </si>
  <si>
    <t>Water Cycled</t>
  </si>
  <si>
    <t>Stover Cllctd</t>
  </si>
  <si>
    <t>List of User Defined/Dependant Var.</t>
  </si>
  <si>
    <t>Water for BM Struct</t>
  </si>
  <si>
    <t>BM Prod. - Cons. H20</t>
  </si>
  <si>
    <t>Corn Stover to BPP</t>
  </si>
  <si>
    <t>System Mass Outputs</t>
  </si>
  <si>
    <t>System Energy Outputs</t>
  </si>
  <si>
    <t>Flue Gas Desulfur. (Lime)</t>
  </si>
  <si>
    <t>NaOH Waste Neutralizer</t>
  </si>
  <si>
    <t>Total Mass Outputs</t>
  </si>
  <si>
    <t>ha required</t>
  </si>
  <si>
    <t xml:space="preserve">about 1/4 of Iowa; </t>
  </si>
  <si>
    <t xml:space="preserve">about 1000 farmers of avg </t>
  </si>
  <si>
    <t>farm size (351 Acres)</t>
  </si>
  <si>
    <t>Diammonium Phosphate:</t>
  </si>
  <si>
    <t>(Corresponds with 50 mi rad.)</t>
  </si>
  <si>
    <t>Electricity From Generator:</t>
  </si>
  <si>
    <t>N/A</t>
  </si>
  <si>
    <t>Allocation Calcs</t>
  </si>
  <si>
    <t>Total Sales</t>
  </si>
  <si>
    <t>Scaled</t>
  </si>
  <si>
    <t>Steam Plant (Scaled):</t>
  </si>
  <si>
    <t>General Plant (Scaled):</t>
  </si>
  <si>
    <t>Total Opex</t>
  </si>
  <si>
    <t>Me</t>
  </si>
  <si>
    <t>NREL</t>
  </si>
  <si>
    <t>Diff</t>
  </si>
  <si>
    <t xml:space="preserve">Seeds per Hectare </t>
  </si>
  <si>
    <t>Nitrogen Fert Applied</t>
  </si>
  <si>
    <t>Phosphorus Fert Applied</t>
  </si>
  <si>
    <t>Potassium Fert Applied</t>
  </si>
  <si>
    <t>or</t>
  </si>
  <si>
    <t>Rain Water:</t>
  </si>
  <si>
    <t>GHGe:</t>
  </si>
  <si>
    <t>Water Consumption:</t>
  </si>
  <si>
    <t>MESP:</t>
  </si>
  <si>
    <t>Criteria Pollutants:</t>
  </si>
  <si>
    <t>Acidification:</t>
  </si>
  <si>
    <t>Ecotoxicity:</t>
  </si>
  <si>
    <t>Eutrophication:</t>
  </si>
  <si>
    <t>Carcinogenics:</t>
  </si>
  <si>
    <t>Non-Carcinogenics:</t>
  </si>
  <si>
    <t>O3 Depletion:</t>
  </si>
  <si>
    <t>O3 Formation:</t>
  </si>
  <si>
    <t>Respiratory Effects:</t>
  </si>
  <si>
    <t>$/Gal EtOH</t>
  </si>
  <si>
    <t>Resource Depletion - Fossil Fuels:</t>
  </si>
  <si>
    <t>kg CO_2 eq/Gal EtOH</t>
  </si>
  <si>
    <t>kg H_2O/Gal EtOH</t>
  </si>
  <si>
    <t xml:space="preserve"> kg SO2 eq/Gal EtOH</t>
  </si>
  <si>
    <t xml:space="preserve"> CTUe/Gal EtOH</t>
  </si>
  <si>
    <t xml:space="preserve"> kg N eq/Gal EtOH</t>
  </si>
  <si>
    <t xml:space="preserve"> CTUh/Gal EtOH</t>
  </si>
  <si>
    <t xml:space="preserve"> kg CFC-11 eq/Gal EtOH</t>
  </si>
  <si>
    <t xml:space="preserve"> kg O3 eq/Gal EtOH</t>
  </si>
  <si>
    <t xml:space="preserve"> MJ Surplus/Gal EtOH</t>
  </si>
  <si>
    <t xml:space="preserve"> kg PM2.5 eq/Gal EtOH</t>
  </si>
  <si>
    <t>Gas Denaturant: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</si>
</sst>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6" formatCode="&quot;$&quot;#,##0_);[Red]\(&quot;$&quot;#,##0\)"/>
    <numFmt numFmtId="44" formatCode="_(&quot;$&quot;* #,##0.00_);_(&quot;$&quot;* \(#,##0.00\);_(&quot;$&quot;* &quot;-&quot;??_);_(@_)"/>
    <numFmt numFmtId="164" formatCode="0.0"/>
    <numFmt numFmtId="165" formatCode="0.000"/>
    <numFmt numFmtId="166" formatCode="0.0000"/>
    <numFmt numFmtId="167" formatCode="0.00000"/>
    <numFmt numFmtId="168" formatCode="0.00000000"/>
    <numFmt numFmtId="169" formatCode="0.0000000"/>
    <numFmt numFmtId="170" formatCode="0.0E+00"/>
    <numFmt numFmtId="171" formatCode="0.000%"/>
    <numFmt numFmtId="172" formatCode="_(&quot;$&quot;* #,##0.0000_);_(&quot;$&quot;* \(#,##0.0000\);_(&quot;$&quot;* &quot;-&quot;??_);_(@_)"/>
    <numFmt numFmtId="173" formatCode="_(&quot;$&quot;* #,##0.000000_);_(&quot;$&quot;* \(#,##0.000000\);_(&quot;$&quot;* &quot;-&quot;??_);_(@_)"/>
    <numFmt numFmtId="174" formatCode="_(&quot;$&quot;* #,##0.0000000_);_(&quot;$&quot;* \(#,##0.0000000\);_(&quot;$&quot;* &quot;-&quot;??_);_(@_)"/>
    <numFmt numFmtId="175" formatCode="0.0%"/>
    <numFmt numFmtId="176" formatCode="[$-F400]h:mm:ss\ AM/PM"/>
    <numFmt numFmtId="177" formatCode="_(&quot;$&quot;* #,##0_);_(&quot;$&quot;* \(#,##0\);_(&quot;$&quot;* &quot;-&quot;??_);_(@_)"/>
    <numFmt numFmtId="178" formatCode="0.000000000"/>
  </numFmts>
  <fonts count="20" x14ac:knownFonts="1">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sz val="9"/>
      <color indexed="81"/>
      <name val="Tahoma"/>
      <family val="2"/>
    </font>
    <font>
      <sz val="9"/>
      <color indexed="81"/>
      <name val="Tahoma"/>
      <family val="2"/>
    </font>
    <font>
      <u/>
      <sz val="11"/>
      <color theme="10"/>
      <name val="Calibri"/>
      <family val="2"/>
      <scheme val="minor"/>
    </font>
    <font>
      <sz val="11"/>
      <name val="Calibri"/>
      <family val="2"/>
      <scheme val="minor"/>
    </font>
    <font>
      <sz val="11"/>
      <color rgb="FF9C0006"/>
      <name val="Calibri"/>
      <family val="2"/>
      <scheme val="minor"/>
    </font>
    <font>
      <b/>
      <sz val="11"/>
      <color rgb="FF3F3F3F"/>
      <name val="Calibri"/>
      <family val="2"/>
      <scheme val="minor"/>
    </font>
    <font>
      <b/>
      <u/>
      <sz val="11"/>
      <name val="Calibri"/>
      <family val="2"/>
      <scheme val="minor"/>
    </font>
    <font>
      <u/>
      <sz val="20"/>
      <color theme="0"/>
      <name val="Calibri"/>
      <family val="2"/>
      <scheme val="minor"/>
    </font>
    <font>
      <i/>
      <sz val="9"/>
      <color indexed="81"/>
      <name val="Tahoma"/>
      <family val="2"/>
    </font>
    <font>
      <sz val="11"/>
      <color rgb="FF9C6500"/>
      <name val="Calibri"/>
      <family val="2"/>
      <scheme val="minor"/>
    </font>
    <font>
      <sz val="20"/>
      <color theme="0"/>
      <name val="Calibri"/>
      <family val="2"/>
      <scheme val="minor"/>
    </font>
    <font>
      <sz val="11"/>
      <color theme="1"/>
      <name val="Calibri"/>
      <family val="2"/>
      <scheme val="minor"/>
    </font>
    <font>
      <sz val="10"/>
      <name val="Arial"/>
      <family val="2"/>
    </font>
    <font>
      <sz val="11"/>
      <color rgb="FF3F3F76"/>
      <name val="Calibri"/>
      <family val="2"/>
      <scheme val="minor"/>
    </font>
    <font>
      <sz val="11"/>
      <color theme="0"/>
      <name val="Calibri"/>
      <family val="2"/>
      <scheme val="minor"/>
    </font>
    <font>
      <sz val="11"/>
      <color rgb="FF000000"/>
      <name val="Calibri"/>
      <family val="2"/>
    </font>
  </fonts>
  <fills count="50">
    <fill>
      <patternFill patternType="none"/>
    </fill>
    <fill>
      <patternFill patternType="gray125"/>
    </fill>
    <fill>
      <patternFill patternType="solid">
        <fgColor rgb="FF23DF0F"/>
        <bgColor indexed="64"/>
      </patternFill>
    </fill>
    <fill>
      <patternFill patternType="solid">
        <fgColor theme="4" tint="0.39997558519241921"/>
        <bgColor indexed="64"/>
      </patternFill>
    </fill>
    <fill>
      <patternFill patternType="solid">
        <fgColor rgb="FFFFFF0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7CE"/>
      </patternFill>
    </fill>
    <fill>
      <patternFill patternType="solid">
        <fgColor rgb="FFF2F2F2"/>
      </patternFill>
    </fill>
    <fill>
      <patternFill patternType="solid">
        <fgColor theme="2" tint="-0.249977111117893"/>
        <bgColor indexed="64"/>
      </patternFill>
    </fill>
    <fill>
      <patternFill patternType="solid">
        <fgColor rgb="FFFF4B4B"/>
        <bgColor indexed="64"/>
      </patternFill>
    </fill>
    <fill>
      <patternFill patternType="solid">
        <fgColor theme="4" tint="0.59999389629810485"/>
        <bgColor indexed="64"/>
      </patternFill>
    </fill>
    <fill>
      <patternFill patternType="solid">
        <fgColor rgb="FF00FF00"/>
        <bgColor indexed="64"/>
      </patternFill>
    </fill>
    <fill>
      <patternFill patternType="solid">
        <fgColor theme="9" tint="-0.249977111117893"/>
        <bgColor indexed="64"/>
      </patternFill>
    </fill>
    <fill>
      <patternFill patternType="solid">
        <fgColor rgb="FFFFEB9C"/>
      </patternFill>
    </fill>
    <fill>
      <patternFill patternType="solid">
        <fgColor theme="9"/>
        <bgColor indexed="64"/>
      </patternFill>
    </fill>
    <fill>
      <patternFill patternType="solid">
        <fgColor theme="4"/>
        <bgColor indexed="64"/>
      </patternFill>
    </fill>
    <fill>
      <patternFill patternType="solid">
        <fgColor rgb="FFFF3B3B"/>
        <bgColor indexed="64"/>
      </patternFill>
    </fill>
    <fill>
      <patternFill patternType="solid">
        <fgColor theme="9" tint="0.79998168889431442"/>
        <bgColor indexed="64"/>
      </patternFill>
    </fill>
    <fill>
      <patternFill patternType="solid">
        <fgColor theme="0"/>
        <bgColor indexed="64"/>
      </patternFill>
    </fill>
    <fill>
      <patternFill patternType="solid">
        <fgColor theme="2" tint="-0.499984740745262"/>
        <bgColor indexed="64"/>
      </patternFill>
    </fill>
    <fill>
      <patternFill patternType="solid">
        <fgColor rgb="FF008000"/>
        <bgColor indexed="64"/>
      </patternFill>
    </fill>
    <fill>
      <patternFill patternType="solid">
        <fgColor rgb="FF00A800"/>
        <bgColor indexed="64"/>
      </patternFill>
    </fill>
    <fill>
      <patternFill patternType="solid">
        <fgColor rgb="FF00C000"/>
        <bgColor indexed="64"/>
      </patternFill>
    </fill>
    <fill>
      <patternFill patternType="solid">
        <fgColor rgb="FF00FA00"/>
        <bgColor indexed="64"/>
      </patternFill>
    </fill>
    <fill>
      <patternFill patternType="solid">
        <fgColor rgb="FF57FF57"/>
        <bgColor indexed="64"/>
      </patternFill>
    </fill>
    <fill>
      <patternFill patternType="solid">
        <fgColor rgb="FFABFFAB"/>
        <bgColor indexed="64"/>
      </patternFill>
    </fill>
    <fill>
      <patternFill patternType="solid">
        <fgColor rgb="FF006400"/>
        <bgColor indexed="64"/>
      </patternFill>
    </fill>
    <fill>
      <patternFill patternType="solid">
        <fgColor rgb="FF002A00"/>
        <bgColor indexed="64"/>
      </patternFill>
    </fill>
    <fill>
      <patternFill patternType="solid">
        <fgColor rgb="FF0000CC"/>
        <bgColor indexed="64"/>
      </patternFill>
    </fill>
    <fill>
      <patternFill patternType="solid">
        <fgColor rgb="FF000086"/>
        <bgColor indexed="64"/>
      </patternFill>
    </fill>
    <fill>
      <patternFill patternType="solid">
        <fgColor rgb="FF000054"/>
        <bgColor indexed="64"/>
      </patternFill>
    </fill>
    <fill>
      <patternFill patternType="solid">
        <fgColor rgb="FF4343FF"/>
        <bgColor indexed="64"/>
      </patternFill>
    </fill>
    <fill>
      <patternFill patternType="solid">
        <fgColor rgb="FF7D7DFF"/>
        <bgColor indexed="64"/>
      </patternFill>
    </fill>
    <fill>
      <patternFill patternType="solid">
        <fgColor rgb="FFC1C1FF"/>
        <bgColor indexed="64"/>
      </patternFill>
    </fill>
    <fill>
      <patternFill patternType="solid">
        <fgColor rgb="FFF3F3FF"/>
        <bgColor indexed="64"/>
      </patternFill>
    </fill>
    <fill>
      <patternFill patternType="solid">
        <fgColor theme="9" tint="0.59999389629810485"/>
        <bgColor indexed="64"/>
      </patternFill>
    </fill>
    <fill>
      <patternFill patternType="solid">
        <fgColor rgb="FF5DFF5D"/>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CC99"/>
      </patternFill>
    </fill>
    <fill>
      <patternFill patternType="solid">
        <fgColor theme="1"/>
        <bgColor indexed="64"/>
      </patternFill>
    </fill>
    <fill>
      <patternFill patternType="solid">
        <fgColor rgb="FFFF0000"/>
        <bgColor indexed="64"/>
      </patternFill>
    </fill>
    <fill>
      <patternFill patternType="solid">
        <fgColor theme="5" tint="0.79998168889431442"/>
        <bgColor indexed="64"/>
      </patternFill>
    </fill>
  </fills>
  <borders count="26">
    <border>
      <left/>
      <right/>
      <top/>
      <bottom/>
      <diagonal/>
    </border>
    <border>
      <left style="thin">
        <color rgb="FF3F3F3F"/>
      </left>
      <right style="thin">
        <color rgb="FF3F3F3F"/>
      </right>
      <top style="thin">
        <color rgb="FF3F3F3F"/>
      </top>
      <bottom style="thin">
        <color rgb="FF3F3F3F"/>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0" fontId="6" fillId="0" borderId="0" applyNumberFormat="0" applyFill="0" applyBorder="0" applyAlignment="0" applyProtection="0"/>
    <xf numFmtId="0" fontId="8" fillId="7" borderId="0" applyNumberFormat="0" applyBorder="0" applyAlignment="0" applyProtection="0"/>
    <xf numFmtId="0" fontId="9" fillId="8" borderId="1" applyNumberFormat="0" applyAlignment="0" applyProtection="0"/>
    <xf numFmtId="0" fontId="13" fillId="14" borderId="0" applyNumberFormat="0" applyBorder="0" applyAlignment="0" applyProtection="0"/>
    <xf numFmtId="9" fontId="15" fillId="0" borderId="0" applyFont="0" applyFill="0" applyBorder="0" applyAlignment="0" applyProtection="0"/>
    <xf numFmtId="44" fontId="15" fillId="0" borderId="0" applyFont="0" applyFill="0" applyBorder="0" applyAlignment="0" applyProtection="0"/>
    <xf numFmtId="176" fontId="16" fillId="0" borderId="0"/>
    <xf numFmtId="0" fontId="17" fillId="46" borderId="19" applyNumberFormat="0" applyAlignment="0" applyProtection="0"/>
  </cellStyleXfs>
  <cellXfs count="311">
    <xf numFmtId="0" fontId="0" fillId="0" borderId="0" xfId="0"/>
    <xf numFmtId="0" fontId="0" fillId="5" borderId="0" xfId="0" applyFill="1"/>
    <xf numFmtId="0" fontId="0" fillId="4" borderId="0" xfId="0" applyFill="1"/>
    <xf numFmtId="0" fontId="0" fillId="0" borderId="0" xfId="0" applyFill="1"/>
    <xf numFmtId="0" fontId="0" fillId="0" borderId="0" xfId="0" applyAlignment="1">
      <alignment horizontal="right"/>
    </xf>
    <xf numFmtId="164" fontId="0" fillId="0" borderId="0" xfId="0" applyNumberFormat="1"/>
    <xf numFmtId="2" fontId="0" fillId="0" borderId="0" xfId="0" applyNumberFormat="1"/>
    <xf numFmtId="0" fontId="0" fillId="0" borderId="0" xfId="0" applyAlignment="1">
      <alignment horizontal="center"/>
    </xf>
    <xf numFmtId="2" fontId="0" fillId="0" borderId="0" xfId="0" applyNumberFormat="1" applyAlignment="1">
      <alignment horizontal="center"/>
    </xf>
    <xf numFmtId="0" fontId="2" fillId="0" borderId="0" xfId="0" applyFont="1"/>
    <xf numFmtId="0" fontId="0" fillId="0" borderId="0" xfId="0" applyAlignment="1">
      <alignment horizontal="left"/>
    </xf>
    <xf numFmtId="165" fontId="0" fillId="0" borderId="0" xfId="0" applyNumberFormat="1"/>
    <xf numFmtId="0" fontId="6" fillId="0" borderId="0" xfId="1" applyAlignment="1">
      <alignment horizontal="center"/>
    </xf>
    <xf numFmtId="2" fontId="0" fillId="0" borderId="0" xfId="0" applyNumberFormat="1" applyAlignment="1">
      <alignment horizontal="left"/>
    </xf>
    <xf numFmtId="2" fontId="6" fillId="0" borderId="0" xfId="1" applyNumberFormat="1" applyAlignment="1">
      <alignment horizontal="center"/>
    </xf>
    <xf numFmtId="0" fontId="0" fillId="0" borderId="0" xfId="0" applyAlignment="1"/>
    <xf numFmtId="1" fontId="0" fillId="0" borderId="0" xfId="0" applyNumberFormat="1"/>
    <xf numFmtId="0" fontId="0" fillId="0" borderId="0" xfId="0" applyAlignment="1">
      <alignment horizontal="center"/>
    </xf>
    <xf numFmtId="0" fontId="0" fillId="6" borderId="0" xfId="0" applyFill="1"/>
    <xf numFmtId="0" fontId="2" fillId="6" borderId="0" xfId="0" applyFont="1" applyFill="1" applyAlignment="1"/>
    <xf numFmtId="0" fontId="3" fillId="6" borderId="0" xfId="0" applyFont="1" applyFill="1" applyAlignment="1">
      <alignment horizontal="center"/>
    </xf>
    <xf numFmtId="0" fontId="0" fillId="0" borderId="0" xfId="0" applyFill="1" applyBorder="1"/>
    <xf numFmtId="2" fontId="0" fillId="0" borderId="0" xfId="0" applyNumberFormat="1" applyFill="1"/>
    <xf numFmtId="2" fontId="0" fillId="0" borderId="0" xfId="0" applyNumberFormat="1" applyFill="1" applyAlignment="1">
      <alignment horizontal="right"/>
    </xf>
    <xf numFmtId="3" fontId="0" fillId="0" borderId="0" xfId="0" applyNumberFormat="1"/>
    <xf numFmtId="0" fontId="6" fillId="0" borderId="0" xfId="1"/>
    <xf numFmtId="0" fontId="7" fillId="0" borderId="0" xfId="1" applyFont="1" applyAlignment="1">
      <alignment horizontal="center"/>
    </xf>
    <xf numFmtId="0" fontId="0" fillId="0" borderId="0" xfId="0" applyFont="1" applyAlignment="1"/>
    <xf numFmtId="1" fontId="0" fillId="0" borderId="0" xfId="0" applyNumberFormat="1" applyFill="1"/>
    <xf numFmtId="1" fontId="0" fillId="0" borderId="0" xfId="0" applyNumberFormat="1" applyFill="1" applyAlignment="1">
      <alignment horizontal="right"/>
    </xf>
    <xf numFmtId="0" fontId="0" fillId="0" borderId="0" xfId="0" applyFont="1" applyAlignment="1">
      <alignment horizontal="right"/>
    </xf>
    <xf numFmtId="0" fontId="3" fillId="0" borderId="0" xfId="0" applyFont="1"/>
    <xf numFmtId="10" fontId="0" fillId="0" borderId="0" xfId="0" applyNumberFormat="1"/>
    <xf numFmtId="9" fontId="0" fillId="0" borderId="0" xfId="0" applyNumberFormat="1"/>
    <xf numFmtId="166" fontId="0" fillId="0" borderId="0" xfId="0" applyNumberFormat="1"/>
    <xf numFmtId="0" fontId="8" fillId="7" borderId="0" xfId="2"/>
    <xf numFmtId="0" fontId="3" fillId="0" borderId="0" xfId="0" applyFont="1" applyAlignment="1">
      <alignment horizontal="center"/>
    </xf>
    <xf numFmtId="0" fontId="0" fillId="0" borderId="0" xfId="0" applyFill="1" applyAlignment="1">
      <alignment horizontal="right"/>
    </xf>
    <xf numFmtId="0" fontId="3" fillId="0" borderId="0" xfId="0" applyFont="1" applyFill="1" applyAlignment="1"/>
    <xf numFmtId="0" fontId="2" fillId="0" borderId="0" xfId="0" applyFont="1" applyFill="1" applyAlignment="1"/>
    <xf numFmtId="2" fontId="9" fillId="8" borderId="1" xfId="3" applyNumberFormat="1"/>
    <xf numFmtId="0" fontId="9" fillId="8" borderId="1" xfId="3"/>
    <xf numFmtId="0" fontId="6" fillId="0" borderId="0" xfId="1" applyFill="1" applyAlignment="1">
      <alignment horizontal="center"/>
    </xf>
    <xf numFmtId="0" fontId="0" fillId="9" borderId="0" xfId="0" applyFill="1"/>
    <xf numFmtId="0" fontId="3" fillId="0" borderId="0" xfId="0" applyFont="1" applyFill="1" applyAlignment="1">
      <alignment horizontal="center"/>
    </xf>
    <xf numFmtId="2" fontId="0" fillId="0" borderId="0" xfId="0" applyNumberFormat="1" applyAlignment="1">
      <alignment horizontal="right"/>
    </xf>
    <xf numFmtId="1" fontId="0" fillId="0" borderId="0" xfId="0" applyNumberFormat="1" applyAlignment="1">
      <alignment horizontal="right"/>
    </xf>
    <xf numFmtId="2" fontId="9" fillId="8" borderId="1" xfId="3" applyNumberFormat="1" applyAlignment="1">
      <alignment horizontal="right"/>
    </xf>
    <xf numFmtId="0" fontId="2" fillId="6" borderId="0" xfId="0" applyFont="1" applyFill="1" applyAlignment="1">
      <alignment horizontal="center"/>
    </xf>
    <xf numFmtId="0" fontId="0" fillId="6" borderId="0" xfId="0" applyFill="1" applyAlignment="1">
      <alignment horizontal="center"/>
    </xf>
    <xf numFmtId="0" fontId="0" fillId="0" borderId="0" xfId="0" applyAlignment="1">
      <alignment horizontal="center" vertical="center" wrapText="1"/>
    </xf>
    <xf numFmtId="0" fontId="0" fillId="9" borderId="0" xfId="0" applyFill="1" applyAlignment="1">
      <alignment horizontal="right"/>
    </xf>
    <xf numFmtId="0" fontId="0" fillId="0" borderId="0" xfId="0" applyFill="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Fill="1" applyAlignment="1">
      <alignment horizontal="center"/>
    </xf>
    <xf numFmtId="167" fontId="0" fillId="0" borderId="0" xfId="0" applyNumberFormat="1"/>
    <xf numFmtId="165" fontId="7" fillId="0" borderId="0" xfId="4" applyNumberFormat="1" applyFont="1" applyFill="1"/>
    <xf numFmtId="165" fontId="0" fillId="0" borderId="0" xfId="0" applyNumberFormat="1" applyFont="1" applyFill="1" applyAlignment="1"/>
    <xf numFmtId="166" fontId="0" fillId="0" borderId="0" xfId="0" applyNumberFormat="1" applyFill="1"/>
    <xf numFmtId="2" fontId="0" fillId="0" borderId="0" xfId="0" applyNumberFormat="1" applyFont="1" applyFill="1"/>
    <xf numFmtId="164" fontId="0" fillId="0" borderId="0" xfId="0" applyNumberFormat="1" applyFill="1"/>
    <xf numFmtId="1" fontId="0" fillId="0" borderId="0" xfId="0" applyNumberFormat="1" applyAlignment="1">
      <alignment horizontal="center"/>
    </xf>
    <xf numFmtId="1" fontId="3" fillId="0" borderId="0" xfId="0" applyNumberFormat="1" applyFont="1" applyAlignment="1">
      <alignment horizontal="center"/>
    </xf>
    <xf numFmtId="0" fontId="3" fillId="0" borderId="0" xfId="0" quotePrefix="1" applyFont="1" applyAlignment="1">
      <alignment horizontal="center"/>
    </xf>
    <xf numFmtId="0" fontId="0" fillId="0" borderId="0" xfId="0" applyFill="1" applyAlignment="1">
      <alignment horizontal="center"/>
    </xf>
    <xf numFmtId="0" fontId="0" fillId="0" borderId="0" xfId="0" applyAlignment="1">
      <alignment horizontal="center"/>
    </xf>
    <xf numFmtId="0" fontId="0" fillId="16" borderId="0" xfId="0" applyFill="1"/>
    <xf numFmtId="11" fontId="0" fillId="0" borderId="0" xfId="0" applyNumberFormat="1"/>
    <xf numFmtId="0" fontId="0" fillId="9" borderId="0" xfId="0" applyFill="1" applyAlignment="1">
      <alignment horizontal="center"/>
    </xf>
    <xf numFmtId="0" fontId="0" fillId="17" borderId="0" xfId="0" applyFill="1" applyAlignment="1">
      <alignment horizontal="center"/>
    </xf>
    <xf numFmtId="0" fontId="0" fillId="18" borderId="0" xfId="0" applyFill="1" applyAlignment="1">
      <alignment horizontal="center" vertical="center" wrapText="1"/>
    </xf>
    <xf numFmtId="0" fontId="0" fillId="12" borderId="0" xfId="0" applyFill="1" applyAlignment="1">
      <alignment horizontal="center"/>
    </xf>
    <xf numFmtId="0" fontId="0" fillId="16" borderId="0" xfId="0" applyFill="1" applyAlignment="1">
      <alignment horizontal="center"/>
    </xf>
    <xf numFmtId="0" fontId="0" fillId="0" borderId="0" xfId="0" applyNumberFormat="1"/>
    <xf numFmtId="0" fontId="0" fillId="0" borderId="0" xfId="0" applyAlignment="1">
      <alignment horizontal="center"/>
    </xf>
    <xf numFmtId="0" fontId="0" fillId="0" borderId="0" xfId="0" applyFill="1" applyAlignment="1">
      <alignment horizontal="center"/>
    </xf>
    <xf numFmtId="0" fontId="0" fillId="0" borderId="0" xfId="0" applyFill="1" applyAlignment="1"/>
    <xf numFmtId="0" fontId="0" fillId="16" borderId="0" xfId="0" applyFill="1" applyAlignment="1"/>
    <xf numFmtId="11" fontId="0" fillId="0" borderId="0" xfId="0" applyNumberFormat="1" applyFill="1"/>
    <xf numFmtId="0" fontId="0" fillId="20" borderId="0" xfId="0" applyFill="1" applyAlignment="1">
      <alignment horizontal="center"/>
    </xf>
    <xf numFmtId="11" fontId="0" fillId="20" borderId="0" xfId="0" applyNumberFormat="1" applyFill="1"/>
    <xf numFmtId="11" fontId="0" fillId="0" borderId="0" xfId="0" applyNumberFormat="1" applyAlignment="1">
      <alignment horizontal="center"/>
    </xf>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167" fontId="0" fillId="0" borderId="0" xfId="0" applyNumberFormat="1" applyFill="1"/>
    <xf numFmtId="11" fontId="0" fillId="0" borderId="5" xfId="0" applyNumberFormat="1" applyBorder="1"/>
    <xf numFmtId="0" fontId="3" fillId="0" borderId="0" xfId="0" applyFont="1" applyAlignment="1">
      <alignment horizontal="center"/>
    </xf>
    <xf numFmtId="10" fontId="0" fillId="0" borderId="0" xfId="5" applyNumberFormat="1" applyFont="1" applyAlignment="1">
      <alignment horizontal="center"/>
    </xf>
    <xf numFmtId="10" fontId="0" fillId="0" borderId="0" xfId="5" applyNumberFormat="1" applyFont="1" applyFill="1" applyAlignment="1">
      <alignment horizontal="center"/>
    </xf>
    <xf numFmtId="10" fontId="0" fillId="0" borderId="0" xfId="0" applyNumberFormat="1" applyFill="1" applyAlignment="1">
      <alignment horizontal="center"/>
    </xf>
    <xf numFmtId="0" fontId="3" fillId="0" borderId="0" xfId="0" applyFont="1" applyFill="1" applyBorder="1"/>
    <xf numFmtId="0" fontId="0" fillId="0" borderId="0" xfId="0" applyNumberFormat="1" applyFill="1"/>
    <xf numFmtId="169" fontId="0" fillId="0" borderId="0" xfId="0" applyNumberFormat="1" applyFill="1"/>
    <xf numFmtId="165" fontId="0" fillId="0" borderId="0" xfId="0" applyNumberFormat="1" applyFill="1"/>
    <xf numFmtId="9" fontId="0" fillId="0" borderId="0" xfId="5" applyFont="1"/>
    <xf numFmtId="2" fontId="0" fillId="36" borderId="0" xfId="0" applyNumberFormat="1" applyFill="1"/>
    <xf numFmtId="169" fontId="0" fillId="0" borderId="0" xfId="0" applyNumberFormat="1"/>
    <xf numFmtId="1" fontId="0" fillId="36" borderId="0" xfId="0" applyNumberFormat="1" applyFill="1"/>
    <xf numFmtId="10" fontId="0" fillId="0" borderId="0" xfId="5" applyNumberFormat="1" applyFont="1"/>
    <xf numFmtId="0" fontId="0" fillId="37" borderId="0" xfId="0" applyFill="1" applyAlignment="1">
      <alignment horizontal="center"/>
    </xf>
    <xf numFmtId="0" fontId="0" fillId="34" borderId="0" xfId="0" applyFill="1" applyAlignment="1">
      <alignment horizontal="center"/>
    </xf>
    <xf numFmtId="0" fontId="0" fillId="34" borderId="3" xfId="0" applyFill="1" applyBorder="1" applyAlignment="1">
      <alignment horizontal="center"/>
    </xf>
    <xf numFmtId="0" fontId="0" fillId="34" borderId="2" xfId="0" applyFill="1" applyBorder="1" applyAlignment="1">
      <alignment horizontal="center"/>
    </xf>
    <xf numFmtId="0" fontId="0" fillId="34" borderId="4" xfId="0" applyFill="1" applyBorder="1" applyAlignment="1">
      <alignment horizontal="center"/>
    </xf>
    <xf numFmtId="170" fontId="0" fillId="0" borderId="0" xfId="0" applyNumberFormat="1" applyAlignment="1">
      <alignment horizontal="center"/>
    </xf>
    <xf numFmtId="1" fontId="13" fillId="0" borderId="0" xfId="4" applyNumberFormat="1" applyFill="1"/>
    <xf numFmtId="0" fontId="0" fillId="0" borderId="7" xfId="0" applyFill="1" applyBorder="1" applyAlignment="1">
      <alignment horizontal="center"/>
    </xf>
    <xf numFmtId="0" fontId="0" fillId="0" borderId="8" xfId="0" applyBorder="1" applyAlignment="1">
      <alignment horizontal="center"/>
    </xf>
    <xf numFmtId="0" fontId="0" fillId="19" borderId="6" xfId="0" applyFill="1" applyBorder="1" applyAlignment="1">
      <alignment horizontal="center"/>
    </xf>
    <xf numFmtId="0" fontId="0" fillId="16" borderId="9" xfId="0" applyFill="1" applyBorder="1" applyAlignment="1"/>
    <xf numFmtId="9" fontId="0" fillId="0" borderId="0" xfId="0" applyNumberFormat="1" applyFill="1"/>
    <xf numFmtId="171" fontId="0" fillId="0" borderId="0" xfId="5" applyNumberFormat="1" applyFont="1" applyFill="1"/>
    <xf numFmtId="0" fontId="0" fillId="0" borderId="10" xfId="0" applyBorder="1" applyAlignment="1">
      <alignment horizontal="center"/>
    </xf>
    <xf numFmtId="0" fontId="0" fillId="19" borderId="10" xfId="0" applyFill="1" applyBorder="1" applyAlignment="1">
      <alignment horizontal="center"/>
    </xf>
    <xf numFmtId="11" fontId="0" fillId="0" borderId="6" xfId="0" applyNumberFormat="1" applyBorder="1"/>
    <xf numFmtId="0" fontId="0" fillId="38" borderId="0" xfId="0" applyFill="1" applyAlignment="1">
      <alignment horizontal="center"/>
    </xf>
    <xf numFmtId="11" fontId="0" fillId="38" borderId="6" xfId="0" applyNumberFormat="1" applyFill="1" applyBorder="1"/>
    <xf numFmtId="0" fontId="0" fillId="39" borderId="0" xfId="0" applyFill="1" applyAlignment="1">
      <alignment horizontal="center"/>
    </xf>
    <xf numFmtId="0" fontId="7" fillId="0" borderId="0" xfId="4" applyFont="1" applyFill="1" applyAlignment="1">
      <alignment horizontal="center"/>
    </xf>
    <xf numFmtId="0" fontId="0" fillId="38" borderId="0" xfId="0" applyFill="1"/>
    <xf numFmtId="11" fontId="0" fillId="38" borderId="0" xfId="0" applyNumberFormat="1" applyFill="1"/>
    <xf numFmtId="167" fontId="0" fillId="39" borderId="0" xfId="0" applyNumberFormat="1" applyFill="1"/>
    <xf numFmtId="0" fontId="0" fillId="39" borderId="0" xfId="0" applyFill="1"/>
    <xf numFmtId="2" fontId="0" fillId="40" borderId="0" xfId="0" applyNumberFormat="1" applyFill="1"/>
    <xf numFmtId="0" fontId="0" fillId="40" borderId="0" xfId="0" applyFill="1" applyAlignment="1">
      <alignment horizontal="center"/>
    </xf>
    <xf numFmtId="164" fontId="0" fillId="39" borderId="0" xfId="0" applyNumberFormat="1" applyFill="1"/>
    <xf numFmtId="0" fontId="0" fillId="18" borderId="0" xfId="0" applyFill="1"/>
    <xf numFmtId="44" fontId="0" fillId="0" borderId="0" xfId="6" applyFont="1"/>
    <xf numFmtId="44" fontId="0" fillId="0" borderId="0" xfId="0" applyNumberFormat="1"/>
    <xf numFmtId="2" fontId="8" fillId="7" borderId="0" xfId="2" applyNumberFormat="1"/>
    <xf numFmtId="0" fontId="0" fillId="0" borderId="0" xfId="0" applyFont="1"/>
    <xf numFmtId="173" fontId="0" fillId="0" borderId="0" xfId="0" applyNumberFormat="1"/>
    <xf numFmtId="172" fontId="0" fillId="0" borderId="0" xfId="6" applyNumberFormat="1" applyFont="1"/>
    <xf numFmtId="0" fontId="0" fillId="0" borderId="0" xfId="6" applyNumberFormat="1" applyFont="1"/>
    <xf numFmtId="174" fontId="0" fillId="0" borderId="0" xfId="6" applyNumberFormat="1" applyFont="1"/>
    <xf numFmtId="174" fontId="0" fillId="40" borderId="0" xfId="6" applyNumberFormat="1" applyFont="1" applyFill="1"/>
    <xf numFmtId="0" fontId="0" fillId="40" borderId="0" xfId="0" applyFill="1"/>
    <xf numFmtId="173" fontId="0" fillId="40" borderId="0" xfId="0" applyNumberFormat="1" applyFill="1"/>
    <xf numFmtId="172" fontId="0" fillId="40" borderId="0" xfId="6" applyNumberFormat="1" applyFont="1" applyFill="1"/>
    <xf numFmtId="0" fontId="0" fillId="41" borderId="0" xfId="0" applyFill="1"/>
    <xf numFmtId="168" fontId="0" fillId="41" borderId="0" xfId="0" applyNumberFormat="1" applyFill="1"/>
    <xf numFmtId="169" fontId="0" fillId="41" borderId="0" xfId="0" applyNumberFormat="1" applyFill="1"/>
    <xf numFmtId="172" fontId="0" fillId="42" borderId="0" xfId="6" applyNumberFormat="1" applyFont="1" applyFill="1"/>
    <xf numFmtId="11" fontId="0" fillId="5" borderId="0" xfId="0" applyNumberFormat="1" applyFill="1"/>
    <xf numFmtId="173" fontId="0" fillId="0" borderId="0" xfId="6" applyNumberFormat="1" applyFont="1"/>
    <xf numFmtId="0" fontId="1" fillId="0" borderId="0" xfId="0" applyFont="1" applyAlignment="1">
      <alignment horizontal="right"/>
    </xf>
    <xf numFmtId="0" fontId="1" fillId="0" borderId="0" xfId="0" applyFont="1"/>
    <xf numFmtId="172" fontId="0" fillId="0" borderId="0" xfId="6" applyNumberFormat="1" applyFont="1" applyFill="1"/>
    <xf numFmtId="9" fontId="0" fillId="0" borderId="0" xfId="5" applyFont="1" applyFill="1"/>
    <xf numFmtId="10" fontId="0" fillId="0" borderId="0" xfId="5" applyNumberFormat="1" applyFont="1" applyFill="1"/>
    <xf numFmtId="9" fontId="1" fillId="0" borderId="0" xfId="5" applyFont="1"/>
    <xf numFmtId="173" fontId="0" fillId="0" borderId="0" xfId="0" applyNumberFormat="1" applyFont="1"/>
    <xf numFmtId="172" fontId="0" fillId="0" borderId="0" xfId="0" applyNumberFormat="1" applyFont="1"/>
    <xf numFmtId="9" fontId="15" fillId="0" borderId="0" xfId="5" applyFont="1"/>
    <xf numFmtId="0" fontId="3" fillId="0" borderId="0" xfId="0" applyFont="1" applyAlignment="1">
      <alignment horizontal="right"/>
    </xf>
    <xf numFmtId="44" fontId="1" fillId="0" borderId="0" xfId="0" applyNumberFormat="1" applyFont="1"/>
    <xf numFmtId="44" fontId="0" fillId="43" borderId="0" xfId="6" applyFont="1" applyFill="1"/>
    <xf numFmtId="0" fontId="0" fillId="43" borderId="0" xfId="0" applyFill="1"/>
    <xf numFmtId="44" fontId="0" fillId="38" borderId="0" xfId="6" applyFont="1" applyFill="1"/>
    <xf numFmtId="44" fontId="0" fillId="44" borderId="0" xfId="6" applyFont="1" applyFill="1"/>
    <xf numFmtId="0" fontId="0" fillId="44" borderId="0" xfId="0" applyFill="1"/>
    <xf numFmtId="44" fontId="0" fillId="45" borderId="0" xfId="6" applyFont="1" applyFill="1"/>
    <xf numFmtId="0" fontId="0" fillId="45" borderId="0" xfId="0" applyFill="1"/>
    <xf numFmtId="44" fontId="0" fillId="4" borderId="0" xfId="6" applyFont="1" applyFill="1"/>
    <xf numFmtId="44" fontId="0" fillId="9" borderId="0" xfId="6" applyFont="1" applyFill="1"/>
    <xf numFmtId="44" fontId="0" fillId="0" borderId="0" xfId="0" applyNumberFormat="1" applyAlignment="1"/>
    <xf numFmtId="6" fontId="0" fillId="0" borderId="0" xfId="0" applyNumberFormat="1"/>
    <xf numFmtId="175" fontId="0" fillId="0" borderId="0" xfId="5" applyNumberFormat="1" applyFont="1"/>
    <xf numFmtId="9" fontId="0" fillId="0" borderId="0" xfId="0" applyNumberFormat="1" applyAlignment="1">
      <alignment horizontal="left"/>
    </xf>
    <xf numFmtId="177" fontId="0" fillId="0" borderId="0" xfId="6" applyNumberFormat="1" applyFont="1"/>
    <xf numFmtId="0" fontId="0" fillId="0" borderId="0" xfId="5" applyNumberFormat="1" applyFont="1"/>
    <xf numFmtId="0" fontId="0" fillId="9" borderId="0" xfId="6" applyNumberFormat="1" applyFont="1" applyFill="1"/>
    <xf numFmtId="44" fontId="0" fillId="0" borderId="0" xfId="6" applyFont="1" applyAlignment="1">
      <alignment horizontal="right"/>
    </xf>
    <xf numFmtId="0" fontId="0" fillId="0" borderId="11" xfId="0" applyBorder="1" applyAlignment="1">
      <alignment horizontal="right"/>
    </xf>
    <xf numFmtId="0" fontId="0" fillId="0" borderId="12" xfId="0" applyBorder="1"/>
    <xf numFmtId="0" fontId="0" fillId="0" borderId="13" xfId="0" applyBorder="1"/>
    <xf numFmtId="0" fontId="0" fillId="0" borderId="14" xfId="0" applyBorder="1" applyAlignment="1">
      <alignment horizontal="right"/>
    </xf>
    <xf numFmtId="0" fontId="0" fillId="0" borderId="0" xfId="0" applyBorder="1"/>
    <xf numFmtId="44" fontId="0" fillId="0" borderId="0" xfId="6" applyFont="1" applyBorder="1"/>
    <xf numFmtId="44" fontId="0" fillId="0" borderId="15" xfId="6" applyFont="1" applyBorder="1"/>
    <xf numFmtId="44" fontId="6" fillId="0" borderId="0" xfId="1" applyNumberFormat="1" applyBorder="1" applyAlignment="1">
      <alignment horizontal="center"/>
    </xf>
    <xf numFmtId="10" fontId="0" fillId="0" borderId="0" xfId="5" applyNumberFormat="1" applyFont="1" applyBorder="1"/>
    <xf numFmtId="10" fontId="0" fillId="0" borderId="15" xfId="5" applyNumberFormat="1" applyFont="1" applyBorder="1"/>
    <xf numFmtId="0" fontId="0" fillId="0" borderId="14" xfId="0" applyNumberFormat="1" applyBorder="1" applyAlignment="1">
      <alignment horizontal="right"/>
    </xf>
    <xf numFmtId="0" fontId="0" fillId="0" borderId="0" xfId="0" applyNumberFormat="1" applyBorder="1"/>
    <xf numFmtId="0" fontId="0" fillId="0" borderId="0" xfId="6" applyNumberFormat="1" applyFont="1" applyBorder="1"/>
    <xf numFmtId="0" fontId="0" fillId="0" borderId="15" xfId="6" applyNumberFormat="1" applyFont="1" applyBorder="1"/>
    <xf numFmtId="177" fontId="0" fillId="0" borderId="0" xfId="0" applyNumberFormat="1" applyBorder="1"/>
    <xf numFmtId="0" fontId="0" fillId="0" borderId="16" xfId="0" applyBorder="1" applyAlignment="1">
      <alignment horizontal="right"/>
    </xf>
    <xf numFmtId="0" fontId="0" fillId="0" borderId="17" xfId="0" applyBorder="1"/>
    <xf numFmtId="44" fontId="0" fillId="0" borderId="17" xfId="6" applyFont="1" applyBorder="1"/>
    <xf numFmtId="44" fontId="0" fillId="0" borderId="18" xfId="6" applyFont="1" applyBorder="1"/>
    <xf numFmtId="0" fontId="0" fillId="0" borderId="15" xfId="0" applyBorder="1"/>
    <xf numFmtId="0" fontId="0" fillId="40" borderId="14" xfId="0" applyFill="1" applyBorder="1" applyAlignment="1">
      <alignment horizontal="right"/>
    </xf>
    <xf numFmtId="0" fontId="0" fillId="40" borderId="0" xfId="0" applyFill="1" applyBorder="1"/>
    <xf numFmtId="44" fontId="0" fillId="40" borderId="0" xfId="6" applyFont="1" applyFill="1" applyBorder="1"/>
    <xf numFmtId="44" fontId="0" fillId="40" borderId="15" xfId="6" applyFont="1" applyFill="1" applyBorder="1"/>
    <xf numFmtId="44" fontId="0" fillId="40" borderId="0" xfId="6" applyFont="1" applyFill="1"/>
    <xf numFmtId="44" fontId="0" fillId="0" borderId="0" xfId="0" applyNumberFormat="1" applyBorder="1"/>
    <xf numFmtId="177" fontId="0" fillId="0" borderId="0" xfId="6" applyNumberFormat="1" applyFont="1" applyBorder="1"/>
    <xf numFmtId="44" fontId="0" fillId="0" borderId="0" xfId="5" applyNumberFormat="1" applyFont="1" applyBorder="1"/>
    <xf numFmtId="0" fontId="2" fillId="0" borderId="0" xfId="0" applyFont="1" applyAlignment="1">
      <alignment horizontal="center"/>
    </xf>
    <xf numFmtId="0" fontId="0" fillId="0" borderId="0" xfId="0" applyAlignment="1">
      <alignment horizontal="center"/>
    </xf>
    <xf numFmtId="0" fontId="0" fillId="0" borderId="0" xfId="0" applyFont="1" applyFill="1" applyAlignment="1">
      <alignment horizontal="center"/>
    </xf>
    <xf numFmtId="0" fontId="0" fillId="0" borderId="0" xfId="0" applyFill="1" applyAlignment="1">
      <alignment horizontal="center"/>
    </xf>
    <xf numFmtId="0" fontId="0" fillId="0" borderId="0" xfId="0" applyFont="1" applyAlignment="1">
      <alignment horizontal="center"/>
    </xf>
    <xf numFmtId="0" fontId="1" fillId="0" borderId="0" xfId="0" applyFont="1" applyAlignment="1">
      <alignment horizontal="center"/>
    </xf>
    <xf numFmtId="0" fontId="0" fillId="0" borderId="0" xfId="0" applyAlignment="1">
      <alignment horizontal="center"/>
    </xf>
    <xf numFmtId="0" fontId="0" fillId="0" borderId="0" xfId="0" applyFont="1" applyFill="1" applyAlignment="1">
      <alignment horizontal="center"/>
    </xf>
    <xf numFmtId="0" fontId="0" fillId="11" borderId="0" xfId="0" applyFill="1" applyAlignment="1">
      <alignment horizontal="center"/>
    </xf>
    <xf numFmtId="9" fontId="0" fillId="0" borderId="0" xfId="5" applyFont="1" applyAlignment="1">
      <alignment horizontal="right"/>
    </xf>
    <xf numFmtId="0" fontId="0" fillId="0" borderId="0" xfId="0" applyBorder="1" applyAlignment="1">
      <alignment horizontal="right"/>
    </xf>
    <xf numFmtId="171" fontId="0" fillId="0" borderId="0" xfId="5" applyNumberFormat="1" applyFont="1"/>
    <xf numFmtId="44" fontId="0" fillId="0" borderId="0" xfId="6" applyNumberFormat="1" applyFont="1"/>
    <xf numFmtId="177" fontId="0" fillId="0" borderId="0" xfId="0" applyNumberFormat="1"/>
    <xf numFmtId="177" fontId="0" fillId="0" borderId="17" xfId="0" applyNumberFormat="1" applyBorder="1"/>
    <xf numFmtId="0" fontId="0" fillId="0" borderId="0" xfId="0" applyFill="1" applyBorder="1" applyAlignment="1">
      <alignment horizontal="right"/>
    </xf>
    <xf numFmtId="9" fontId="0" fillId="0" borderId="0" xfId="5" applyFont="1" applyAlignment="1">
      <alignment horizontal="center"/>
    </xf>
    <xf numFmtId="44" fontId="0" fillId="0" borderId="0" xfId="0" applyNumberFormat="1" applyAlignment="1">
      <alignment horizontal="right"/>
    </xf>
    <xf numFmtId="2" fontId="0" fillId="0" borderId="0" xfId="6" applyNumberFormat="1" applyFont="1"/>
    <xf numFmtId="0" fontId="0" fillId="0" borderId="20" xfId="0" applyBorder="1"/>
    <xf numFmtId="174" fontId="0" fillId="40" borderId="20" xfId="6" applyNumberFormat="1" applyFont="1" applyFill="1" applyBorder="1"/>
    <xf numFmtId="0" fontId="0" fillId="40" borderId="20" xfId="0" applyFill="1" applyBorder="1"/>
    <xf numFmtId="173" fontId="0" fillId="40" borderId="20" xfId="0" applyNumberFormat="1" applyFill="1" applyBorder="1"/>
    <xf numFmtId="172" fontId="0" fillId="40" borderId="20" xfId="6" applyNumberFormat="1" applyFont="1" applyFill="1" applyBorder="1"/>
    <xf numFmtId="0" fontId="0" fillId="0" borderId="21" xfId="0" applyBorder="1"/>
    <xf numFmtId="174" fontId="0" fillId="40" borderId="21" xfId="6" applyNumberFormat="1" applyFont="1" applyFill="1" applyBorder="1"/>
    <xf numFmtId="0" fontId="0" fillId="40" borderId="21" xfId="0" applyFill="1" applyBorder="1"/>
    <xf numFmtId="173" fontId="0" fillId="40" borderId="21" xfId="0" applyNumberFormat="1" applyFill="1" applyBorder="1"/>
    <xf numFmtId="172" fontId="0" fillId="40" borderId="21" xfId="6" applyNumberFormat="1" applyFont="1" applyFill="1" applyBorder="1"/>
    <xf numFmtId="0" fontId="0" fillId="36" borderId="0" xfId="0" applyFill="1" applyAlignment="1">
      <alignment horizontal="center"/>
    </xf>
    <xf numFmtId="0" fontId="0" fillId="39" borderId="0" xfId="0" applyFont="1" applyFill="1" applyAlignment="1">
      <alignment horizontal="center"/>
    </xf>
    <xf numFmtId="9" fontId="0" fillId="39" borderId="0" xfId="5" applyFont="1" applyFill="1"/>
    <xf numFmtId="2" fontId="0" fillId="39" borderId="0" xfId="0" applyNumberFormat="1" applyFill="1"/>
    <xf numFmtId="10" fontId="0" fillId="39" borderId="0" xfId="0" applyNumberFormat="1" applyFill="1"/>
    <xf numFmtId="10" fontId="0" fillId="39" borderId="0" xfId="5" applyNumberFormat="1" applyFont="1" applyFill="1"/>
    <xf numFmtId="1" fontId="0" fillId="6" borderId="0" xfId="0" applyNumberFormat="1" applyFill="1"/>
    <xf numFmtId="164" fontId="0" fillId="6" borderId="0" xfId="0" applyNumberFormat="1" applyFill="1"/>
    <xf numFmtId="1" fontId="0" fillId="0" borderId="0" xfId="6" applyNumberFormat="1" applyFont="1"/>
    <xf numFmtId="164" fontId="0" fillId="0" borderId="0" xfId="0" applyNumberFormat="1" applyFont="1" applyAlignment="1">
      <alignment horizontal="right"/>
    </xf>
    <xf numFmtId="0" fontId="0" fillId="48" borderId="0" xfId="0" applyFill="1"/>
    <xf numFmtId="0" fontId="17" fillId="46" borderId="19" xfId="8" applyAlignment="1">
      <alignment horizontal="center"/>
    </xf>
    <xf numFmtId="178" fontId="0" fillId="0" borderId="0" xfId="6" applyNumberFormat="1" applyFont="1" applyAlignment="1">
      <alignment horizontal="center"/>
    </xf>
    <xf numFmtId="44" fontId="0" fillId="49" borderId="0" xfId="0" applyNumberFormat="1" applyFill="1"/>
    <xf numFmtId="44" fontId="0" fillId="49" borderId="0" xfId="6" applyFont="1" applyFill="1"/>
    <xf numFmtId="0" fontId="0" fillId="0" borderId="0" xfId="0" applyAlignment="1">
      <alignment horizontal="right"/>
    </xf>
    <xf numFmtId="0" fontId="18" fillId="47" borderId="0" xfId="0" applyFont="1" applyFill="1" applyAlignment="1">
      <alignment horizontal="center"/>
    </xf>
    <xf numFmtId="0" fontId="14" fillId="47" borderId="0" xfId="0" applyFont="1" applyFill="1" applyAlignment="1">
      <alignment horizontal="center"/>
    </xf>
    <xf numFmtId="0" fontId="10" fillId="4" borderId="0" xfId="0" applyFont="1" applyFill="1" applyAlignment="1">
      <alignment horizontal="center"/>
    </xf>
    <xf numFmtId="0" fontId="2" fillId="12" borderId="0" xfId="0" applyFont="1" applyFill="1" applyAlignment="1">
      <alignment horizontal="center"/>
    </xf>
    <xf numFmtId="0" fontId="2" fillId="3" borderId="0" xfId="0" applyFont="1" applyFill="1" applyAlignment="1">
      <alignment horizontal="center"/>
    </xf>
    <xf numFmtId="0" fontId="0" fillId="0" borderId="0" xfId="0" applyAlignment="1">
      <alignment horizontal="center"/>
    </xf>
    <xf numFmtId="0" fontId="3" fillId="12" borderId="0" xfId="0" applyFont="1" applyFill="1" applyAlignment="1">
      <alignment horizontal="center"/>
    </xf>
    <xf numFmtId="0" fontId="3" fillId="6" borderId="0" xfId="0" applyFont="1" applyFill="1" applyAlignment="1">
      <alignment horizontal="center"/>
    </xf>
    <xf numFmtId="0" fontId="2" fillId="0" borderId="0" xfId="0" applyFont="1" applyFill="1" applyAlignment="1">
      <alignment horizontal="center"/>
    </xf>
    <xf numFmtId="0" fontId="2" fillId="0" borderId="0" xfId="0" applyFont="1" applyAlignment="1">
      <alignment horizontal="center"/>
    </xf>
    <xf numFmtId="0" fontId="1" fillId="0" borderId="0" xfId="0" applyFont="1" applyFill="1" applyAlignment="1">
      <alignment horizontal="center"/>
    </xf>
    <xf numFmtId="0" fontId="2" fillId="2" borderId="0" xfId="0" applyFont="1" applyFill="1" applyAlignment="1">
      <alignment horizontal="center"/>
    </xf>
    <xf numFmtId="0" fontId="2" fillId="11" borderId="0" xfId="0" applyFont="1" applyFill="1" applyAlignment="1">
      <alignment horizontal="center"/>
    </xf>
    <xf numFmtId="0" fontId="3" fillId="4" borderId="0" xfId="0" applyFont="1" applyFill="1" applyAlignment="1">
      <alignment horizontal="center"/>
    </xf>
    <xf numFmtId="0" fontId="3" fillId="10" borderId="0" xfId="0" applyFont="1" applyFill="1" applyAlignment="1">
      <alignment horizontal="center"/>
    </xf>
    <xf numFmtId="0" fontId="0" fillId="0" borderId="0" xfId="0" applyFont="1" applyFill="1" applyAlignment="1">
      <alignment horizontal="center"/>
    </xf>
    <xf numFmtId="2" fontId="2" fillId="0" borderId="0" xfId="0" applyNumberFormat="1" applyFont="1" applyFill="1" applyAlignment="1">
      <alignment horizontal="center"/>
    </xf>
    <xf numFmtId="0" fontId="0" fillId="0" borderId="0" xfId="0" applyFill="1" applyAlignment="1">
      <alignment horizontal="center"/>
    </xf>
    <xf numFmtId="0" fontId="3" fillId="0" borderId="0" xfId="0" applyFont="1" applyAlignment="1">
      <alignment horizontal="center"/>
    </xf>
    <xf numFmtId="165" fontId="2" fillId="0" borderId="0" xfId="0" applyNumberFormat="1" applyFont="1" applyAlignment="1">
      <alignment horizontal="center"/>
    </xf>
    <xf numFmtId="165" fontId="0" fillId="0" borderId="0" xfId="0" applyNumberFormat="1" applyAlignment="1">
      <alignment horizontal="center"/>
    </xf>
    <xf numFmtId="0" fontId="0" fillId="0" borderId="0" xfId="0" applyFont="1" applyAlignment="1">
      <alignment horizontal="center"/>
    </xf>
    <xf numFmtId="0" fontId="0" fillId="12" borderId="0" xfId="0" applyFill="1" applyAlignment="1">
      <alignment horizontal="center"/>
    </xf>
    <xf numFmtId="0" fontId="14" fillId="15" borderId="0" xfId="0" applyFont="1" applyFill="1" applyAlignment="1">
      <alignment horizontal="center" vertical="center"/>
    </xf>
    <xf numFmtId="0" fontId="0" fillId="4" borderId="0" xfId="0" applyFill="1" applyAlignment="1">
      <alignment horizontal="center"/>
    </xf>
    <xf numFmtId="0" fontId="0" fillId="43" borderId="0" xfId="0" applyFill="1" applyAlignment="1">
      <alignment horizontal="center"/>
    </xf>
    <xf numFmtId="0" fontId="0" fillId="18" borderId="0" xfId="0" applyFill="1" applyAlignment="1">
      <alignment horizontal="center" wrapText="1"/>
    </xf>
    <xf numFmtId="0" fontId="1" fillId="0" borderId="0" xfId="0" applyFont="1" applyAlignment="1">
      <alignment horizontal="center" wrapText="1"/>
    </xf>
    <xf numFmtId="0" fontId="1" fillId="0" borderId="0" xfId="0" applyFont="1" applyAlignment="1">
      <alignment horizontal="center"/>
    </xf>
    <xf numFmtId="0" fontId="0" fillId="38" borderId="0" xfId="0" applyFill="1" applyAlignment="1">
      <alignment horizontal="center"/>
    </xf>
    <xf numFmtId="0" fontId="0" fillId="44" borderId="0" xfId="0" applyFill="1" applyAlignment="1">
      <alignment horizontal="center"/>
    </xf>
    <xf numFmtId="0" fontId="0" fillId="45" borderId="0" xfId="0" applyFill="1" applyAlignment="1">
      <alignment horizontal="center"/>
    </xf>
    <xf numFmtId="0" fontId="2" fillId="4" borderId="0" xfId="0" applyFont="1" applyFill="1" applyAlignment="1">
      <alignment horizontal="center"/>
    </xf>
    <xf numFmtId="0" fontId="11" fillId="13" borderId="0" xfId="0" applyFont="1" applyFill="1" applyAlignment="1">
      <alignment horizontal="center" vertical="center"/>
    </xf>
    <xf numFmtId="0" fontId="7" fillId="0" borderId="0" xfId="0" applyFont="1" applyFill="1" applyAlignment="1">
      <alignment horizontal="right"/>
    </xf>
    <xf numFmtId="0" fontId="7" fillId="39" borderId="0" xfId="0" applyFont="1" applyFill="1" applyAlignment="1">
      <alignment horizontal="right"/>
    </xf>
    <xf numFmtId="2" fontId="0" fillId="39" borderId="0" xfId="5" applyNumberFormat="1" applyFont="1" applyFill="1"/>
    <xf numFmtId="0" fontId="0" fillId="0" borderId="0" xfId="0" applyFill="1" applyAlignment="1">
      <alignment horizontal="center" vertical="center" wrapText="1"/>
    </xf>
    <xf numFmtId="0" fontId="0" fillId="0" borderId="22" xfId="0" applyFill="1" applyBorder="1"/>
    <xf numFmtId="0" fontId="0" fillId="0" borderId="22" xfId="0" applyFill="1" applyBorder="1" applyAlignment="1">
      <alignment horizontal="center"/>
    </xf>
    <xf numFmtId="0" fontId="0" fillId="0" borderId="22" xfId="0" applyFill="1" applyBorder="1" applyAlignment="1">
      <alignment horizontal="right"/>
    </xf>
    <xf numFmtId="0" fontId="0" fillId="0" borderId="22" xfId="0" applyBorder="1"/>
    <xf numFmtId="2" fontId="0" fillId="0" borderId="22" xfId="0" applyNumberFormat="1" applyBorder="1"/>
    <xf numFmtId="2" fontId="0" fillId="0" borderId="22" xfId="0" applyNumberFormat="1" applyFill="1" applyBorder="1"/>
    <xf numFmtId="0" fontId="3" fillId="0" borderId="22" xfId="0" applyFont="1" applyFill="1" applyBorder="1" applyAlignment="1">
      <alignment horizontal="center"/>
    </xf>
    <xf numFmtId="0" fontId="0" fillId="0" borderId="23"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11" fontId="0" fillId="0" borderId="22" xfId="0" applyNumberFormat="1" applyFill="1" applyBorder="1"/>
    <xf numFmtId="0" fontId="0" fillId="0" borderId="22" xfId="0" applyFill="1" applyBorder="1" applyAlignment="1">
      <alignment horizontal="left"/>
    </xf>
    <xf numFmtId="164" fontId="7" fillId="0" borderId="0" xfId="2" applyNumberFormat="1" applyFont="1" applyFill="1"/>
  </cellXfs>
  <cellStyles count="9">
    <cellStyle name="Bad" xfId="2" builtinId="27"/>
    <cellStyle name="Currency" xfId="6" builtinId="4"/>
    <cellStyle name="Hyperlink" xfId="1" builtinId="8"/>
    <cellStyle name="Input" xfId="8" builtinId="20"/>
    <cellStyle name="Neutral" xfId="4" builtinId="28"/>
    <cellStyle name="Normal" xfId="0" builtinId="0"/>
    <cellStyle name="Normal 3" xfId="7" xr:uid="{152F522A-D6E0-4FF1-A9EB-28E580689CEE}"/>
    <cellStyle name="Output" xfId="3" builtinId="21"/>
    <cellStyle name="Percent" xfId="5" builtinId="5"/>
  </cellStyles>
  <dxfs count="40">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fgColor indexed="64"/>
          <bgColor rgb="FFC6EFCE"/>
        </patternFill>
      </fill>
    </dxf>
    <dxf>
      <font>
        <color rgb="FF9C5700"/>
      </font>
      <fill>
        <patternFill>
          <fgColor indexed="64"/>
          <bgColor rgb="FFFFEB9C"/>
        </patternFill>
      </fill>
    </dxf>
    <dxf>
      <font>
        <color rgb="FF9C5700"/>
      </font>
      <fill>
        <patternFill>
          <fgColor indexed="64"/>
          <bgColor rgb="FFFFEB9C"/>
        </patternFill>
      </fill>
    </dxf>
    <dxf>
      <font>
        <color rgb="FF9C0006"/>
      </font>
      <fill>
        <patternFill>
          <fgColor indexed="64"/>
          <bgColor rgb="FFFFC7CE"/>
        </patternFill>
      </fill>
    </dxf>
    <dxf>
      <font>
        <color rgb="FF9C0006"/>
      </font>
      <fill>
        <patternFill>
          <fgColor indexed="64"/>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A3FFA3"/>
      <color rgb="FF00A400"/>
      <color rgb="FF5BFF5B"/>
      <color rgb="FF47FF47"/>
      <color rgb="FF15FF15"/>
      <color rgb="FF00DE00"/>
      <color rgb="FF006000"/>
      <color rgb="FF5DFF5D"/>
      <color rgb="FFFF0000"/>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Normalized Impact Category</a:t>
            </a:r>
            <a:r>
              <a:rPr lang="en-US" baseline="0"/>
              <a:t> Breakdown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6701669996685229E-2"/>
          <c:y val="6.4601597447550979E-2"/>
          <c:w val="0.9419274540101289"/>
          <c:h val="0.75045254705234454"/>
        </c:manualLayout>
      </c:layout>
      <c:barChart>
        <c:barDir val="col"/>
        <c:grouping val="percentStacked"/>
        <c:varyColors val="0"/>
        <c:ser>
          <c:idx val="0"/>
          <c:order val="0"/>
          <c:tx>
            <c:strRef>
              <c:f>LCA!$C$82</c:f>
              <c:strCache>
                <c:ptCount val="1"/>
                <c:pt idx="0">
                  <c:v>Corn Seeds</c:v>
                </c:pt>
              </c:strCache>
            </c:strRef>
          </c:tx>
          <c:spPr>
            <a:solidFill>
              <a:srgbClr val="00C0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LCA!$D$82:$M$82</c:f>
              <c:numCache>
                <c:formatCode>0.00E+00</c:formatCode>
                <c:ptCount val="10"/>
                <c:pt idx="0">
                  <c:v>3.8642260009752322E-2</c:v>
                </c:pt>
                <c:pt idx="1">
                  <c:v>1.3239248559792154E-2</c:v>
                </c:pt>
                <c:pt idx="2">
                  <c:v>0.14226574659877986</c:v>
                </c:pt>
                <c:pt idx="3">
                  <c:v>8.3350687104571976E-3</c:v>
                </c:pt>
                <c:pt idx="4">
                  <c:v>4.9161797497311803E-2</c:v>
                </c:pt>
                <c:pt idx="5">
                  <c:v>1.2583910887197999E-2</c:v>
                </c:pt>
                <c:pt idx="6">
                  <c:v>4.1164300546052144E-3</c:v>
                </c:pt>
                <c:pt idx="7">
                  <c:v>1.2382671839500894E-2</c:v>
                </c:pt>
                <c:pt idx="8">
                  <c:v>3.3493465964209981E-3</c:v>
                </c:pt>
                <c:pt idx="9">
                  <c:v>0.13002108395647877</c:v>
                </c:pt>
              </c:numCache>
            </c:numRef>
          </c:val>
          <c:extLst>
            <c:ext xmlns:c16="http://schemas.microsoft.com/office/drawing/2014/chart" uri="{C3380CC4-5D6E-409C-BE32-E72D297353CC}">
              <c16:uniqueId val="{00000000-BB29-48F3-B671-7DA230BF6D27}"/>
            </c:ext>
          </c:extLst>
        </c:ser>
        <c:ser>
          <c:idx val="1"/>
          <c:order val="1"/>
          <c:tx>
            <c:strRef>
              <c:f>LCA!$C$83</c:f>
              <c:strCache>
                <c:ptCount val="1"/>
                <c:pt idx="0">
                  <c:v>Water (Irrigation)</c:v>
                </c:pt>
              </c:strCache>
            </c:strRef>
          </c:tx>
          <c:spPr>
            <a:solidFill>
              <a:srgbClr val="002A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LCA!$D$83:$M$83</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BB29-48F3-B671-7DA230BF6D27}"/>
            </c:ext>
          </c:extLst>
        </c:ser>
        <c:ser>
          <c:idx val="2"/>
          <c:order val="2"/>
          <c:tx>
            <c:strRef>
              <c:f>LCA!$C$84</c:f>
              <c:strCache>
                <c:ptCount val="1"/>
                <c:pt idx="0">
                  <c:v>N Fert</c:v>
                </c:pt>
              </c:strCache>
            </c:strRef>
          </c:tx>
          <c:spPr>
            <a:solidFill>
              <a:srgbClr val="0064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LCA!$D$84:$M$84</c:f>
              <c:numCache>
                <c:formatCode>0.00E+00</c:formatCode>
                <c:ptCount val="10"/>
                <c:pt idx="0">
                  <c:v>0.16533358233780249</c:v>
                </c:pt>
                <c:pt idx="1">
                  <c:v>0.38393071230439568</c:v>
                </c:pt>
                <c:pt idx="2">
                  <c:v>0.21060708026361491</c:v>
                </c:pt>
                <c:pt idx="3">
                  <c:v>0.15431549692609803</c:v>
                </c:pt>
                <c:pt idx="4">
                  <c:v>0.74473100514813095</c:v>
                </c:pt>
                <c:pt idx="5">
                  <c:v>0.40481831065431073</c:v>
                </c:pt>
                <c:pt idx="6">
                  <c:v>0.25294106935011906</c:v>
                </c:pt>
                <c:pt idx="7">
                  <c:v>0.10696227989531758</c:v>
                </c:pt>
                <c:pt idx="8">
                  <c:v>0.27556651160494461</c:v>
                </c:pt>
                <c:pt idx="9">
                  <c:v>1.5897549195097722</c:v>
                </c:pt>
              </c:numCache>
            </c:numRef>
          </c:val>
          <c:extLst>
            <c:ext xmlns:c16="http://schemas.microsoft.com/office/drawing/2014/chart" uri="{C3380CC4-5D6E-409C-BE32-E72D297353CC}">
              <c16:uniqueId val="{00000002-BB29-48F3-B671-7DA230BF6D27}"/>
            </c:ext>
          </c:extLst>
        </c:ser>
        <c:ser>
          <c:idx val="3"/>
          <c:order val="3"/>
          <c:tx>
            <c:strRef>
              <c:f>LCA!$C$85</c:f>
              <c:strCache>
                <c:ptCount val="1"/>
                <c:pt idx="0">
                  <c:v>P Fert</c:v>
                </c:pt>
              </c:strCache>
            </c:strRef>
          </c:tx>
          <c:spPr>
            <a:solidFill>
              <a:srgbClr val="00A8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LCA!$D$85:$M$85</c:f>
              <c:numCache>
                <c:formatCode>0.00E+00</c:formatCode>
                <c:ptCount val="10"/>
                <c:pt idx="0">
                  <c:v>7.414801034518974E-3</c:v>
                </c:pt>
                <c:pt idx="1">
                  <c:v>2.3023861693578694E-2</c:v>
                </c:pt>
                <c:pt idx="2">
                  <c:v>1.885663346454701E-2</c:v>
                </c:pt>
                <c:pt idx="3">
                  <c:v>5.0377803722716948E-3</c:v>
                </c:pt>
                <c:pt idx="4">
                  <c:v>4.6102221317170129E-2</c:v>
                </c:pt>
                <c:pt idx="5">
                  <c:v>2.9069017786741182E-2</c:v>
                </c:pt>
                <c:pt idx="6">
                  <c:v>5.5693361127264517E-3</c:v>
                </c:pt>
                <c:pt idx="7">
                  <c:v>1.5346471546793061E-2</c:v>
                </c:pt>
                <c:pt idx="8">
                  <c:v>5.7963385182313873E-3</c:v>
                </c:pt>
                <c:pt idx="9">
                  <c:v>8.8028883805082628E-2</c:v>
                </c:pt>
              </c:numCache>
            </c:numRef>
          </c:val>
          <c:extLst>
            <c:ext xmlns:c16="http://schemas.microsoft.com/office/drawing/2014/chart" uri="{C3380CC4-5D6E-409C-BE32-E72D297353CC}">
              <c16:uniqueId val="{00000003-BB29-48F3-B671-7DA230BF6D27}"/>
            </c:ext>
          </c:extLst>
        </c:ser>
        <c:ser>
          <c:idx val="4"/>
          <c:order val="4"/>
          <c:tx>
            <c:strRef>
              <c:f>LCA!$C$86</c:f>
              <c:strCache>
                <c:ptCount val="1"/>
                <c:pt idx="0">
                  <c:v>K Fert</c:v>
                </c:pt>
              </c:strCache>
            </c:strRef>
          </c:tx>
          <c:spPr>
            <a:solidFill>
              <a:srgbClr val="00FA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LCA!$D$86:$M$86</c:f>
              <c:numCache>
                <c:formatCode>0.00E+00</c:formatCode>
                <c:ptCount val="10"/>
                <c:pt idx="0">
                  <c:v>8.786531159601341E-3</c:v>
                </c:pt>
                <c:pt idx="1">
                  <c:v>7.8087863040013361E-2</c:v>
                </c:pt>
                <c:pt idx="2">
                  <c:v>2.9147988086739112E-2</c:v>
                </c:pt>
                <c:pt idx="3">
                  <c:v>1.1450564493704024E-2</c:v>
                </c:pt>
                <c:pt idx="4">
                  <c:v>0.14156331834803301</c:v>
                </c:pt>
                <c:pt idx="5">
                  <c:v>8.3924402264087011E-2</c:v>
                </c:pt>
                <c:pt idx="6">
                  <c:v>1.8690187071823093E-2</c:v>
                </c:pt>
                <c:pt idx="7">
                  <c:v>1.2639265634595767E-2</c:v>
                </c:pt>
                <c:pt idx="8">
                  <c:v>1.6646688486252729E-2</c:v>
                </c:pt>
                <c:pt idx="9">
                  <c:v>8.4114574280883134E-2</c:v>
                </c:pt>
              </c:numCache>
            </c:numRef>
          </c:val>
          <c:extLst>
            <c:ext xmlns:c16="http://schemas.microsoft.com/office/drawing/2014/chart" uri="{C3380CC4-5D6E-409C-BE32-E72D297353CC}">
              <c16:uniqueId val="{00000004-BB29-48F3-B671-7DA230BF6D27}"/>
            </c:ext>
          </c:extLst>
        </c:ser>
        <c:ser>
          <c:idx val="5"/>
          <c:order val="5"/>
          <c:tx>
            <c:strRef>
              <c:f>LCA!$C$87</c:f>
              <c:strCache>
                <c:ptCount val="1"/>
                <c:pt idx="0">
                  <c:v>Lime</c:v>
                </c:pt>
              </c:strCache>
            </c:strRef>
          </c:tx>
          <c:spPr>
            <a:solidFill>
              <a:srgbClr val="2DFF2D"/>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LCA!$D$87:$M$87</c:f>
              <c:numCache>
                <c:formatCode>0.00E+00</c:formatCode>
                <c:ptCount val="10"/>
                <c:pt idx="0">
                  <c:v>8.0648601997287864E-2</c:v>
                </c:pt>
                <c:pt idx="1">
                  <c:v>1.9728843698390622E-2</c:v>
                </c:pt>
                <c:pt idx="2">
                  <c:v>3.0220412970943449E-2</c:v>
                </c:pt>
                <c:pt idx="3">
                  <c:v>0.12570641021828091</c:v>
                </c:pt>
                <c:pt idx="4">
                  <c:v>9.1349404055650646E-2</c:v>
                </c:pt>
                <c:pt idx="5">
                  <c:v>1.6585526630532366E-2</c:v>
                </c:pt>
                <c:pt idx="6">
                  <c:v>0.10509433751740078</c:v>
                </c:pt>
                <c:pt idx="7">
                  <c:v>0.13243245875270379</c:v>
                </c:pt>
                <c:pt idx="8">
                  <c:v>6.2103504404608538E-2</c:v>
                </c:pt>
                <c:pt idx="9">
                  <c:v>0.36764727091025567</c:v>
                </c:pt>
              </c:numCache>
            </c:numRef>
          </c:val>
          <c:extLst>
            <c:ext xmlns:c16="http://schemas.microsoft.com/office/drawing/2014/chart" uri="{C3380CC4-5D6E-409C-BE32-E72D297353CC}">
              <c16:uniqueId val="{00000005-BB29-48F3-B671-7DA230BF6D27}"/>
            </c:ext>
          </c:extLst>
        </c:ser>
        <c:ser>
          <c:idx val="6"/>
          <c:order val="6"/>
          <c:tx>
            <c:strRef>
              <c:f>LCA!$C$88</c:f>
              <c:strCache>
                <c:ptCount val="1"/>
                <c:pt idx="0">
                  <c:v>Atrazine</c:v>
                </c:pt>
              </c:strCache>
            </c:strRef>
          </c:tx>
          <c:spPr>
            <a:solidFill>
              <a:srgbClr val="57FF57"/>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LCA!$D$88:$M$88</c:f>
              <c:numCache>
                <c:formatCode>0.00E+00</c:formatCode>
                <c:ptCount val="10"/>
                <c:pt idx="0">
                  <c:v>2.5281584357061708E-3</c:v>
                </c:pt>
                <c:pt idx="1">
                  <c:v>1.0166305189339473E-2</c:v>
                </c:pt>
                <c:pt idx="2">
                  <c:v>8.9961686129709038E-3</c:v>
                </c:pt>
                <c:pt idx="3">
                  <c:v>3.0464534050600161E-3</c:v>
                </c:pt>
                <c:pt idx="4">
                  <c:v>2.7299038465147349E-2</c:v>
                </c:pt>
                <c:pt idx="5">
                  <c:v>1.0720589097377348E-2</c:v>
                </c:pt>
                <c:pt idx="6">
                  <c:v>6.1694690207860555E-3</c:v>
                </c:pt>
                <c:pt idx="7">
                  <c:v>3.2920346778859562E-3</c:v>
                </c:pt>
                <c:pt idx="8">
                  <c:v>3.8757582699943437E-3</c:v>
                </c:pt>
                <c:pt idx="9">
                  <c:v>2.9539787625115277E-2</c:v>
                </c:pt>
              </c:numCache>
            </c:numRef>
          </c:val>
          <c:extLst>
            <c:ext xmlns:c16="http://schemas.microsoft.com/office/drawing/2014/chart" uri="{C3380CC4-5D6E-409C-BE32-E72D297353CC}">
              <c16:uniqueId val="{00000006-BB29-48F3-B671-7DA230BF6D27}"/>
            </c:ext>
          </c:extLst>
        </c:ser>
        <c:ser>
          <c:idx val="7"/>
          <c:order val="7"/>
          <c:tx>
            <c:strRef>
              <c:f>LCA!$C$89</c:f>
              <c:strCache>
                <c:ptCount val="1"/>
                <c:pt idx="0">
                  <c:v>Tillage</c:v>
                </c:pt>
              </c:strCache>
            </c:strRef>
          </c:tx>
          <c:spPr>
            <a:solidFill>
              <a:schemeClr val="accent2">
                <a:lumMod val="5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LCA!$D$89:$M$89</c:f>
              <c:numCache>
                <c:formatCode>0.00E+00</c:formatCode>
                <c:ptCount val="10"/>
                <c:pt idx="0">
                  <c:v>2.0534261822667314E-2</c:v>
                </c:pt>
                <c:pt idx="1">
                  <c:v>5.3709468804261251E-2</c:v>
                </c:pt>
                <c:pt idx="2">
                  <c:v>3.2523302425726819E-2</c:v>
                </c:pt>
                <c:pt idx="3">
                  <c:v>1.6267827854700937E-2</c:v>
                </c:pt>
                <c:pt idx="4">
                  <c:v>0.26097535932624372</c:v>
                </c:pt>
                <c:pt idx="5">
                  <c:v>4.4811995397993694E-2</c:v>
                </c:pt>
                <c:pt idx="6">
                  <c:v>2.0084059337384851E-2</c:v>
                </c:pt>
                <c:pt idx="7">
                  <c:v>4.9017038198592836E-2</c:v>
                </c:pt>
                <c:pt idx="8">
                  <c:v>1.5107948057372592E-2</c:v>
                </c:pt>
                <c:pt idx="9">
                  <c:v>0.25480890224396846</c:v>
                </c:pt>
              </c:numCache>
            </c:numRef>
          </c:val>
          <c:extLst>
            <c:ext xmlns:c16="http://schemas.microsoft.com/office/drawing/2014/chart" uri="{C3380CC4-5D6E-409C-BE32-E72D297353CC}">
              <c16:uniqueId val="{00000007-BB29-48F3-B671-7DA230BF6D27}"/>
            </c:ext>
          </c:extLst>
        </c:ser>
        <c:ser>
          <c:idx val="8"/>
          <c:order val="8"/>
          <c:tx>
            <c:strRef>
              <c:f>LCA!$C$90</c:f>
              <c:strCache>
                <c:ptCount val="1"/>
                <c:pt idx="0">
                  <c:v>Fertilizer Application</c:v>
                </c:pt>
              </c:strCache>
            </c:strRef>
          </c:tx>
          <c:spPr>
            <a:solidFill>
              <a:schemeClr val="accent2">
                <a:lumMod val="75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LCA!$D$90:$M$90</c:f>
              <c:numCache>
                <c:formatCode>0.00E+00</c:formatCode>
                <c:ptCount val="10"/>
                <c:pt idx="0">
                  <c:v>7.3842056863131309E-3</c:v>
                </c:pt>
                <c:pt idx="1">
                  <c:v>1.6533808762783375E-2</c:v>
                </c:pt>
                <c:pt idx="2">
                  <c:v>9.6792626407045633E-3</c:v>
                </c:pt>
                <c:pt idx="3">
                  <c:v>4.9103646271911432E-3</c:v>
                </c:pt>
                <c:pt idx="4">
                  <c:v>5.1163104768167475E-2</c:v>
                </c:pt>
                <c:pt idx="5">
                  <c:v>1.689473175054881E-2</c:v>
                </c:pt>
                <c:pt idx="6">
                  <c:v>7.9030606470731745E-3</c:v>
                </c:pt>
                <c:pt idx="7">
                  <c:v>1.950743252494213E-2</c:v>
                </c:pt>
                <c:pt idx="8">
                  <c:v>5.935956095105754E-3</c:v>
                </c:pt>
                <c:pt idx="9">
                  <c:v>6.4994640243166132E-2</c:v>
                </c:pt>
              </c:numCache>
            </c:numRef>
          </c:val>
          <c:extLst>
            <c:ext xmlns:c16="http://schemas.microsoft.com/office/drawing/2014/chart" uri="{C3380CC4-5D6E-409C-BE32-E72D297353CC}">
              <c16:uniqueId val="{00000008-BB29-48F3-B671-7DA230BF6D27}"/>
            </c:ext>
          </c:extLst>
        </c:ser>
        <c:ser>
          <c:idx val="9"/>
          <c:order val="9"/>
          <c:tx>
            <c:strRef>
              <c:f>LCA!$C$91</c:f>
              <c:strCache>
                <c:ptCount val="1"/>
                <c:pt idx="0">
                  <c:v>Planting/Seeding</c:v>
                </c:pt>
              </c:strCache>
            </c:strRef>
          </c:tx>
          <c:spPr>
            <a:solidFill>
              <a:schemeClr val="accent2">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LCA!$D$91:$M$91</c:f>
              <c:numCache>
                <c:formatCode>0.00E+00</c:formatCode>
                <c:ptCount val="10"/>
                <c:pt idx="0">
                  <c:v>5.0083537808632665E-2</c:v>
                </c:pt>
                <c:pt idx="1">
                  <c:v>0.10847982202001513</c:v>
                </c:pt>
                <c:pt idx="2">
                  <c:v>6.3416319473405827E-2</c:v>
                </c:pt>
                <c:pt idx="3">
                  <c:v>3.2411945905261537E-2</c:v>
                </c:pt>
                <c:pt idx="4">
                  <c:v>0.32714422896053935</c:v>
                </c:pt>
                <c:pt idx="5">
                  <c:v>0.11158297261636717</c:v>
                </c:pt>
                <c:pt idx="6">
                  <c:v>5.2799381056886592E-2</c:v>
                </c:pt>
                <c:pt idx="7">
                  <c:v>0.13459241623324042</c:v>
                </c:pt>
                <c:pt idx="8">
                  <c:v>3.9591859418522994E-2</c:v>
                </c:pt>
                <c:pt idx="9">
                  <c:v>0.24310401455635477</c:v>
                </c:pt>
              </c:numCache>
            </c:numRef>
          </c:val>
          <c:extLst>
            <c:ext xmlns:c16="http://schemas.microsoft.com/office/drawing/2014/chart" uri="{C3380CC4-5D6E-409C-BE32-E72D297353CC}">
              <c16:uniqueId val="{00000009-BB29-48F3-B671-7DA230BF6D27}"/>
            </c:ext>
          </c:extLst>
        </c:ser>
        <c:ser>
          <c:idx val="10"/>
          <c:order val="10"/>
          <c:tx>
            <c:strRef>
              <c:f>LCA!$C$92</c:f>
              <c:strCache>
                <c:ptCount val="1"/>
                <c:pt idx="0">
                  <c:v>Swathing</c:v>
                </c:pt>
              </c:strCache>
            </c:strRef>
          </c:tx>
          <c:spPr>
            <a:solidFill>
              <a:schemeClr val="accent2">
                <a:lumMod val="40000"/>
                <a:lumOff val="6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LCA!$D$92:$M$92</c:f>
              <c:numCache>
                <c:formatCode>0.00E+00</c:formatCode>
                <c:ptCount val="10"/>
                <c:pt idx="0">
                  <c:v>1.6955653286916325E-2</c:v>
                </c:pt>
                <c:pt idx="1">
                  <c:v>1.5390525099981175E-2</c:v>
                </c:pt>
                <c:pt idx="2">
                  <c:v>1.258125970026233E-2</c:v>
                </c:pt>
                <c:pt idx="3">
                  <c:v>9.5682554431289792E-3</c:v>
                </c:pt>
                <c:pt idx="4">
                  <c:v>5.4744295100760614E-2</c:v>
                </c:pt>
                <c:pt idx="5">
                  <c:v>1.5154735907365486E-2</c:v>
                </c:pt>
                <c:pt idx="6">
                  <c:v>1.8358079132915574E-2</c:v>
                </c:pt>
                <c:pt idx="7">
                  <c:v>5.2115861362883861E-2</c:v>
                </c:pt>
                <c:pt idx="8">
                  <c:v>1.3400206789315763E-2</c:v>
                </c:pt>
                <c:pt idx="9">
                  <c:v>0.12121061472062199</c:v>
                </c:pt>
              </c:numCache>
            </c:numRef>
          </c:val>
          <c:extLst>
            <c:ext xmlns:c16="http://schemas.microsoft.com/office/drawing/2014/chart" uri="{C3380CC4-5D6E-409C-BE32-E72D297353CC}">
              <c16:uniqueId val="{0000000A-BB29-48F3-B671-7DA230BF6D27}"/>
            </c:ext>
          </c:extLst>
        </c:ser>
        <c:ser>
          <c:idx val="11"/>
          <c:order val="11"/>
          <c:tx>
            <c:strRef>
              <c:f>LCA!$C$93</c:f>
              <c:strCache>
                <c:ptCount val="1"/>
                <c:pt idx="0">
                  <c:v>Drying of Stillage</c:v>
                </c:pt>
              </c:strCache>
            </c:strRef>
          </c:tx>
          <c:spPr>
            <a:solidFill>
              <a:schemeClr val="accent2">
                <a:lumMod val="20000"/>
                <a:lumOff val="8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LCA!$D$93:$M$93</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BB29-48F3-B671-7DA230BF6D27}"/>
            </c:ext>
          </c:extLst>
        </c:ser>
        <c:ser>
          <c:idx val="12"/>
          <c:order val="12"/>
          <c:tx>
            <c:strRef>
              <c:f>LCA!$C$94</c:f>
              <c:strCache>
                <c:ptCount val="1"/>
                <c:pt idx="0">
                  <c:v>Baling</c:v>
                </c:pt>
              </c:strCache>
            </c:strRef>
          </c:tx>
          <c:spPr>
            <a:solidFill>
              <a:schemeClr val="accent2">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LCA!$D$94:$M$94</c:f>
              <c:numCache>
                <c:formatCode>0.00E+00</c:formatCode>
                <c:ptCount val="10"/>
                <c:pt idx="0">
                  <c:v>1.7033839260562657E-2</c:v>
                </c:pt>
                <c:pt idx="1">
                  <c:v>2.4836625090573668E-2</c:v>
                </c:pt>
                <c:pt idx="2">
                  <c:v>1.7616952881817218E-2</c:v>
                </c:pt>
                <c:pt idx="3">
                  <c:v>1.1110141126906076E-2</c:v>
                </c:pt>
                <c:pt idx="4">
                  <c:v>0.10242270694778223</c:v>
                </c:pt>
                <c:pt idx="5">
                  <c:v>2.3233303593506748E-2</c:v>
                </c:pt>
                <c:pt idx="6">
                  <c:v>1.8825987797846191E-2</c:v>
                </c:pt>
                <c:pt idx="7">
                  <c:v>4.8104046470575534E-2</c:v>
                </c:pt>
                <c:pt idx="8">
                  <c:v>1.3898437315985182E-2</c:v>
                </c:pt>
                <c:pt idx="9">
                  <c:v>0.17019491942174717</c:v>
                </c:pt>
              </c:numCache>
            </c:numRef>
          </c:val>
          <c:extLst>
            <c:ext xmlns:c16="http://schemas.microsoft.com/office/drawing/2014/chart" uri="{C3380CC4-5D6E-409C-BE32-E72D297353CC}">
              <c16:uniqueId val="{0000000C-BB29-48F3-B671-7DA230BF6D27}"/>
            </c:ext>
          </c:extLst>
        </c:ser>
        <c:ser>
          <c:idx val="13"/>
          <c:order val="13"/>
          <c:tx>
            <c:strRef>
              <c:f>LCA!$C$95</c:f>
              <c:strCache>
                <c:ptCount val="1"/>
                <c:pt idx="0">
                  <c:v>Bale Loading</c:v>
                </c:pt>
              </c:strCache>
            </c:strRef>
          </c:tx>
          <c:spPr>
            <a:solidFill>
              <a:schemeClr val="accent2">
                <a:lumMod val="75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LCA!$D$95:$M$95</c:f>
              <c:numCache>
                <c:formatCode>0.00E+00</c:formatCode>
                <c:ptCount val="10"/>
                <c:pt idx="0">
                  <c:v>6.1439331023082069E-3</c:v>
                </c:pt>
                <c:pt idx="1">
                  <c:v>3.1666363842447619E-3</c:v>
                </c:pt>
                <c:pt idx="2">
                  <c:v>3.5871623515012423E-3</c:v>
                </c:pt>
                <c:pt idx="3">
                  <c:v>3.5245441319453636E-3</c:v>
                </c:pt>
                <c:pt idx="4">
                  <c:v>1.1334132526570785E-2</c:v>
                </c:pt>
                <c:pt idx="5">
                  <c:v>3.1131656558896856E-3</c:v>
                </c:pt>
                <c:pt idx="6">
                  <c:v>7.3874902097861321E-3</c:v>
                </c:pt>
                <c:pt idx="7">
                  <c:v>1.9351677608925921E-2</c:v>
                </c:pt>
                <c:pt idx="8">
                  <c:v>5.3516676565921678E-3</c:v>
                </c:pt>
                <c:pt idx="9">
                  <c:v>5.0913010083428641E-2</c:v>
                </c:pt>
              </c:numCache>
            </c:numRef>
          </c:val>
          <c:extLst>
            <c:ext xmlns:c16="http://schemas.microsoft.com/office/drawing/2014/chart" uri="{C3380CC4-5D6E-409C-BE32-E72D297353CC}">
              <c16:uniqueId val="{0000000D-BB29-48F3-B671-7DA230BF6D27}"/>
            </c:ext>
          </c:extLst>
        </c:ser>
        <c:ser>
          <c:idx val="14"/>
          <c:order val="14"/>
          <c:tx>
            <c:strRef>
              <c:f>LCA!$C$96</c:f>
              <c:strCache>
                <c:ptCount val="1"/>
                <c:pt idx="0">
                  <c:v>Additional Diesel Use</c:v>
                </c:pt>
              </c:strCache>
            </c:strRef>
          </c:tx>
          <c:spPr>
            <a:solidFill>
              <a:schemeClr val="accent2">
                <a:lumMod val="75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LCA!$D$96:$M$96</c:f>
              <c:numCache>
                <c:formatCode>0.00E+00</c:formatCode>
                <c:ptCount val="10"/>
                <c:pt idx="0">
                  <c:v>2.5416167528386976E-2</c:v>
                </c:pt>
                <c:pt idx="1">
                  <c:v>5.5976257777480082E-2</c:v>
                </c:pt>
                <c:pt idx="2">
                  <c:v>3.7594237278401256E-2</c:v>
                </c:pt>
                <c:pt idx="3">
                  <c:v>2.0449457116988975E-2</c:v>
                </c:pt>
                <c:pt idx="4">
                  <c:v>0.34426914950951143</c:v>
                </c:pt>
                <c:pt idx="5">
                  <c:v>5.4109114357107795E-2</c:v>
                </c:pt>
                <c:pt idx="6">
                  <c:v>2.4960750420417684E-2</c:v>
                </c:pt>
                <c:pt idx="7">
                  <c:v>5.649329895565447E-2</c:v>
                </c:pt>
                <c:pt idx="8">
                  <c:v>1.9129089958950081E-2</c:v>
                </c:pt>
                <c:pt idx="9">
                  <c:v>0.28538873047178631</c:v>
                </c:pt>
              </c:numCache>
            </c:numRef>
          </c:val>
          <c:extLst>
            <c:ext xmlns:c16="http://schemas.microsoft.com/office/drawing/2014/chart" uri="{C3380CC4-5D6E-409C-BE32-E72D297353CC}">
              <c16:uniqueId val="{0000000E-BB29-48F3-B671-7DA230BF6D27}"/>
            </c:ext>
          </c:extLst>
        </c:ser>
        <c:ser>
          <c:idx val="15"/>
          <c:order val="15"/>
          <c:tx>
            <c:strRef>
              <c:f>LCA!$C$97</c:f>
              <c:strCache>
                <c:ptCount val="1"/>
                <c:pt idx="0">
                  <c:v>Transportation</c:v>
                </c:pt>
              </c:strCache>
            </c:strRef>
          </c:tx>
          <c:spPr>
            <a:solidFill>
              <a:schemeClr val="accent2">
                <a:lumMod val="5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LCA!$D$97:$M$97</c:f>
              <c:numCache>
                <c:formatCode>0.00E+00</c:formatCode>
                <c:ptCount val="10"/>
                <c:pt idx="0">
                  <c:v>1.5825513314037795E-2</c:v>
                </c:pt>
                <c:pt idx="1">
                  <c:v>2.3513483442285796E-2</c:v>
                </c:pt>
                <c:pt idx="2">
                  <c:v>1.1713397543852059E-2</c:v>
                </c:pt>
                <c:pt idx="3">
                  <c:v>1.2887698570851895E-2</c:v>
                </c:pt>
                <c:pt idx="4">
                  <c:v>6.5285639629064501E-2</c:v>
                </c:pt>
                <c:pt idx="5">
                  <c:v>2.0453507078075056E-2</c:v>
                </c:pt>
                <c:pt idx="6">
                  <c:v>2.9393812025866075E-2</c:v>
                </c:pt>
                <c:pt idx="7">
                  <c:v>4.6933524499759793E-2</c:v>
                </c:pt>
                <c:pt idx="8">
                  <c:v>2.1308177494842751E-2</c:v>
                </c:pt>
                <c:pt idx="9">
                  <c:v>8.8093321175654327E-2</c:v>
                </c:pt>
              </c:numCache>
            </c:numRef>
          </c:val>
          <c:extLst>
            <c:ext xmlns:c16="http://schemas.microsoft.com/office/drawing/2014/chart" uri="{C3380CC4-5D6E-409C-BE32-E72D297353CC}">
              <c16:uniqueId val="{0000000F-BB29-48F3-B671-7DA230BF6D27}"/>
            </c:ext>
          </c:extLst>
        </c:ser>
        <c:ser>
          <c:idx val="16"/>
          <c:order val="16"/>
          <c:tx>
            <c:strRef>
              <c:f>LCA!$C$98</c:f>
              <c:strCache>
                <c:ptCount val="1"/>
                <c:pt idx="0">
                  <c:v>Steam Heat</c:v>
                </c:pt>
              </c:strCache>
            </c:strRef>
          </c:tx>
          <c:spPr>
            <a:solidFill>
              <a:srgbClr val="000054"/>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LCA!$D$98:$M$98</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10-BB29-48F3-B671-7DA230BF6D27}"/>
            </c:ext>
          </c:extLst>
        </c:ser>
        <c:ser>
          <c:idx val="17"/>
          <c:order val="17"/>
          <c:tx>
            <c:strRef>
              <c:f>LCA!$C$99</c:f>
              <c:strCache>
                <c:ptCount val="1"/>
                <c:pt idx="0">
                  <c:v>Electricity</c:v>
                </c:pt>
              </c:strCache>
            </c:strRef>
          </c:tx>
          <c:spPr>
            <a:solidFill>
              <a:srgbClr val="0000B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LCA!$D$99:$M$99</c:f>
              <c:numCache>
                <c:formatCode>0.00E+00</c:formatCode>
                <c:ptCount val="10"/>
                <c:pt idx="0">
                  <c:v>-0.15401458250208724</c:v>
                </c:pt>
                <c:pt idx="1">
                  <c:v>-1.1410204671346413</c:v>
                </c:pt>
                <c:pt idx="2">
                  <c:v>-1.7369824346645257</c:v>
                </c:pt>
                <c:pt idx="3">
                  <c:v>-0.21641560890595243</c:v>
                </c:pt>
                <c:pt idx="4">
                  <c:v>-4.0209524512028443</c:v>
                </c:pt>
                <c:pt idx="5">
                  <c:v>-1.0351879734329743</c:v>
                </c:pt>
                <c:pt idx="6">
                  <c:v>-8.2226376448394145E-2</c:v>
                </c:pt>
                <c:pt idx="7">
                  <c:v>-0.15047549216642384</c:v>
                </c:pt>
                <c:pt idx="8">
                  <c:v>-3.7490165524717727E-2</c:v>
                </c:pt>
                <c:pt idx="9">
                  <c:v>-8.9422159427028287</c:v>
                </c:pt>
              </c:numCache>
            </c:numRef>
          </c:val>
          <c:extLst>
            <c:ext xmlns:c16="http://schemas.microsoft.com/office/drawing/2014/chart" uri="{C3380CC4-5D6E-409C-BE32-E72D297353CC}">
              <c16:uniqueId val="{00000011-BB29-48F3-B671-7DA230BF6D27}"/>
            </c:ext>
          </c:extLst>
        </c:ser>
        <c:ser>
          <c:idx val="18"/>
          <c:order val="18"/>
          <c:tx>
            <c:strRef>
              <c:f>LCA!$C$100</c:f>
              <c:strCache>
                <c:ptCount val="1"/>
                <c:pt idx="0">
                  <c:v>Water (Dilution)</c:v>
                </c:pt>
              </c:strCache>
            </c:strRef>
          </c:tx>
          <c:spPr>
            <a:solidFill>
              <a:srgbClr val="4343FF"/>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LCA!$D$100:$M$100</c:f>
              <c:numCache>
                <c:formatCode>0.00E+00</c:formatCode>
                <c:ptCount val="10"/>
                <c:pt idx="0">
                  <c:v>2.1865368415903003E-2</c:v>
                </c:pt>
                <c:pt idx="1">
                  <c:v>5.3823939431023371E-2</c:v>
                </c:pt>
                <c:pt idx="2">
                  <c:v>6.7886955123026005E-2</c:v>
                </c:pt>
                <c:pt idx="3">
                  <c:v>2.4665610561481612E-2</c:v>
                </c:pt>
                <c:pt idx="4">
                  <c:v>0.23366653849469618</c:v>
                </c:pt>
                <c:pt idx="5">
                  <c:v>5.7342094388753472E-3</c:v>
                </c:pt>
                <c:pt idx="6">
                  <c:v>1.3042745188328937E-2</c:v>
                </c:pt>
                <c:pt idx="7">
                  <c:v>2.6822178341389703E-2</c:v>
                </c:pt>
                <c:pt idx="8">
                  <c:v>1.2034531774602295E-2</c:v>
                </c:pt>
                <c:pt idx="9">
                  <c:v>0.40932055005364126</c:v>
                </c:pt>
              </c:numCache>
            </c:numRef>
          </c:val>
          <c:extLst>
            <c:ext xmlns:c16="http://schemas.microsoft.com/office/drawing/2014/chart" uri="{C3380CC4-5D6E-409C-BE32-E72D297353CC}">
              <c16:uniqueId val="{00000012-BB29-48F3-B671-7DA230BF6D27}"/>
            </c:ext>
          </c:extLst>
        </c:ser>
        <c:ser>
          <c:idx val="19"/>
          <c:order val="19"/>
          <c:tx>
            <c:strRef>
              <c:f>LCA!$C$101</c:f>
              <c:strCache>
                <c:ptCount val="1"/>
                <c:pt idx="0">
                  <c:v>H2SO4</c:v>
                </c:pt>
              </c:strCache>
            </c:strRef>
          </c:tx>
          <c:spPr>
            <a:solidFill>
              <a:srgbClr val="7D7DFF"/>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LCA!$D$101:$M$101</c:f>
              <c:numCache>
                <c:formatCode>0.00E+00</c:formatCode>
                <c:ptCount val="10"/>
                <c:pt idx="0">
                  <c:v>0.1882163026670341</c:v>
                </c:pt>
                <c:pt idx="1">
                  <c:v>0.18577596993836099</c:v>
                </c:pt>
                <c:pt idx="2">
                  <c:v>7.3011249261298553E-2</c:v>
                </c:pt>
                <c:pt idx="3">
                  <c:v>1.4957886327725049E-2</c:v>
                </c:pt>
                <c:pt idx="4">
                  <c:v>0.3019757468413044</c:v>
                </c:pt>
                <c:pt idx="5">
                  <c:v>0.19692933186977071</c:v>
                </c:pt>
                <c:pt idx="6">
                  <c:v>6.0526430962917904E-2</c:v>
                </c:pt>
                <c:pt idx="7">
                  <c:v>5.4606858583424053E-2</c:v>
                </c:pt>
                <c:pt idx="8">
                  <c:v>9.6327172685562554E-2</c:v>
                </c:pt>
                <c:pt idx="9">
                  <c:v>0.74610511485986963</c:v>
                </c:pt>
              </c:numCache>
            </c:numRef>
          </c:val>
          <c:extLst>
            <c:ext xmlns:c16="http://schemas.microsoft.com/office/drawing/2014/chart" uri="{C3380CC4-5D6E-409C-BE32-E72D297353CC}">
              <c16:uniqueId val="{00000013-BB29-48F3-B671-7DA230BF6D27}"/>
            </c:ext>
          </c:extLst>
        </c:ser>
        <c:ser>
          <c:idx val="20"/>
          <c:order val="20"/>
          <c:tx>
            <c:strRef>
              <c:f>LCA!$C$102</c:f>
              <c:strCache>
                <c:ptCount val="1"/>
                <c:pt idx="0">
                  <c:v>NH3</c:v>
                </c:pt>
              </c:strCache>
            </c:strRef>
          </c:tx>
          <c:spPr>
            <a:solidFill>
              <a:srgbClr val="C1C1FF"/>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LCA!$D$102:$M$102</c:f>
              <c:numCache>
                <c:formatCode>0.00E+00</c:formatCode>
                <c:ptCount val="10"/>
                <c:pt idx="0">
                  <c:v>5.6407314837682999E-2</c:v>
                </c:pt>
                <c:pt idx="1">
                  <c:v>0.17326493812671034</c:v>
                </c:pt>
                <c:pt idx="2">
                  <c:v>8.4523611699786005E-2</c:v>
                </c:pt>
                <c:pt idx="3">
                  <c:v>0.12055674346270352</c:v>
                </c:pt>
                <c:pt idx="4">
                  <c:v>0.32030897628565091</c:v>
                </c:pt>
                <c:pt idx="5">
                  <c:v>0.17592914555446659</c:v>
                </c:pt>
                <c:pt idx="6">
                  <c:v>0.20641834434912834</c:v>
                </c:pt>
                <c:pt idx="7">
                  <c:v>6.8476752776583466E-2</c:v>
                </c:pt>
                <c:pt idx="8">
                  <c:v>0.25240919459390998</c:v>
                </c:pt>
                <c:pt idx="9">
                  <c:v>0.52676509992640752</c:v>
                </c:pt>
              </c:numCache>
            </c:numRef>
          </c:val>
          <c:extLst>
            <c:ext xmlns:c16="http://schemas.microsoft.com/office/drawing/2014/chart" uri="{C3380CC4-5D6E-409C-BE32-E72D297353CC}">
              <c16:uniqueId val="{00000014-BB29-48F3-B671-7DA230BF6D27}"/>
            </c:ext>
          </c:extLst>
        </c:ser>
        <c:ser>
          <c:idx val="21"/>
          <c:order val="21"/>
          <c:tx>
            <c:strRef>
              <c:f>LCA!$C$103</c:f>
              <c:strCache>
                <c:ptCount val="1"/>
                <c:pt idx="0">
                  <c:v>Glucose </c:v>
                </c:pt>
              </c:strCache>
            </c:strRef>
          </c:tx>
          <c:spPr>
            <a:solidFill>
              <a:srgbClr val="F3F3FF"/>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LCA!$D$103:$M$103</c:f>
              <c:numCache>
                <c:formatCode>0.00E+00</c:formatCode>
                <c:ptCount val="10"/>
                <c:pt idx="0">
                  <c:v>0.24675445790353273</c:v>
                </c:pt>
                <c:pt idx="1">
                  <c:v>0.87512769475277796</c:v>
                </c:pt>
                <c:pt idx="2">
                  <c:v>1.8527620637545026</c:v>
                </c:pt>
                <c:pt idx="3">
                  <c:v>0.18386834693634774</c:v>
                </c:pt>
                <c:pt idx="4">
                  <c:v>1.775736473348339</c:v>
                </c:pt>
                <c:pt idx="5">
                  <c:v>0.7868770819743417</c:v>
                </c:pt>
                <c:pt idx="6">
                  <c:v>0.17571879676891788</c:v>
                </c:pt>
                <c:pt idx="7">
                  <c:v>0.22277349034436425</c:v>
                </c:pt>
                <c:pt idx="8">
                  <c:v>0.14099796409067467</c:v>
                </c:pt>
                <c:pt idx="9">
                  <c:v>2.018702775824603</c:v>
                </c:pt>
              </c:numCache>
            </c:numRef>
          </c:val>
          <c:extLst>
            <c:ext xmlns:c16="http://schemas.microsoft.com/office/drawing/2014/chart" uri="{C3380CC4-5D6E-409C-BE32-E72D297353CC}">
              <c16:uniqueId val="{00000015-BB29-48F3-B671-7DA230BF6D27}"/>
            </c:ext>
          </c:extLst>
        </c:ser>
        <c:ser>
          <c:idx val="22"/>
          <c:order val="22"/>
          <c:tx>
            <c:strRef>
              <c:f>LCA!$C$104</c:f>
              <c:strCache>
                <c:ptCount val="1"/>
                <c:pt idx="0">
                  <c:v>SO2</c:v>
                </c:pt>
              </c:strCache>
            </c:strRef>
          </c:tx>
          <c:spPr>
            <a:solidFill>
              <a:schemeClr val="accent5">
                <a:lumMod val="8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LCA!$D$104:$M$104</c:f>
              <c:numCache>
                <c:formatCode>0.00E+00</c:formatCode>
                <c:ptCount val="10"/>
                <c:pt idx="0">
                  <c:v>7.8555719225457087E-3</c:v>
                </c:pt>
                <c:pt idx="1">
                  <c:v>2.2811155566875899E-3</c:v>
                </c:pt>
                <c:pt idx="2">
                  <c:v>1.5035978633285464E-3</c:v>
                </c:pt>
                <c:pt idx="3">
                  <c:v>3.1582449121426987E-4</c:v>
                </c:pt>
                <c:pt idx="4">
                  <c:v>4.7922268800132863E-3</c:v>
                </c:pt>
                <c:pt idx="5">
                  <c:v>2.3547507505135771E-3</c:v>
                </c:pt>
                <c:pt idx="6">
                  <c:v>9.9895730758319153E-4</c:v>
                </c:pt>
                <c:pt idx="7">
                  <c:v>2.8908378645384615E-4</c:v>
                </c:pt>
                <c:pt idx="8">
                  <c:v>1.5053383204930648E-3</c:v>
                </c:pt>
                <c:pt idx="9">
                  <c:v>2.9054776438469546E-2</c:v>
                </c:pt>
              </c:numCache>
            </c:numRef>
          </c:val>
          <c:extLst>
            <c:ext xmlns:c16="http://schemas.microsoft.com/office/drawing/2014/chart" uri="{C3380CC4-5D6E-409C-BE32-E72D297353CC}">
              <c16:uniqueId val="{00000016-BB29-48F3-B671-7DA230BF6D27}"/>
            </c:ext>
          </c:extLst>
        </c:ser>
        <c:ser>
          <c:idx val="23"/>
          <c:order val="23"/>
          <c:tx>
            <c:strRef>
              <c:f>LCA!$C$105</c:f>
              <c:strCache>
                <c:ptCount val="1"/>
                <c:pt idx="0">
                  <c:v>CSL</c:v>
                </c:pt>
              </c:strCache>
            </c:strRef>
          </c:tx>
          <c:spPr>
            <a:solidFill>
              <a:schemeClr val="accent6">
                <a:lumMod val="8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LCA!$D$105:$M$105</c:f>
              <c:numCache>
                <c:formatCode>0.00E+00</c:formatCode>
                <c:ptCount val="10"/>
                <c:pt idx="0">
                  <c:v>0.12835509555306812</c:v>
                </c:pt>
                <c:pt idx="1">
                  <c:v>2.6801360753595193E-7</c:v>
                </c:pt>
                <c:pt idx="2">
                  <c:v>8.3572546846518454E-3</c:v>
                </c:pt>
                <c:pt idx="3">
                  <c:v>6.845888380032888E-4</c:v>
                </c:pt>
                <c:pt idx="4">
                  <c:v>4.2142824239243165E-7</c:v>
                </c:pt>
                <c:pt idx="5">
                  <c:v>3.9262039930698953E-9</c:v>
                </c:pt>
                <c:pt idx="6">
                  <c:v>0</c:v>
                </c:pt>
                <c:pt idx="7">
                  <c:v>1.2197882403336914E-3</c:v>
                </c:pt>
                <c:pt idx="8">
                  <c:v>6.8787264665819614E-4</c:v>
                </c:pt>
                <c:pt idx="9">
                  <c:v>0.44444494960642672</c:v>
                </c:pt>
              </c:numCache>
            </c:numRef>
          </c:val>
          <c:extLst>
            <c:ext xmlns:c16="http://schemas.microsoft.com/office/drawing/2014/chart" uri="{C3380CC4-5D6E-409C-BE32-E72D297353CC}">
              <c16:uniqueId val="{00000017-BB29-48F3-B671-7DA230BF6D27}"/>
            </c:ext>
          </c:extLst>
        </c:ser>
        <c:ser>
          <c:idx val="24"/>
          <c:order val="24"/>
          <c:tx>
            <c:strRef>
              <c:f>LCA!$C$106</c:f>
              <c:strCache>
                <c:ptCount val="1"/>
                <c:pt idx="0">
                  <c:v>Ammonium Sulfate</c:v>
                </c:pt>
              </c:strCache>
            </c:strRef>
          </c:tx>
          <c:spPr>
            <a:solidFill>
              <a:schemeClr val="accent1">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LCA!$D$106:$M$106</c:f>
              <c:numCache>
                <c:formatCode>0.00E+00</c:formatCode>
                <c:ptCount val="10"/>
                <c:pt idx="0">
                  <c:v>1.7465364092678667E-3</c:v>
                </c:pt>
                <c:pt idx="1">
                  <c:v>9.8551305301488E-3</c:v>
                </c:pt>
                <c:pt idx="2">
                  <c:v>4.3245566880766246E-3</c:v>
                </c:pt>
                <c:pt idx="3">
                  <c:v>1.9545283779808182E-3</c:v>
                </c:pt>
                <c:pt idx="4">
                  <c:v>1.8737011730071671E-2</c:v>
                </c:pt>
                <c:pt idx="5">
                  <c:v>1.0635056774700549E-2</c:v>
                </c:pt>
                <c:pt idx="6">
                  <c:v>1.4647648569408357E-3</c:v>
                </c:pt>
                <c:pt idx="7">
                  <c:v>1.7089650881829685E-3</c:v>
                </c:pt>
                <c:pt idx="8">
                  <c:v>1.8382228698955465E-3</c:v>
                </c:pt>
                <c:pt idx="9">
                  <c:v>1.5231662998899125E-2</c:v>
                </c:pt>
              </c:numCache>
            </c:numRef>
          </c:val>
          <c:extLst>
            <c:ext xmlns:c16="http://schemas.microsoft.com/office/drawing/2014/chart" uri="{C3380CC4-5D6E-409C-BE32-E72D297353CC}">
              <c16:uniqueId val="{00000018-BB29-48F3-B671-7DA230BF6D27}"/>
            </c:ext>
          </c:extLst>
        </c:ser>
        <c:ser>
          <c:idx val="25"/>
          <c:order val="25"/>
          <c:tx>
            <c:strRef>
              <c:f>LCA!$C$107</c:f>
              <c:strCache>
                <c:ptCount val="1"/>
                <c:pt idx="0">
                  <c:v>Magnesium Sulfate</c:v>
                </c:pt>
              </c:strCache>
            </c:strRef>
          </c:tx>
          <c:spPr>
            <a:solidFill>
              <a:schemeClr val="accent2">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LCA!$D$107:$M$107</c:f>
              <c:numCache>
                <c:formatCode>0.00E+00</c:formatCode>
                <c:ptCount val="10"/>
                <c:pt idx="0">
                  <c:v>8.6216457002003896E-5</c:v>
                </c:pt>
                <c:pt idx="1">
                  <c:v>1.9118191231996489E-4</c:v>
                </c:pt>
                <c:pt idx="2">
                  <c:v>2.4979017713397188E-4</c:v>
                </c:pt>
                <c:pt idx="3">
                  <c:v>9.2601848056628614E-5</c:v>
                </c:pt>
                <c:pt idx="4">
                  <c:v>8.0860413924500483E-4</c:v>
                </c:pt>
                <c:pt idx="5">
                  <c:v>2.0358104315707699E-4</c:v>
                </c:pt>
                <c:pt idx="6">
                  <c:v>4.2073636114026229E-5</c:v>
                </c:pt>
                <c:pt idx="7">
                  <c:v>1.1061565845581125E-4</c:v>
                </c:pt>
                <c:pt idx="8">
                  <c:v>4.4753437969064346E-5</c:v>
                </c:pt>
                <c:pt idx="9">
                  <c:v>1.8683172841014197E-3</c:v>
                </c:pt>
              </c:numCache>
            </c:numRef>
          </c:val>
          <c:extLst>
            <c:ext xmlns:c16="http://schemas.microsoft.com/office/drawing/2014/chart" uri="{C3380CC4-5D6E-409C-BE32-E72D297353CC}">
              <c16:uniqueId val="{00000019-BB29-48F3-B671-7DA230BF6D27}"/>
            </c:ext>
          </c:extLst>
        </c:ser>
        <c:ser>
          <c:idx val="26"/>
          <c:order val="26"/>
          <c:tx>
            <c:strRef>
              <c:f>LCA!$C$108</c:f>
              <c:strCache>
                <c:ptCount val="1"/>
                <c:pt idx="0">
                  <c:v>Calcium Chloride</c:v>
                </c:pt>
              </c:strCache>
            </c:strRef>
          </c:tx>
          <c:spPr>
            <a:solidFill>
              <a:schemeClr val="accent3">
                <a:lumMod val="60000"/>
                <a:lumOff val="40000"/>
              </a:schemeClr>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LCA!$D$108:$M$108</c:f>
              <c:numCache>
                <c:formatCode>0.00E+00</c:formatCode>
                <c:ptCount val="10"/>
                <c:pt idx="0">
                  <c:v>3.7470050644808096E-4</c:v>
                </c:pt>
                <c:pt idx="1">
                  <c:v>1.224154184169716E-3</c:v>
                </c:pt>
                <c:pt idx="2">
                  <c:v>7.1039970102858003E-4</c:v>
                </c:pt>
                <c:pt idx="3">
                  <c:v>2.1667823052978495E-4</c:v>
                </c:pt>
                <c:pt idx="4">
                  <c:v>2.5018665283314712E-3</c:v>
                </c:pt>
                <c:pt idx="5">
                  <c:v>1.321200496907938E-3</c:v>
                </c:pt>
                <c:pt idx="6">
                  <c:v>8.8860991343101819E-5</c:v>
                </c:pt>
                <c:pt idx="7">
                  <c:v>2.3434246890349588E-4</c:v>
                </c:pt>
                <c:pt idx="8">
                  <c:v>7.2701838039329576E-5</c:v>
                </c:pt>
                <c:pt idx="9">
                  <c:v>2.2860508173685747E-3</c:v>
                </c:pt>
              </c:numCache>
            </c:numRef>
          </c:val>
          <c:extLst>
            <c:ext xmlns:c16="http://schemas.microsoft.com/office/drawing/2014/chart" uri="{C3380CC4-5D6E-409C-BE32-E72D297353CC}">
              <c16:uniqueId val="{0000001A-BB29-48F3-B671-7DA230BF6D27}"/>
            </c:ext>
          </c:extLst>
        </c:ser>
        <c:ser>
          <c:idx val="27"/>
          <c:order val="27"/>
          <c:tx>
            <c:strRef>
              <c:f>LCA!$C$111</c:f>
              <c:strCache>
                <c:ptCount val="1"/>
                <c:pt idx="0">
                  <c:v>Fuel Use</c:v>
                </c:pt>
              </c:strCache>
            </c:strRef>
          </c:tx>
          <c:spPr>
            <a:solidFill>
              <a:srgbClr val="FF0000"/>
            </a:solidFill>
            <a:ln>
              <a:noFill/>
            </a:ln>
            <a:effectLst/>
          </c:spPr>
          <c:invertIfNegative val="0"/>
          <c:cat>
            <c:strRef>
              <c:f>LCA!$D$81:$M$81</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LCA!$D$111:$M$111</c:f>
              <c:numCache>
                <c:formatCode>0.00E+00</c:formatCode>
                <c:ptCount val="10"/>
                <c:pt idx="0">
                  <c:v>0</c:v>
                </c:pt>
                <c:pt idx="1">
                  <c:v>0</c:v>
                </c:pt>
                <c:pt idx="2">
                  <c:v>0</c:v>
                </c:pt>
                <c:pt idx="3">
                  <c:v>7.0828264858974241E-2</c:v>
                </c:pt>
                <c:pt idx="4">
                  <c:v>0</c:v>
                </c:pt>
                <c:pt idx="5">
                  <c:v>0</c:v>
                </c:pt>
                <c:pt idx="6">
                  <c:v>0</c:v>
                </c:pt>
                <c:pt idx="7">
                  <c:v>0</c:v>
                </c:pt>
                <c:pt idx="8">
                  <c:v>0</c:v>
                </c:pt>
                <c:pt idx="9">
                  <c:v>0</c:v>
                </c:pt>
              </c:numCache>
            </c:numRef>
          </c:val>
          <c:extLst>
            <c:ext xmlns:c16="http://schemas.microsoft.com/office/drawing/2014/chart" uri="{C3380CC4-5D6E-409C-BE32-E72D297353CC}">
              <c16:uniqueId val="{0000001C-BB29-48F3-B671-7DA230BF6D27}"/>
            </c:ext>
          </c:extLst>
        </c:ser>
        <c:dLbls>
          <c:showLegendKey val="0"/>
          <c:showVal val="0"/>
          <c:showCatName val="0"/>
          <c:showSerName val="0"/>
          <c:showPercent val="0"/>
          <c:showBubbleSize val="0"/>
        </c:dLbls>
        <c:gapWidth val="219"/>
        <c:overlap val="100"/>
        <c:axId val="519107800"/>
        <c:axId val="519109368"/>
      </c:barChart>
      <c:catAx>
        <c:axId val="519107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900" b="0" i="0" u="none" strike="noStrike" kern="1200" baseline="0">
                <a:ln>
                  <a:noFill/>
                </a:ln>
                <a:solidFill>
                  <a:srgbClr val="00B0F0"/>
                </a:solidFill>
                <a:latin typeface="+mn-lt"/>
                <a:ea typeface="+mn-ea"/>
                <a:cs typeface="+mn-cs"/>
              </a:defRPr>
            </a:pPr>
            <a:endParaRPr lang="en-US"/>
          </a:p>
        </c:txPr>
        <c:crossAx val="519109368"/>
        <c:crosses val="autoZero"/>
        <c:auto val="1"/>
        <c:lblAlgn val="ctr"/>
        <c:lblOffset val="100"/>
        <c:noMultiLvlLbl val="0"/>
      </c:catAx>
      <c:valAx>
        <c:axId val="5191093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107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Feedstock</a:t>
            </a:r>
            <a:r>
              <a:rPr lang="en-US" baseline="0"/>
              <a:t> Production Analysis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0"/>
          <c:order val="0"/>
          <c:tx>
            <c:strRef>
              <c:f>LCA!$R$70</c:f>
              <c:strCache>
                <c:ptCount val="1"/>
                <c:pt idx="0">
                  <c:v>Corn Seeds</c:v>
                </c:pt>
              </c:strCache>
            </c:strRef>
          </c:tx>
          <c:spPr>
            <a:solidFill>
              <a:srgbClr val="000054"/>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LCA!$S$70:$AB$70</c:f>
              <c:numCache>
                <c:formatCode>0.00E+00</c:formatCode>
                <c:ptCount val="10"/>
                <c:pt idx="0">
                  <c:v>0.68265742212674729</c:v>
                </c:pt>
                <c:pt idx="1">
                  <c:v>66.762409538131223</c:v>
                </c:pt>
                <c:pt idx="2">
                  <c:v>0.63877482993197454</c:v>
                </c:pt>
                <c:pt idx="3">
                  <c:v>29.272166237021203</c:v>
                </c:pt>
                <c:pt idx="4">
                  <c:v>9.9622508524883915E-7</c:v>
                </c:pt>
                <c:pt idx="5">
                  <c:v>2.8038322223415757E-6</c:v>
                </c:pt>
                <c:pt idx="6">
                  <c:v>1.5687212758324425E-6</c:v>
                </c:pt>
                <c:pt idx="7">
                  <c:v>2.0134678088077389</c:v>
                </c:pt>
                <c:pt idx="8">
                  <c:v>14.786487164339459</c:v>
                </c:pt>
                <c:pt idx="9">
                  <c:v>3.9989781596849371E-2</c:v>
                </c:pt>
              </c:numCache>
            </c:numRef>
          </c:val>
          <c:extLst>
            <c:ext xmlns:c16="http://schemas.microsoft.com/office/drawing/2014/chart" uri="{C3380CC4-5D6E-409C-BE32-E72D297353CC}">
              <c16:uniqueId val="{00000000-D346-4DAF-A46C-211CC53792D2}"/>
            </c:ext>
          </c:extLst>
        </c:ser>
        <c:ser>
          <c:idx val="1"/>
          <c:order val="1"/>
          <c:tx>
            <c:strRef>
              <c:f>LCA!$R$71</c:f>
              <c:strCache>
                <c:ptCount val="1"/>
                <c:pt idx="0">
                  <c:v>Water (Irrigation)</c:v>
                </c:pt>
              </c:strCache>
            </c:strRef>
          </c:tx>
          <c:spPr>
            <a:solidFill>
              <a:srgbClr val="0000CC"/>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LCA!$S$71:$AB$71</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1-D346-4DAF-A46C-211CC53792D2}"/>
            </c:ext>
          </c:extLst>
        </c:ser>
        <c:ser>
          <c:idx val="2"/>
          <c:order val="2"/>
          <c:tx>
            <c:strRef>
              <c:f>LCA!$R$72</c:f>
              <c:strCache>
                <c:ptCount val="1"/>
                <c:pt idx="0">
                  <c:v>N Fert</c:v>
                </c:pt>
              </c:strCache>
            </c:strRef>
          </c:tx>
          <c:spPr>
            <a:solidFill>
              <a:srgbClr val="4343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LCA!$S$72:$AB$72</c:f>
              <c:numCache>
                <c:formatCode>0.00E+00</c:formatCode>
                <c:ptCount val="10"/>
                <c:pt idx="0">
                  <c:v>2.9207970000000003</c:v>
                </c:pt>
                <c:pt idx="1">
                  <c:v>1936.0720764</c:v>
                </c:pt>
                <c:pt idx="2">
                  <c:v>0.94562820000000003</c:v>
                </c:pt>
                <c:pt idx="3">
                  <c:v>541.94500800000003</c:v>
                </c:pt>
                <c:pt idx="4">
                  <c:v>1.5091386948000001E-5</c:v>
                </c:pt>
                <c:pt idx="5">
                  <c:v>9.0197922870000001E-5</c:v>
                </c:pt>
                <c:pt idx="6">
                  <c:v>9.6392755800000013E-5</c:v>
                </c:pt>
                <c:pt idx="7">
                  <c:v>17.392458600000001</c:v>
                </c:pt>
                <c:pt idx="8">
                  <c:v>1216.5539067</c:v>
                </c:pt>
                <c:pt idx="9">
                  <c:v>0.48895110000000003</c:v>
                </c:pt>
              </c:numCache>
            </c:numRef>
          </c:val>
          <c:extLst>
            <c:ext xmlns:c16="http://schemas.microsoft.com/office/drawing/2014/chart" uri="{C3380CC4-5D6E-409C-BE32-E72D297353CC}">
              <c16:uniqueId val="{00000002-D346-4DAF-A46C-211CC53792D2}"/>
            </c:ext>
          </c:extLst>
        </c:ser>
        <c:ser>
          <c:idx val="3"/>
          <c:order val="3"/>
          <c:tx>
            <c:strRef>
              <c:f>LCA!$R$73</c:f>
              <c:strCache>
                <c:ptCount val="1"/>
                <c:pt idx="0">
                  <c:v>P Fert</c:v>
                </c:pt>
              </c:strCache>
            </c:strRef>
          </c:tx>
          <c:spPr>
            <a:solidFill>
              <a:srgbClr val="7D7D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LCA!$S$73:$AB$73</c:f>
              <c:numCache>
                <c:formatCode>0.00E+00</c:formatCode>
                <c:ptCount val="10"/>
                <c:pt idx="0">
                  <c:v>0.13099050000000001</c:v>
                </c:pt>
                <c:pt idx="1">
                  <c:v>116.10390700000001</c:v>
                </c:pt>
                <c:pt idx="2">
                  <c:v>8.4666500000000006E-2</c:v>
                </c:pt>
                <c:pt idx="3">
                  <c:v>17.692325</c:v>
                </c:pt>
                <c:pt idx="4">
                  <c:v>9.3422518500000008E-7</c:v>
                </c:pt>
                <c:pt idx="5">
                  <c:v>6.4768933500000004E-6</c:v>
                </c:pt>
                <c:pt idx="6">
                  <c:v>2.1224060499999999E-6</c:v>
                </c:pt>
                <c:pt idx="7">
                  <c:v>2.4953925000000003</c:v>
                </c:pt>
                <c:pt idx="8">
                  <c:v>25.589314999999999</c:v>
                </c:pt>
                <c:pt idx="9">
                  <c:v>2.7074500000000001E-2</c:v>
                </c:pt>
              </c:numCache>
            </c:numRef>
          </c:val>
          <c:extLst>
            <c:ext xmlns:c16="http://schemas.microsoft.com/office/drawing/2014/chart" uri="{C3380CC4-5D6E-409C-BE32-E72D297353CC}">
              <c16:uniqueId val="{00000003-D346-4DAF-A46C-211CC53792D2}"/>
            </c:ext>
          </c:extLst>
        </c:ser>
        <c:ser>
          <c:idx val="4"/>
          <c:order val="4"/>
          <c:tx>
            <c:strRef>
              <c:f>LCA!$R$74</c:f>
              <c:strCache>
                <c:ptCount val="1"/>
                <c:pt idx="0">
                  <c:v>K Fert</c:v>
                </c:pt>
              </c:strCache>
            </c:strRef>
          </c:tx>
          <c:spPr>
            <a:solidFill>
              <a:srgbClr val="C1C1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LCA!$S$74:$AB$74</c:f>
              <c:numCache>
                <c:formatCode>0.00E+00</c:formatCode>
                <c:ptCount val="10"/>
                <c:pt idx="0">
                  <c:v>0.15522360000000002</c:v>
                </c:pt>
                <c:pt idx="1">
                  <c:v>393.77868530000001</c:v>
                </c:pt>
                <c:pt idx="2">
                  <c:v>0.13087480000000001</c:v>
                </c:pt>
                <c:pt idx="3">
                  <c:v>40.213565000000003</c:v>
                </c:pt>
                <c:pt idx="4">
                  <c:v>2.8686690900000001E-6</c:v>
                </c:pt>
                <c:pt idx="5">
                  <c:v>1.8699269679999999E-5</c:v>
                </c:pt>
                <c:pt idx="6">
                  <c:v>7.1226022840000005E-6</c:v>
                </c:pt>
                <c:pt idx="7">
                  <c:v>2.0551908999999999</c:v>
                </c:pt>
                <c:pt idx="8">
                  <c:v>73.490765600000003</c:v>
                </c:pt>
                <c:pt idx="9">
                  <c:v>2.5870600000000004E-2</c:v>
                </c:pt>
              </c:numCache>
            </c:numRef>
          </c:val>
          <c:extLst>
            <c:ext xmlns:c16="http://schemas.microsoft.com/office/drawing/2014/chart" uri="{C3380CC4-5D6E-409C-BE32-E72D297353CC}">
              <c16:uniqueId val="{00000004-D346-4DAF-A46C-211CC53792D2}"/>
            </c:ext>
          </c:extLst>
        </c:ser>
        <c:ser>
          <c:idx val="5"/>
          <c:order val="5"/>
          <c:tx>
            <c:strRef>
              <c:f>LCA!$R$75</c:f>
              <c:strCache>
                <c:ptCount val="1"/>
                <c:pt idx="0">
                  <c:v>Lime</c:v>
                </c:pt>
              </c:strCache>
            </c:strRef>
          </c:tx>
          <c:spPr>
            <a:solidFill>
              <a:srgbClr val="F3F3FF"/>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LCA!$S$75:$AB$75</c:f>
              <c:numCache>
                <c:formatCode>0.00E+00</c:formatCode>
                <c:ptCount val="10"/>
                <c:pt idx="0">
                  <c:v>1.4247450000000002</c:v>
                </c:pt>
                <c:pt idx="1">
                  <c:v>99.487908000000004</c:v>
                </c:pt>
                <c:pt idx="2">
                  <c:v>0.13569000000000001</c:v>
                </c:pt>
                <c:pt idx="3">
                  <c:v>441.47193800000002</c:v>
                </c:pt>
                <c:pt idx="4">
                  <c:v>1.8511236870000002E-6</c:v>
                </c:pt>
                <c:pt idx="5">
                  <c:v>3.6954357360000003E-6</c:v>
                </c:pt>
                <c:pt idx="6">
                  <c:v>4.0050169939999997E-5</c:v>
                </c:pt>
                <c:pt idx="7">
                  <c:v>21.534003000000002</c:v>
                </c:pt>
                <c:pt idx="8">
                  <c:v>274.17069099999998</c:v>
                </c:pt>
                <c:pt idx="9">
                  <c:v>0.11307500000000001</c:v>
                </c:pt>
              </c:numCache>
            </c:numRef>
          </c:val>
          <c:extLst>
            <c:ext xmlns:c16="http://schemas.microsoft.com/office/drawing/2014/chart" uri="{C3380CC4-5D6E-409C-BE32-E72D297353CC}">
              <c16:uniqueId val="{00000005-D346-4DAF-A46C-211CC53792D2}"/>
            </c:ext>
          </c:extLst>
        </c:ser>
        <c:ser>
          <c:idx val="6"/>
          <c:order val="6"/>
          <c:tx>
            <c:strRef>
              <c:f>LCA!$R$76</c:f>
              <c:strCache>
                <c:ptCount val="1"/>
                <c:pt idx="0">
                  <c:v>Atrazine</c:v>
                </c:pt>
              </c:strCache>
            </c:strRef>
          </c:tx>
          <c:spPr>
            <a:solidFill>
              <a:schemeClr val="accent1">
                <a:lumMod val="40000"/>
                <a:lumOff val="6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LCA!$S$76:$AB$76</c:f>
              <c:numCache>
                <c:formatCode>0.00E+00</c:formatCode>
                <c:ptCount val="10"/>
                <c:pt idx="0">
                  <c:v>4.466266E-2</c:v>
                </c:pt>
                <c:pt idx="1">
                  <c:v>51.266280520000002</c:v>
                </c:pt>
                <c:pt idx="2">
                  <c:v>4.0392900000000009E-2</c:v>
                </c:pt>
                <c:pt idx="3">
                  <c:v>10.698926860000002</c:v>
                </c:pt>
                <c:pt idx="4">
                  <c:v>5.531935020000001E-7</c:v>
                </c:pt>
                <c:pt idx="5">
                  <c:v>2.3886638599999999E-6</c:v>
                </c:pt>
                <c:pt idx="6">
                  <c:v>2.35110938E-6</c:v>
                </c:pt>
                <c:pt idx="7">
                  <c:v>0.53529690000000008</c:v>
                </c:pt>
                <c:pt idx="8">
                  <c:v>17.1104567</c:v>
                </c:pt>
                <c:pt idx="9">
                  <c:v>9.0853700000000006E-3</c:v>
                </c:pt>
              </c:numCache>
            </c:numRef>
          </c:val>
          <c:extLst>
            <c:ext xmlns:c16="http://schemas.microsoft.com/office/drawing/2014/chart" uri="{C3380CC4-5D6E-409C-BE32-E72D297353CC}">
              <c16:uniqueId val="{00000006-D346-4DAF-A46C-211CC53792D2}"/>
            </c:ext>
          </c:extLst>
        </c:ser>
        <c:ser>
          <c:idx val="7"/>
          <c:order val="7"/>
          <c:tx>
            <c:strRef>
              <c:f>LCA!$R$77</c:f>
              <c:strCache>
                <c:ptCount val="1"/>
                <c:pt idx="0">
                  <c:v>Tillage</c:v>
                </c:pt>
              </c:strCache>
            </c:strRef>
          </c:tx>
          <c:spPr>
            <a:solidFill>
              <a:schemeClr val="accent2">
                <a:lumMod val="5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LCA!$S$77:$AB$77</c:f>
              <c:numCache>
                <c:formatCode>0.00E+00</c:formatCode>
                <c:ptCount val="10"/>
                <c:pt idx="0">
                  <c:v>0.36276000000000003</c:v>
                </c:pt>
                <c:pt idx="1">
                  <c:v>270.84419000000003</c:v>
                </c:pt>
                <c:pt idx="2">
                  <c:v>0.14602999999999999</c:v>
                </c:pt>
                <c:pt idx="3">
                  <c:v>57.131450000000001</c:v>
                </c:pt>
                <c:pt idx="4">
                  <c:v>5.28846E-6</c:v>
                </c:pt>
                <c:pt idx="5">
                  <c:v>9.9845999999999992E-6</c:v>
                </c:pt>
                <c:pt idx="6">
                  <c:v>7.6537900000000005E-6</c:v>
                </c:pt>
                <c:pt idx="7">
                  <c:v>7.9703499999999998</c:v>
                </c:pt>
                <c:pt idx="8">
                  <c:v>66.697630000000004</c:v>
                </c:pt>
                <c:pt idx="9">
                  <c:v>7.8369999999999995E-2</c:v>
                </c:pt>
              </c:numCache>
            </c:numRef>
          </c:val>
          <c:extLst>
            <c:ext xmlns:c16="http://schemas.microsoft.com/office/drawing/2014/chart" uri="{C3380CC4-5D6E-409C-BE32-E72D297353CC}">
              <c16:uniqueId val="{00000007-D346-4DAF-A46C-211CC53792D2}"/>
            </c:ext>
          </c:extLst>
        </c:ser>
        <c:ser>
          <c:idx val="8"/>
          <c:order val="8"/>
          <c:tx>
            <c:strRef>
              <c:f>LCA!$R$78</c:f>
              <c:strCache>
                <c:ptCount val="1"/>
                <c:pt idx="0">
                  <c:v>Fertilizer Application</c:v>
                </c:pt>
              </c:strCache>
            </c:strRef>
          </c:tx>
          <c:spPr>
            <a:solidFill>
              <a:schemeClr val="accent2">
                <a:lumMod val="75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LCA!$S$78:$AB$78</c:f>
              <c:numCache>
                <c:formatCode>0.00E+00</c:formatCode>
                <c:ptCount val="10"/>
                <c:pt idx="0">
                  <c:v>0.13045000000000001</c:v>
                </c:pt>
                <c:pt idx="1">
                  <c:v>83.376099999999994</c:v>
                </c:pt>
                <c:pt idx="2">
                  <c:v>4.3459999999999999E-2</c:v>
                </c:pt>
                <c:pt idx="3">
                  <c:v>17.24485</c:v>
                </c:pt>
                <c:pt idx="4">
                  <c:v>1.03678E-6</c:v>
                </c:pt>
                <c:pt idx="5">
                  <c:v>3.7643300000000001E-6</c:v>
                </c:pt>
                <c:pt idx="6">
                  <c:v>3.0117599999999999E-6</c:v>
                </c:pt>
                <c:pt idx="7">
                  <c:v>3.17198</c:v>
                </c:pt>
                <c:pt idx="8">
                  <c:v>26.205690000000001</c:v>
                </c:pt>
                <c:pt idx="9">
                  <c:v>1.9990000000000001E-2</c:v>
                </c:pt>
              </c:numCache>
            </c:numRef>
          </c:val>
          <c:extLst>
            <c:ext xmlns:c16="http://schemas.microsoft.com/office/drawing/2014/chart" uri="{C3380CC4-5D6E-409C-BE32-E72D297353CC}">
              <c16:uniqueId val="{00000008-D346-4DAF-A46C-211CC53792D2}"/>
            </c:ext>
          </c:extLst>
        </c:ser>
        <c:ser>
          <c:idx val="9"/>
          <c:order val="9"/>
          <c:tx>
            <c:strRef>
              <c:f>LCA!$R$79</c:f>
              <c:strCache>
                <c:ptCount val="1"/>
                <c:pt idx="0">
                  <c:v>Planting/Seeding</c:v>
                </c:pt>
              </c:strCache>
            </c:strRef>
          </c:tx>
          <c:spPr>
            <a:solidFill>
              <a:schemeClr val="accent2">
                <a:lumMod val="60000"/>
                <a:lumOff val="4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LCA!$S$79:$AB$79</c:f>
              <c:numCache>
                <c:formatCode>0.00E+00</c:formatCode>
                <c:ptCount val="10"/>
                <c:pt idx="0">
                  <c:v>0.88478000000000001</c:v>
                </c:pt>
                <c:pt idx="1">
                  <c:v>547.03817000000004</c:v>
                </c:pt>
                <c:pt idx="2">
                  <c:v>0.28473999999999999</c:v>
                </c:pt>
                <c:pt idx="3">
                  <c:v>113.82844</c:v>
                </c:pt>
                <c:pt idx="4">
                  <c:v>6.6293199999999999E-6</c:v>
                </c:pt>
                <c:pt idx="5">
                  <c:v>2.48619E-5</c:v>
                </c:pt>
                <c:pt idx="6">
                  <c:v>2.01212E-5</c:v>
                </c:pt>
                <c:pt idx="7">
                  <c:v>21.88522</c:v>
                </c:pt>
                <c:pt idx="8">
                  <c:v>174.78767999999999</c:v>
                </c:pt>
                <c:pt idx="9">
                  <c:v>7.4770000000000003E-2</c:v>
                </c:pt>
              </c:numCache>
            </c:numRef>
          </c:val>
          <c:extLst>
            <c:ext xmlns:c16="http://schemas.microsoft.com/office/drawing/2014/chart" uri="{C3380CC4-5D6E-409C-BE32-E72D297353CC}">
              <c16:uniqueId val="{00000009-D346-4DAF-A46C-211CC53792D2}"/>
            </c:ext>
          </c:extLst>
        </c:ser>
        <c:ser>
          <c:idx val="10"/>
          <c:order val="10"/>
          <c:tx>
            <c:strRef>
              <c:f>LCA!$R$80</c:f>
              <c:strCache>
                <c:ptCount val="1"/>
                <c:pt idx="0">
                  <c:v>Swathing</c:v>
                </c:pt>
              </c:strCache>
            </c:strRef>
          </c:tx>
          <c:spPr>
            <a:solidFill>
              <a:schemeClr val="accent2">
                <a:lumMod val="40000"/>
                <a:lumOff val="6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LCA!$S$80:$AB$80</c:f>
              <c:numCache>
                <c:formatCode>0.00E+00</c:formatCode>
                <c:ptCount val="10"/>
                <c:pt idx="0">
                  <c:v>0.29953999999999997</c:v>
                </c:pt>
                <c:pt idx="1">
                  <c:v>77.610789999999994</c:v>
                </c:pt>
                <c:pt idx="2">
                  <c:v>5.6489999999999999E-2</c:v>
                </c:pt>
                <c:pt idx="3">
                  <c:v>33.603029999999997</c:v>
                </c:pt>
                <c:pt idx="4">
                  <c:v>1.10935E-6</c:v>
                </c:pt>
                <c:pt idx="5">
                  <c:v>3.3766399999999998E-6</c:v>
                </c:pt>
                <c:pt idx="6">
                  <c:v>6.9960399999999999E-6</c:v>
                </c:pt>
                <c:pt idx="7">
                  <c:v>8.4742300000000004</c:v>
                </c:pt>
                <c:pt idx="8">
                  <c:v>59.1584</c:v>
                </c:pt>
                <c:pt idx="9">
                  <c:v>3.7280000000000001E-2</c:v>
                </c:pt>
              </c:numCache>
            </c:numRef>
          </c:val>
          <c:extLst>
            <c:ext xmlns:c16="http://schemas.microsoft.com/office/drawing/2014/chart" uri="{C3380CC4-5D6E-409C-BE32-E72D297353CC}">
              <c16:uniqueId val="{0000000A-D346-4DAF-A46C-211CC53792D2}"/>
            </c:ext>
          </c:extLst>
        </c:ser>
        <c:ser>
          <c:idx val="11"/>
          <c:order val="11"/>
          <c:tx>
            <c:strRef>
              <c:f>LCA!$R$81</c:f>
              <c:strCache>
                <c:ptCount val="1"/>
                <c:pt idx="0">
                  <c:v>Drying of Stillage</c:v>
                </c:pt>
              </c:strCache>
            </c:strRef>
          </c:tx>
          <c:spPr>
            <a:solidFill>
              <a:schemeClr val="accent2">
                <a:lumMod val="20000"/>
                <a:lumOff val="8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LCA!$S$81:$AB$81</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B-D346-4DAF-A46C-211CC53792D2}"/>
            </c:ext>
          </c:extLst>
        </c:ser>
        <c:ser>
          <c:idx val="12"/>
          <c:order val="12"/>
          <c:tx>
            <c:strRef>
              <c:f>LCA!$R$82</c:f>
              <c:strCache>
                <c:ptCount val="1"/>
                <c:pt idx="0">
                  <c:v>Baling</c:v>
                </c:pt>
              </c:strCache>
            </c:strRef>
          </c:tx>
          <c:spPr>
            <a:solidFill>
              <a:schemeClr val="accent2">
                <a:lumMod val="40000"/>
                <a:lumOff val="6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LCA!$S$82:$AB$82</c:f>
              <c:numCache>
                <c:formatCode>0.00E+00</c:formatCode>
                <c:ptCount val="10"/>
                <c:pt idx="0">
                  <c:v>0.30092124000000003</c:v>
                </c:pt>
                <c:pt idx="1">
                  <c:v>125.24524547999999</c:v>
                </c:pt>
                <c:pt idx="2">
                  <c:v>7.9100320000000016E-2</c:v>
                </c:pt>
                <c:pt idx="3">
                  <c:v>39.018022440000003</c:v>
                </c:pt>
                <c:pt idx="4">
                  <c:v>2.0755154440000004E-6</c:v>
                </c:pt>
                <c:pt idx="5">
                  <c:v>5.1766327519999999E-6</c:v>
                </c:pt>
                <c:pt idx="6">
                  <c:v>7.1743542840000001E-6</c:v>
                </c:pt>
                <c:pt idx="7">
                  <c:v>7.8218942</c:v>
                </c:pt>
                <c:pt idx="8">
                  <c:v>61.357957160000005</c:v>
                </c:pt>
                <c:pt idx="9">
                  <c:v>5.2345800000000005E-2</c:v>
                </c:pt>
              </c:numCache>
            </c:numRef>
          </c:val>
          <c:extLst>
            <c:ext xmlns:c16="http://schemas.microsoft.com/office/drawing/2014/chart" uri="{C3380CC4-5D6E-409C-BE32-E72D297353CC}">
              <c16:uniqueId val="{0000000C-D346-4DAF-A46C-211CC53792D2}"/>
            </c:ext>
          </c:extLst>
        </c:ser>
        <c:ser>
          <c:idx val="13"/>
          <c:order val="13"/>
          <c:tx>
            <c:strRef>
              <c:f>LCA!$R$83</c:f>
              <c:strCache>
                <c:ptCount val="1"/>
                <c:pt idx="0">
                  <c:v>Bale Loading</c:v>
                </c:pt>
              </c:strCache>
            </c:strRef>
          </c:tx>
          <c:spPr>
            <a:solidFill>
              <a:schemeClr val="accent2">
                <a:lumMod val="60000"/>
                <a:lumOff val="4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LCA!$S$83:$AB$83</c:f>
              <c:numCache>
                <c:formatCode>0.00E+00</c:formatCode>
                <c:ptCount val="10"/>
                <c:pt idx="0">
                  <c:v>0.10853924000000001</c:v>
                </c:pt>
                <c:pt idx="1">
                  <c:v>15.968600800000001</c:v>
                </c:pt>
                <c:pt idx="2">
                  <c:v>1.61064E-2</c:v>
                </c:pt>
                <c:pt idx="3">
                  <c:v>12.377947360000002</c:v>
                </c:pt>
                <c:pt idx="4">
                  <c:v>2.29677264E-7</c:v>
                </c:pt>
                <c:pt idx="5">
                  <c:v>6.9364717040000001E-7</c:v>
                </c:pt>
                <c:pt idx="6">
                  <c:v>2.8152823960000001E-6</c:v>
                </c:pt>
                <c:pt idx="7">
                  <c:v>3.14665368</c:v>
                </c:pt>
                <c:pt idx="8">
                  <c:v>23.626209720000002</c:v>
                </c:pt>
                <c:pt idx="9">
                  <c:v>1.5658999999999999E-2</c:v>
                </c:pt>
              </c:numCache>
            </c:numRef>
          </c:val>
          <c:extLst>
            <c:ext xmlns:c16="http://schemas.microsoft.com/office/drawing/2014/chart" uri="{C3380CC4-5D6E-409C-BE32-E72D297353CC}">
              <c16:uniqueId val="{0000000D-D346-4DAF-A46C-211CC53792D2}"/>
            </c:ext>
          </c:extLst>
        </c:ser>
        <c:ser>
          <c:idx val="14"/>
          <c:order val="14"/>
          <c:tx>
            <c:strRef>
              <c:f>LCA!$R$84</c:f>
              <c:strCache>
                <c:ptCount val="1"/>
                <c:pt idx="0">
                  <c:v>Additional Diesel Use</c:v>
                </c:pt>
              </c:strCache>
            </c:strRef>
          </c:tx>
          <c:spPr>
            <a:solidFill>
              <a:schemeClr val="accent2">
                <a:lumMod val="75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LCA!$S$84:$AB$84</c:f>
              <c:numCache>
                <c:formatCode>0.00E+00</c:formatCode>
                <c:ptCount val="10"/>
                <c:pt idx="0">
                  <c:v>0.44900415764738821</c:v>
                </c:pt>
                <c:pt idx="1">
                  <c:v>282.27507243136148</c:v>
                </c:pt>
                <c:pt idx="2">
                  <c:v>0.16879855550653694</c:v>
                </c:pt>
                <c:pt idx="3">
                  <c:v>71.817033425811204</c:v>
                </c:pt>
                <c:pt idx="4">
                  <c:v>6.9763430199518676E-6</c:v>
                </c:pt>
                <c:pt idx="5">
                  <c:v>1.2056099229943387E-5</c:v>
                </c:pt>
                <c:pt idx="6">
                  <c:v>9.5122374790376721E-6</c:v>
                </c:pt>
                <c:pt idx="7">
                  <c:v>9.1860173906657394</c:v>
                </c:pt>
                <c:pt idx="8">
                  <c:v>84.449917319920417</c:v>
                </c:pt>
                <c:pt idx="9">
                  <c:v>8.77752488633992E-2</c:v>
                </c:pt>
              </c:numCache>
            </c:numRef>
          </c:val>
          <c:extLst>
            <c:ext xmlns:c16="http://schemas.microsoft.com/office/drawing/2014/chart" uri="{C3380CC4-5D6E-409C-BE32-E72D297353CC}">
              <c16:uniqueId val="{0000000E-D346-4DAF-A46C-211CC53792D2}"/>
            </c:ext>
          </c:extLst>
        </c:ser>
        <c:ser>
          <c:idx val="15"/>
          <c:order val="15"/>
          <c:tx>
            <c:strRef>
              <c:f>LCA!$R$85</c:f>
              <c:strCache>
                <c:ptCount val="1"/>
                <c:pt idx="0">
                  <c:v>Transportation</c:v>
                </c:pt>
              </c:strCache>
            </c:strRef>
          </c:tx>
          <c:spPr>
            <a:solidFill>
              <a:schemeClr val="accent2">
                <a:lumMod val="50000"/>
              </a:schemeClr>
            </a:solidFill>
            <a:ln>
              <a:noFill/>
            </a:ln>
            <a:effectLst/>
          </c:spPr>
          <c:invertIfNegative val="0"/>
          <c:cat>
            <c:strRef>
              <c:f>LCA!$S$69:$AB$69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LCA!$S$85:$AB$85</c:f>
              <c:numCache>
                <c:formatCode>0.00E+00</c:formatCode>
                <c:ptCount val="10"/>
                <c:pt idx="0">
                  <c:v>0.27957485199020593</c:v>
                </c:pt>
                <c:pt idx="1">
                  <c:v>118.57295405794517</c:v>
                </c:pt>
                <c:pt idx="2">
                  <c:v>5.2593288988256562E-2</c:v>
                </c:pt>
                <c:pt idx="3">
                  <c:v>45.260677276156997</c:v>
                </c:pt>
                <c:pt idx="4">
                  <c:v>1.3229620399568619E-6</c:v>
                </c:pt>
                <c:pt idx="5">
                  <c:v>4.5572638521892612E-6</c:v>
                </c:pt>
                <c:pt idx="6">
                  <c:v>1.1201623176181446E-5</c:v>
                </c:pt>
                <c:pt idx="7">
                  <c:v>7.6315630389801763</c:v>
                </c:pt>
                <c:pt idx="8">
                  <c:v>94.070017525100567</c:v>
                </c:pt>
                <c:pt idx="9">
                  <c:v>2.7094318604009644E-2</c:v>
                </c:pt>
              </c:numCache>
            </c:numRef>
          </c:val>
          <c:extLst>
            <c:ext xmlns:c16="http://schemas.microsoft.com/office/drawing/2014/chart" uri="{C3380CC4-5D6E-409C-BE32-E72D297353CC}">
              <c16:uniqueId val="{0000000F-D346-4DAF-A46C-211CC53792D2}"/>
            </c:ext>
          </c:extLst>
        </c:ser>
        <c:dLbls>
          <c:showLegendKey val="0"/>
          <c:showVal val="0"/>
          <c:showCatName val="0"/>
          <c:showSerName val="0"/>
          <c:showPercent val="0"/>
          <c:showBubbleSize val="0"/>
        </c:dLbls>
        <c:gapWidth val="150"/>
        <c:overlap val="100"/>
        <c:axId val="633711000"/>
        <c:axId val="633711784"/>
      </c:barChart>
      <c:catAx>
        <c:axId val="633711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11784"/>
        <c:crosses val="autoZero"/>
        <c:auto val="1"/>
        <c:lblAlgn val="ctr"/>
        <c:lblOffset val="100"/>
        <c:noMultiLvlLbl val="0"/>
      </c:catAx>
      <c:valAx>
        <c:axId val="6337117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711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Bioprocessing</a:t>
            </a:r>
            <a:r>
              <a:rPr lang="en-US" baseline="0"/>
              <a:t> Breakdown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percentStacked"/>
        <c:varyColors val="0"/>
        <c:ser>
          <c:idx val="1"/>
          <c:order val="0"/>
          <c:tx>
            <c:strRef>
              <c:f>LCA!$AD$70</c:f>
              <c:strCache>
                <c:ptCount val="1"/>
                <c:pt idx="0">
                  <c:v>Steam Heat</c:v>
                </c:pt>
              </c:strCache>
            </c:strRef>
          </c:tx>
          <c:spPr>
            <a:solidFill>
              <a:schemeClr val="accent6">
                <a:lumMod val="5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LCA!$AE$70:$AN$70</c:f>
              <c:numCache>
                <c:formatCode>0.00E+00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0271-4534-B3EE-902CA0B7C5A5}"/>
            </c:ext>
          </c:extLst>
        </c:ser>
        <c:ser>
          <c:idx val="2"/>
          <c:order val="1"/>
          <c:tx>
            <c:strRef>
              <c:f>LCA!$AD$71</c:f>
              <c:strCache>
                <c:ptCount val="1"/>
                <c:pt idx="0">
                  <c:v>Electricity</c:v>
                </c:pt>
              </c:strCache>
            </c:strRef>
          </c:tx>
          <c:spPr>
            <a:solidFill>
              <a:schemeClr val="accent4"/>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LCA!$AE$71:$AN$71</c:f>
              <c:numCache>
                <c:formatCode>0.00E+00</c:formatCode>
                <c:ptCount val="10"/>
                <c:pt idx="0">
                  <c:v>1.0721453707975082</c:v>
                </c:pt>
                <c:pt idx="1">
                  <c:v>2267.3242610951625</c:v>
                </c:pt>
                <c:pt idx="2">
                  <c:v>3.0732253588924965</c:v>
                </c:pt>
                <c:pt idx="3">
                  <c:v>299.492391177613</c:v>
                </c:pt>
                <c:pt idx="4">
                  <c:v>3.2107773523488212E-5</c:v>
                </c:pt>
                <c:pt idx="5">
                  <c:v>9.0888124124657074E-5</c:v>
                </c:pt>
                <c:pt idx="6">
                  <c:v>1.2347747283599593E-5</c:v>
                </c:pt>
                <c:pt idx="7">
                  <c:v>9.6415672153667629</c:v>
                </c:pt>
                <c:pt idx="8">
                  <c:v>65.218951256093916</c:v>
                </c:pt>
                <c:pt idx="9">
                  <c:v>1.0837570535137269</c:v>
                </c:pt>
              </c:numCache>
            </c:numRef>
          </c:val>
          <c:extLst>
            <c:ext xmlns:c16="http://schemas.microsoft.com/office/drawing/2014/chart" uri="{C3380CC4-5D6E-409C-BE32-E72D297353CC}">
              <c16:uniqueId val="{00000001-0271-4534-B3EE-902CA0B7C5A5}"/>
            </c:ext>
          </c:extLst>
        </c:ser>
        <c:ser>
          <c:idx val="3"/>
          <c:order val="2"/>
          <c:tx>
            <c:strRef>
              <c:f>LCA!$AD$72</c:f>
              <c:strCache>
                <c:ptCount val="1"/>
                <c:pt idx="0">
                  <c:v>Water (Dilution)</c:v>
                </c:pt>
              </c:strCache>
            </c:strRef>
          </c:tx>
          <c:spPr>
            <a:solidFill>
              <a:schemeClr val="tx1"/>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LCA!$AE$72:$AN$72</c:f>
              <c:numCache>
                <c:formatCode>0.00E+00</c:formatCode>
                <c:ptCount val="10"/>
                <c:pt idx="0">
                  <c:v>0.1245528129725159</c:v>
                </c:pt>
                <c:pt idx="1">
                  <c:v>87.518646128599997</c:v>
                </c:pt>
                <c:pt idx="2">
                  <c:v>9.828567412104236E-2</c:v>
                </c:pt>
                <c:pt idx="3">
                  <c:v>27.931482806999998</c:v>
                </c:pt>
                <c:pt idx="4">
                  <c:v>1.5268018857893567E-6</c:v>
                </c:pt>
                <c:pt idx="5">
                  <c:v>4.1197075041471191E-7</c:v>
                </c:pt>
                <c:pt idx="6">
                  <c:v>1.6026935866748294E-6</c:v>
                </c:pt>
                <c:pt idx="7">
                  <c:v>1.4063091931576663</c:v>
                </c:pt>
                <c:pt idx="8">
                  <c:v>17.13130945496</c:v>
                </c:pt>
                <c:pt idx="9">
                  <c:v>4.0593382593069237E-2</c:v>
                </c:pt>
              </c:numCache>
            </c:numRef>
          </c:val>
          <c:extLst>
            <c:ext xmlns:c16="http://schemas.microsoft.com/office/drawing/2014/chart" uri="{C3380CC4-5D6E-409C-BE32-E72D297353CC}">
              <c16:uniqueId val="{00000002-0271-4534-B3EE-902CA0B7C5A5}"/>
            </c:ext>
          </c:extLst>
        </c:ser>
        <c:ser>
          <c:idx val="4"/>
          <c:order val="3"/>
          <c:tx>
            <c:strRef>
              <c:f>LCA!$AD$73</c:f>
              <c:strCache>
                <c:ptCount val="1"/>
                <c:pt idx="0">
                  <c:v>H2SO4</c:v>
                </c:pt>
              </c:strCache>
            </c:strRef>
          </c:tx>
          <c:spPr>
            <a:solidFill>
              <a:schemeClr val="accent3"/>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LCA!$AE$73:$AN$73</c:f>
              <c:numCache>
                <c:formatCode>0.00E+00</c:formatCode>
                <c:ptCount val="10"/>
                <c:pt idx="0">
                  <c:v>1.0721461216000001</c:v>
                </c:pt>
                <c:pt idx="1">
                  <c:v>302.07490466335997</c:v>
                </c:pt>
                <c:pt idx="2">
                  <c:v>0.1057045472</c:v>
                </c:pt>
                <c:pt idx="3">
                  <c:v>16.93839865632</c:v>
                </c:pt>
                <c:pt idx="4">
                  <c:v>1.9731414806336E-6</c:v>
                </c:pt>
                <c:pt idx="5">
                  <c:v>1.41482667303776E-5</c:v>
                </c:pt>
                <c:pt idx="6">
                  <c:v>7.4374927461888004E-6</c:v>
                </c:pt>
                <c:pt idx="7">
                  <c:v>2.8630831641600003</c:v>
                </c:pt>
                <c:pt idx="8">
                  <c:v>137.12295875775999</c:v>
                </c:pt>
                <c:pt idx="9">
                  <c:v>7.3993183039999993E-2</c:v>
                </c:pt>
              </c:numCache>
            </c:numRef>
          </c:val>
          <c:extLst>
            <c:ext xmlns:c16="http://schemas.microsoft.com/office/drawing/2014/chart" uri="{C3380CC4-5D6E-409C-BE32-E72D297353CC}">
              <c16:uniqueId val="{00000003-0271-4534-B3EE-902CA0B7C5A5}"/>
            </c:ext>
          </c:extLst>
        </c:ser>
        <c:ser>
          <c:idx val="5"/>
          <c:order val="4"/>
          <c:tx>
            <c:strRef>
              <c:f>LCA!$AD$74</c:f>
              <c:strCache>
                <c:ptCount val="1"/>
                <c:pt idx="0">
                  <c:v>NH3</c:v>
                </c:pt>
              </c:strCache>
            </c:strRef>
          </c:tx>
          <c:spPr>
            <a:solidFill>
              <a:schemeClr val="accent2"/>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LCA!$AE$74:$AN$74</c:f>
              <c:numCache>
                <c:formatCode>0.00E+00</c:formatCode>
                <c:ptCount val="10"/>
                <c:pt idx="0">
                  <c:v>0.32131586358955949</c:v>
                </c:pt>
                <c:pt idx="1">
                  <c:v>281.73175294681363</c:v>
                </c:pt>
                <c:pt idx="2">
                  <c:v>0.12237196586595696</c:v>
                </c:pt>
                <c:pt idx="3">
                  <c:v>136.51916699580553</c:v>
                </c:pt>
                <c:pt idx="4">
                  <c:v>2.0929327415841817E-6</c:v>
                </c:pt>
                <c:pt idx="5">
                  <c:v>1.2639521260337457E-5</c:v>
                </c:pt>
                <c:pt idx="6">
                  <c:v>2.5364702896781083E-5</c:v>
                </c:pt>
                <c:pt idx="7">
                  <c:v>3.590293290932784</c:v>
                </c:pt>
                <c:pt idx="8">
                  <c:v>359.30770742498515</c:v>
                </c:pt>
                <c:pt idx="9">
                  <c:v>5.2240663790730162E-2</c:v>
                </c:pt>
              </c:numCache>
            </c:numRef>
          </c:val>
          <c:extLst>
            <c:ext xmlns:c16="http://schemas.microsoft.com/office/drawing/2014/chart" uri="{C3380CC4-5D6E-409C-BE32-E72D297353CC}">
              <c16:uniqueId val="{00000004-0271-4534-B3EE-902CA0B7C5A5}"/>
            </c:ext>
          </c:extLst>
        </c:ser>
        <c:ser>
          <c:idx val="6"/>
          <c:order val="5"/>
          <c:tx>
            <c:strRef>
              <c:f>LCA!$AD$75</c:f>
              <c:strCache>
                <c:ptCount val="1"/>
                <c:pt idx="0">
                  <c:v>Glucose </c:v>
                </c:pt>
              </c:strCache>
            </c:strRef>
          </c:tx>
          <c:spPr>
            <a:solidFill>
              <a:schemeClr val="accent1">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LCA!$AE$75:$AN$75</c:f>
              <c:numCache>
                <c:formatCode>0.00E+00</c:formatCode>
                <c:ptCount val="10"/>
                <c:pt idx="0">
                  <c:v>1.4056</c:v>
                </c:pt>
                <c:pt idx="1">
                  <c:v>1422.9726000000001</c:v>
                </c:pt>
                <c:pt idx="2">
                  <c:v>2.6823999999999999</c:v>
                </c:pt>
                <c:pt idx="3">
                  <c:v>208.21359999999999</c:v>
                </c:pt>
                <c:pt idx="4">
                  <c:v>1.160285E-5</c:v>
                </c:pt>
                <c:pt idx="5">
                  <c:v>5.6532699999999995E-5</c:v>
                </c:pt>
                <c:pt idx="6">
                  <c:v>2.1592339999999999E-5</c:v>
                </c:pt>
                <c:pt idx="7">
                  <c:v>11.680200000000001</c:v>
                </c:pt>
                <c:pt idx="8">
                  <c:v>200.7124</c:v>
                </c:pt>
                <c:pt idx="9">
                  <c:v>0.20020000000000002</c:v>
                </c:pt>
              </c:numCache>
            </c:numRef>
          </c:val>
          <c:extLst>
            <c:ext xmlns:c16="http://schemas.microsoft.com/office/drawing/2014/chart" uri="{C3380CC4-5D6E-409C-BE32-E72D297353CC}">
              <c16:uniqueId val="{00000005-0271-4534-B3EE-902CA0B7C5A5}"/>
            </c:ext>
          </c:extLst>
        </c:ser>
        <c:ser>
          <c:idx val="7"/>
          <c:order val="6"/>
          <c:tx>
            <c:strRef>
              <c:f>LCA!$AD$76</c:f>
              <c:strCache>
                <c:ptCount val="1"/>
                <c:pt idx="0">
                  <c:v>SO2</c:v>
                </c:pt>
              </c:strCache>
            </c:strRef>
          </c:tx>
          <c:spPr>
            <a:solidFill>
              <a:schemeClr val="accent2">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LCA!$AE$76:$AN$76</c:f>
              <c:numCache>
                <c:formatCode>0.00E+00</c:formatCode>
                <c:ptCount val="10"/>
                <c:pt idx="0">
                  <c:v>4.4748094879999999E-2</c:v>
                </c:pt>
                <c:pt idx="1">
                  <c:v>3.7091329117599998</c:v>
                </c:pt>
                <c:pt idx="2">
                  <c:v>2.1768855199999996E-3</c:v>
                </c:pt>
                <c:pt idx="3">
                  <c:v>0.35764151568000002</c:v>
                </c:pt>
                <c:pt idx="4">
                  <c:v>3.1312917479199997E-8</c:v>
                </c:pt>
                <c:pt idx="5">
                  <c:v>1.69175619424E-7</c:v>
                </c:pt>
                <c:pt idx="6">
                  <c:v>1.2275195498399998E-7</c:v>
                </c:pt>
                <c:pt idx="7">
                  <c:v>1.515690416E-2</c:v>
                </c:pt>
                <c:pt idx="8">
                  <c:v>2.1428682964799997</c:v>
                </c:pt>
                <c:pt idx="9">
                  <c:v>2.88143768E-3</c:v>
                </c:pt>
              </c:numCache>
            </c:numRef>
          </c:val>
          <c:extLst>
            <c:ext xmlns:c16="http://schemas.microsoft.com/office/drawing/2014/chart" uri="{C3380CC4-5D6E-409C-BE32-E72D297353CC}">
              <c16:uniqueId val="{00000006-0271-4534-B3EE-902CA0B7C5A5}"/>
            </c:ext>
          </c:extLst>
        </c:ser>
        <c:ser>
          <c:idx val="8"/>
          <c:order val="7"/>
          <c:tx>
            <c:strRef>
              <c:f>LCA!$AD$77</c:f>
              <c:strCache>
                <c:ptCount val="1"/>
                <c:pt idx="0">
                  <c:v>CSL</c:v>
                </c:pt>
              </c:strCache>
            </c:strRef>
          </c:tx>
          <c:spPr>
            <a:solidFill>
              <a:schemeClr val="accent3">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LCA!$AE$77:$AN$77</c:f>
              <c:numCache>
                <c:formatCode>0.00E+00</c:formatCode>
                <c:ptCount val="10"/>
                <c:pt idx="0">
                  <c:v>0.73115567533100112</c:v>
                </c:pt>
                <c:pt idx="1">
                  <c:v>4.3579471000349408E-4</c:v>
                </c:pt>
                <c:pt idx="2">
                  <c:v>1.2099502901458645E-2</c:v>
                </c:pt>
                <c:pt idx="3">
                  <c:v>0.77523243590060054</c:v>
                </c:pt>
                <c:pt idx="4">
                  <c:v>2.7536567253263938E-12</c:v>
                </c:pt>
                <c:pt idx="5">
                  <c:v>2.8207571114170541E-13</c:v>
                </c:pt>
                <c:pt idx="6">
                  <c:v>0</c:v>
                </c:pt>
                <c:pt idx="7">
                  <c:v>6.3954515336281423E-2</c:v>
                </c:pt>
                <c:pt idx="8">
                  <c:v>0.97919548481090335</c:v>
                </c:pt>
                <c:pt idx="9">
                  <c:v>4.407676056959936E-2</c:v>
                </c:pt>
              </c:numCache>
            </c:numRef>
          </c:val>
          <c:extLst>
            <c:ext xmlns:c16="http://schemas.microsoft.com/office/drawing/2014/chart" uri="{C3380CC4-5D6E-409C-BE32-E72D297353CC}">
              <c16:uniqueId val="{00000007-0271-4534-B3EE-902CA0B7C5A5}"/>
            </c:ext>
          </c:extLst>
        </c:ser>
        <c:ser>
          <c:idx val="9"/>
          <c:order val="8"/>
          <c:tx>
            <c:strRef>
              <c:f>LCA!$AD$78</c:f>
              <c:strCache>
                <c:ptCount val="1"/>
                <c:pt idx="0">
                  <c:v>Ammonium Sulfate</c:v>
                </c:pt>
              </c:strCache>
            </c:strRef>
          </c:tx>
          <c:spPr>
            <a:solidFill>
              <a:schemeClr val="accent4">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LCA!$AE$78:$AN$78</c:f>
              <c:numCache>
                <c:formatCode>0.00E+00</c:formatCode>
                <c:ptCount val="10"/>
                <c:pt idx="0">
                  <c:v>9.9488844E-3</c:v>
                </c:pt>
                <c:pt idx="1">
                  <c:v>16.024610805840002</c:v>
                </c:pt>
                <c:pt idx="2">
                  <c:v>6.2610256799999998E-3</c:v>
                </c:pt>
                <c:pt idx="3">
                  <c:v>2.2133194574399999</c:v>
                </c:pt>
                <c:pt idx="4">
                  <c:v>1.22429617128E-7</c:v>
                </c:pt>
                <c:pt idx="5">
                  <c:v>7.6406911307999993E-7</c:v>
                </c:pt>
                <c:pt idx="6">
                  <c:v>1.7999042443200003E-7</c:v>
                </c:pt>
                <c:pt idx="7">
                  <c:v>8.9602465680000007E-2</c:v>
                </c:pt>
                <c:pt idx="8">
                  <c:v>2.6167336977600004</c:v>
                </c:pt>
                <c:pt idx="9">
                  <c:v>1.5105635999999999E-3</c:v>
                </c:pt>
              </c:numCache>
            </c:numRef>
          </c:val>
          <c:extLst>
            <c:ext xmlns:c16="http://schemas.microsoft.com/office/drawing/2014/chart" uri="{C3380CC4-5D6E-409C-BE32-E72D297353CC}">
              <c16:uniqueId val="{00000008-0271-4534-B3EE-902CA0B7C5A5}"/>
            </c:ext>
          </c:extLst>
        </c:ser>
        <c:ser>
          <c:idx val="10"/>
          <c:order val="9"/>
          <c:tx>
            <c:strRef>
              <c:f>LCA!$AD$79</c:f>
              <c:strCache>
                <c:ptCount val="1"/>
                <c:pt idx="0">
                  <c:v>Magnesium Sulfate</c:v>
                </c:pt>
              </c:strCache>
            </c:strRef>
          </c:tx>
          <c:spPr>
            <a:solidFill>
              <a:schemeClr val="accent5">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LCA!$AE$79:$AN$79</c:f>
              <c:numCache>
                <c:formatCode>0.00E+00</c:formatCode>
                <c:ptCount val="10"/>
                <c:pt idx="0">
                  <c:v>4.911192E-4</c:v>
                </c:pt>
                <c:pt idx="1">
                  <c:v>0.31086505943999998</c:v>
                </c:pt>
                <c:pt idx="2">
                  <c:v>3.6164231999999999E-4</c:v>
                </c:pt>
                <c:pt idx="3">
                  <c:v>0.10486287863999999</c:v>
                </c:pt>
                <c:pt idx="4">
                  <c:v>5.2835050008E-9</c:v>
                </c:pt>
                <c:pt idx="5">
                  <c:v>1.4626154836799998E-8</c:v>
                </c:pt>
                <c:pt idx="6">
                  <c:v>5.1700118183999997E-9</c:v>
                </c:pt>
                <c:pt idx="7">
                  <c:v>5.7996712799999999E-3</c:v>
                </c:pt>
                <c:pt idx="8">
                  <c:v>6.3707089679999995E-2</c:v>
                </c:pt>
                <c:pt idx="9">
                  <c:v>1.8528587999999999E-4</c:v>
                </c:pt>
              </c:numCache>
            </c:numRef>
          </c:val>
          <c:extLst>
            <c:ext xmlns:c16="http://schemas.microsoft.com/office/drawing/2014/chart" uri="{C3380CC4-5D6E-409C-BE32-E72D297353CC}">
              <c16:uniqueId val="{00000009-0271-4534-B3EE-902CA0B7C5A5}"/>
            </c:ext>
          </c:extLst>
        </c:ser>
        <c:ser>
          <c:idx val="11"/>
          <c:order val="10"/>
          <c:tx>
            <c:strRef>
              <c:f>LCA!$AD$80</c:f>
              <c:strCache>
                <c:ptCount val="1"/>
                <c:pt idx="0">
                  <c:v>Calcium Chloride</c:v>
                </c:pt>
              </c:strCache>
            </c:strRef>
          </c:tx>
          <c:spPr>
            <a:solidFill>
              <a:schemeClr val="accent6">
                <a:lumMod val="60000"/>
              </a:schemeClr>
            </a:solidFill>
            <a:ln>
              <a:noFill/>
            </a:ln>
            <a:effectLst/>
          </c:spPr>
          <c:invertIfNegative val="0"/>
          <c:cat>
            <c:strRef>
              <c:f>LCA!$AE$69:$AN$69</c:f>
              <c:strCache>
                <c:ptCount val="10"/>
                <c:pt idx="0">
                  <c:v>Acidification</c:v>
                </c:pt>
                <c:pt idx="1">
                  <c:v>Ecotoxicity</c:v>
                </c:pt>
                <c:pt idx="2">
                  <c:v>Eutrophication</c:v>
                </c:pt>
                <c:pt idx="3">
                  <c:v>GWP</c:v>
                </c:pt>
                <c:pt idx="4">
                  <c:v>Carcinogenics</c:v>
                </c:pt>
                <c:pt idx="5">
                  <c:v>Non-Carcinogenics</c:v>
                </c:pt>
                <c:pt idx="6">
                  <c:v>O3 Depletion</c:v>
                </c:pt>
                <c:pt idx="7">
                  <c:v>O3 Formation</c:v>
                </c:pt>
                <c:pt idx="8">
                  <c:v>Resource Depletion - Fossil Fuels</c:v>
                </c:pt>
                <c:pt idx="9">
                  <c:v>Respiratory Effects</c:v>
                </c:pt>
              </c:strCache>
            </c:strRef>
          </c:cat>
          <c:val>
            <c:numRef>
              <c:f>LCA!$AE$80:$AN$80</c:f>
              <c:numCache>
                <c:formatCode>0.00E+00</c:formatCode>
                <c:ptCount val="10"/>
                <c:pt idx="0">
                  <c:v>2.1344255999999999E-3</c:v>
                </c:pt>
                <c:pt idx="1">
                  <c:v>1.9904956415999999</c:v>
                </c:pt>
                <c:pt idx="2">
                  <c:v>1.0285056000000001E-3</c:v>
                </c:pt>
                <c:pt idx="3">
                  <c:v>0.24536770559999999</c:v>
                </c:pt>
                <c:pt idx="4">
                  <c:v>1.6347460608E-8</c:v>
                </c:pt>
                <c:pt idx="5">
                  <c:v>9.4920837120000002E-8</c:v>
                </c:pt>
                <c:pt idx="6">
                  <c:v>1.0919245823999999E-8</c:v>
                </c:pt>
                <c:pt idx="7">
                  <c:v>1.2286771200000001E-2</c:v>
                </c:pt>
                <c:pt idx="8">
                  <c:v>0.1034919936</c:v>
                </c:pt>
                <c:pt idx="9">
                  <c:v>2.2671360000000001E-4</c:v>
                </c:pt>
              </c:numCache>
            </c:numRef>
          </c:val>
          <c:extLst>
            <c:ext xmlns:c16="http://schemas.microsoft.com/office/drawing/2014/chart" uri="{C3380CC4-5D6E-409C-BE32-E72D297353CC}">
              <c16:uniqueId val="{0000000A-0271-4534-B3EE-902CA0B7C5A5}"/>
            </c:ext>
          </c:extLst>
        </c:ser>
        <c:dLbls>
          <c:showLegendKey val="0"/>
          <c:showVal val="0"/>
          <c:showCatName val="0"/>
          <c:showSerName val="0"/>
          <c:showPercent val="0"/>
          <c:showBubbleSize val="0"/>
        </c:dLbls>
        <c:gapWidth val="150"/>
        <c:overlap val="100"/>
        <c:axId val="516927784"/>
        <c:axId val="516925824"/>
      </c:barChart>
      <c:catAx>
        <c:axId val="516927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925824"/>
        <c:crosses val="autoZero"/>
        <c:auto val="1"/>
        <c:lblAlgn val="ctr"/>
        <c:lblOffset val="100"/>
        <c:noMultiLvlLbl val="0"/>
      </c:catAx>
      <c:valAx>
        <c:axId val="5169258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9277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Capital</a:t>
            </a:r>
            <a:r>
              <a:rPr lang="en-US" baseline="0"/>
              <a:t> Cost By Block</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2-75BD-4E8F-8D7F-022C74ADD264}"/>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75BD-4E8F-8D7F-022C74ADD264}"/>
              </c:ext>
            </c:extLst>
          </c:dPt>
          <c:dPt>
            <c:idx val="2"/>
            <c:bubble3D val="0"/>
            <c:spPr>
              <a:solidFill>
                <a:srgbClr val="FF0000"/>
              </a:solidFill>
              <a:ln w="19050">
                <a:solidFill>
                  <a:schemeClr val="lt1"/>
                </a:solidFill>
              </a:ln>
              <a:effectLst/>
            </c:spPr>
            <c:extLst>
              <c:ext xmlns:c16="http://schemas.microsoft.com/office/drawing/2014/chart" uri="{C3380CC4-5D6E-409C-BE32-E72D297353CC}">
                <c16:uniqueId val="{00000004-75BD-4E8F-8D7F-022C74ADD264}"/>
              </c:ext>
            </c:extLst>
          </c:dPt>
          <c:dPt>
            <c:idx val="3"/>
            <c:bubble3D val="0"/>
            <c:spPr>
              <a:solidFill>
                <a:srgbClr val="FFC000"/>
              </a:solidFill>
              <a:ln w="19050">
                <a:solidFill>
                  <a:schemeClr val="lt1"/>
                </a:solidFill>
              </a:ln>
              <a:effectLst/>
            </c:spPr>
            <c:extLst>
              <c:ext xmlns:c16="http://schemas.microsoft.com/office/drawing/2014/chart" uri="{C3380CC4-5D6E-409C-BE32-E72D297353CC}">
                <c16:uniqueId val="{00000005-75BD-4E8F-8D7F-022C74ADD264}"/>
              </c:ext>
            </c:extLst>
          </c:dPt>
          <c:dPt>
            <c:idx val="4"/>
            <c:bubble3D val="0"/>
            <c:spPr>
              <a:solidFill>
                <a:srgbClr val="7030A0"/>
              </a:solidFill>
              <a:ln w="19050">
                <a:solidFill>
                  <a:schemeClr val="lt1"/>
                </a:solidFill>
              </a:ln>
              <a:effectLst/>
            </c:spPr>
            <c:extLst>
              <c:ext xmlns:c16="http://schemas.microsoft.com/office/drawing/2014/chart" uri="{C3380CC4-5D6E-409C-BE32-E72D297353CC}">
                <c16:uniqueId val="{00000009-75BD-4E8F-8D7F-022C74ADD264}"/>
              </c:ext>
            </c:extLst>
          </c:dPt>
          <c:dPt>
            <c:idx val="5"/>
            <c:bubble3D val="0"/>
            <c:spPr>
              <a:solidFill>
                <a:schemeClr val="accent5"/>
              </a:solidFill>
              <a:ln w="19050">
                <a:solidFill>
                  <a:schemeClr val="lt1"/>
                </a:solidFill>
              </a:ln>
              <a:effectLst/>
            </c:spPr>
            <c:extLst>
              <c:ext xmlns:c16="http://schemas.microsoft.com/office/drawing/2014/chart" uri="{C3380CC4-5D6E-409C-BE32-E72D297353CC}">
                <c16:uniqueId val="{00000008-75BD-4E8F-8D7F-022C74ADD264}"/>
              </c:ext>
            </c:extLst>
          </c:dPt>
          <c:dPt>
            <c:idx val="6"/>
            <c:bubble3D val="0"/>
            <c:spPr>
              <a:solidFill>
                <a:srgbClr val="FFFF00"/>
              </a:solidFill>
              <a:ln w="19050">
                <a:solidFill>
                  <a:schemeClr val="lt1"/>
                </a:solidFill>
              </a:ln>
              <a:effectLst/>
            </c:spPr>
            <c:extLst>
              <c:ext xmlns:c16="http://schemas.microsoft.com/office/drawing/2014/chart" uri="{C3380CC4-5D6E-409C-BE32-E72D297353CC}">
                <c16:uniqueId val="{00000007-75BD-4E8F-8D7F-022C74ADD264}"/>
              </c:ext>
            </c:extLst>
          </c:dPt>
          <c:cat>
            <c:strRef>
              <c:f>TEA!$N$58:$N$64</c:f>
              <c:strCache>
                <c:ptCount val="7"/>
                <c:pt idx="0">
                  <c:v>Feedstock Handling (need mill)</c:v>
                </c:pt>
                <c:pt idx="1">
                  <c:v>Dilute Acid Hydrolysis</c:v>
                </c:pt>
                <c:pt idx="2">
                  <c:v>EH and Fermentation</c:v>
                </c:pt>
                <c:pt idx="3">
                  <c:v>Enzyme Production</c:v>
                </c:pt>
                <c:pt idx="4">
                  <c:v>Distillation/Dehydration</c:v>
                </c:pt>
                <c:pt idx="5">
                  <c:v>Boiler/Electricity Generation</c:v>
                </c:pt>
                <c:pt idx="6">
                  <c:v>Other (WW, Utilities &amp; Storage)</c:v>
                </c:pt>
              </c:strCache>
            </c:strRef>
          </c:cat>
          <c:val>
            <c:numRef>
              <c:f>TEA!$M$58:$M$64</c:f>
              <c:numCache>
                <c:formatCode>0%</c:formatCode>
                <c:ptCount val="7"/>
                <c:pt idx="0">
                  <c:v>0.10401814886309496</c:v>
                </c:pt>
                <c:pt idx="1">
                  <c:v>0.14192277451636953</c:v>
                </c:pt>
                <c:pt idx="2">
                  <c:v>0.13465602878394442</c:v>
                </c:pt>
                <c:pt idx="3">
                  <c:v>8.0683523625014825E-2</c:v>
                </c:pt>
                <c:pt idx="4">
                  <c:v>9.6106373439333564E-2</c:v>
                </c:pt>
                <c:pt idx="5">
                  <c:v>0.28340086879400489</c:v>
                </c:pt>
                <c:pt idx="6">
                  <c:v>0.26323043084133274</c:v>
                </c:pt>
              </c:numCache>
            </c:numRef>
          </c:val>
          <c:extLst>
            <c:ext xmlns:c16="http://schemas.microsoft.com/office/drawing/2014/chart" uri="{C3380CC4-5D6E-409C-BE32-E72D297353CC}">
              <c16:uniqueId val="{00000000-75BD-4E8F-8D7F-022C74ADD264}"/>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NPV Analysis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Loan Payment</c:v>
          </c:tx>
          <c:spPr>
            <a:solidFill>
              <a:schemeClr val="accent1"/>
            </a:solidFill>
            <a:ln>
              <a:noFill/>
            </a:ln>
            <a:effectLst/>
          </c:spPr>
          <c:invertIfNegative val="0"/>
          <c:cat>
            <c:numRef>
              <c:f>TEA!$B$165:$AH$165</c:f>
              <c:numCache>
                <c:formatCode>General</c:formatCode>
                <c:ptCount val="33"/>
                <c:pt idx="0">
                  <c:v>-2</c:v>
                </c:pt>
                <c:pt idx="1">
                  <c:v>-1</c:v>
                </c:pt>
                <c:pt idx="2">
                  <c:v>0</c:v>
                </c:pt>
                <c:pt idx="3">
                  <c:v>1</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pt idx="18">
                  <c:v>16</c:v>
                </c:pt>
                <c:pt idx="19">
                  <c:v>17</c:v>
                </c:pt>
                <c:pt idx="20">
                  <c:v>18</c:v>
                </c:pt>
                <c:pt idx="21">
                  <c:v>19</c:v>
                </c:pt>
                <c:pt idx="22">
                  <c:v>20</c:v>
                </c:pt>
                <c:pt idx="23">
                  <c:v>21</c:v>
                </c:pt>
                <c:pt idx="24">
                  <c:v>22</c:v>
                </c:pt>
                <c:pt idx="25">
                  <c:v>23</c:v>
                </c:pt>
                <c:pt idx="26">
                  <c:v>24</c:v>
                </c:pt>
                <c:pt idx="27">
                  <c:v>25</c:v>
                </c:pt>
                <c:pt idx="28">
                  <c:v>26</c:v>
                </c:pt>
                <c:pt idx="29">
                  <c:v>27</c:v>
                </c:pt>
                <c:pt idx="30">
                  <c:v>28</c:v>
                </c:pt>
                <c:pt idx="31">
                  <c:v>29</c:v>
                </c:pt>
                <c:pt idx="32">
                  <c:v>30</c:v>
                </c:pt>
              </c:numCache>
            </c:numRef>
          </c:cat>
          <c:val>
            <c:numRef>
              <c:f>TEA!$B$169:$AH$169</c:f>
              <c:numCache>
                <c:formatCode>_("$"* #,##0.00_);_("$"* \(#,##0.00\);_("$"* "-"??_);_(@_)</c:formatCode>
                <c:ptCount val="33"/>
                <c:pt idx="0">
                  <c:v>0</c:v>
                </c:pt>
                <c:pt idx="1">
                  <c:v>0</c:v>
                </c:pt>
                <c:pt idx="2">
                  <c:v>0</c:v>
                </c:pt>
                <c:pt idx="3">
                  <c:v>-41577822.904492714</c:v>
                </c:pt>
                <c:pt idx="4">
                  <c:v>-37798020.822266102</c:v>
                </c:pt>
                <c:pt idx="5">
                  <c:v>-34361837.111150995</c:v>
                </c:pt>
                <c:pt idx="6">
                  <c:v>-31238033.737409998</c:v>
                </c:pt>
                <c:pt idx="7">
                  <c:v>-28398212.488554541</c:v>
                </c:pt>
                <c:pt idx="8">
                  <c:v>-25816556.807776853</c:v>
                </c:pt>
                <c:pt idx="9">
                  <c:v>-23469597.097978953</c:v>
                </c:pt>
                <c:pt idx="10">
                  <c:v>-21335997.36179905</c:v>
                </c:pt>
                <c:pt idx="11">
                  <c:v>-19396361.237999134</c:v>
                </c:pt>
                <c:pt idx="12">
                  <c:v>-17633055.670908302</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val>
          <c:extLst>
            <c:ext xmlns:c16="http://schemas.microsoft.com/office/drawing/2014/chart" uri="{C3380CC4-5D6E-409C-BE32-E72D297353CC}">
              <c16:uniqueId val="{00000000-BD96-4A17-9BB3-447439203767}"/>
            </c:ext>
          </c:extLst>
        </c:ser>
        <c:ser>
          <c:idx val="1"/>
          <c:order val="1"/>
          <c:tx>
            <c:v>Operational Costs</c:v>
          </c:tx>
          <c:spPr>
            <a:solidFill>
              <a:schemeClr val="accent2"/>
            </a:solidFill>
            <a:ln>
              <a:noFill/>
            </a:ln>
            <a:effectLst/>
          </c:spPr>
          <c:invertIfNegative val="0"/>
          <c:val>
            <c:numRef>
              <c:f>TEA!$B$171:$AH$171</c:f>
              <c:numCache>
                <c:formatCode>_("$"* #,##0.00_);_("$"* \(#,##0.00\);_("$"* "-"??_);_(@_)</c:formatCode>
                <c:ptCount val="33"/>
                <c:pt idx="0">
                  <c:v>0</c:v>
                </c:pt>
                <c:pt idx="1">
                  <c:v>0</c:v>
                </c:pt>
                <c:pt idx="2">
                  <c:v>0</c:v>
                </c:pt>
                <c:pt idx="3">
                  <c:v>-100625709.31029236</c:v>
                </c:pt>
                <c:pt idx="4">
                  <c:v>-104546191.49121284</c:v>
                </c:pt>
                <c:pt idx="5">
                  <c:v>-95041992.264738932</c:v>
                </c:pt>
                <c:pt idx="6">
                  <c:v>-86401811.149762675</c:v>
                </c:pt>
                <c:pt idx="7">
                  <c:v>-78547101.045238778</c:v>
                </c:pt>
                <c:pt idx="8">
                  <c:v>-71406455.49567163</c:v>
                </c:pt>
                <c:pt idx="9">
                  <c:v>-64914959.541519642</c:v>
                </c:pt>
                <c:pt idx="10">
                  <c:v>-59013599.58319968</c:v>
                </c:pt>
                <c:pt idx="11">
                  <c:v>-53648726.893817887</c:v>
                </c:pt>
                <c:pt idx="12">
                  <c:v>-48771569.903470799</c:v>
                </c:pt>
                <c:pt idx="13">
                  <c:v>-44337790.821337089</c:v>
                </c:pt>
                <c:pt idx="14">
                  <c:v>-40307082.564851895</c:v>
                </c:pt>
                <c:pt idx="15">
                  <c:v>-36642802.331683546</c:v>
                </c:pt>
                <c:pt idx="16">
                  <c:v>-33311638.483348668</c:v>
                </c:pt>
                <c:pt idx="17">
                  <c:v>-30283307.712135151</c:v>
                </c:pt>
                <c:pt idx="18">
                  <c:v>-27530279.738304682</c:v>
                </c:pt>
                <c:pt idx="19">
                  <c:v>-25027527.034822438</c:v>
                </c:pt>
                <c:pt idx="20">
                  <c:v>-22752297.30438403</c:v>
                </c:pt>
                <c:pt idx="21">
                  <c:v>-20683906.640349116</c:v>
                </c:pt>
                <c:pt idx="22">
                  <c:v>-18803551.491226472</c:v>
                </c:pt>
                <c:pt idx="23">
                  <c:v>-17094137.719296791</c:v>
                </c:pt>
                <c:pt idx="24">
                  <c:v>-15540125.199360715</c:v>
                </c:pt>
                <c:pt idx="25">
                  <c:v>-14127386.544873377</c:v>
                </c:pt>
                <c:pt idx="26">
                  <c:v>-12843078.677157618</c:v>
                </c:pt>
                <c:pt idx="27">
                  <c:v>-11675526.070143284</c:v>
                </c:pt>
                <c:pt idx="28">
                  <c:v>-10614114.609221168</c:v>
                </c:pt>
                <c:pt idx="29">
                  <c:v>-9649195.099291971</c:v>
                </c:pt>
                <c:pt idx="30">
                  <c:v>-8771995.5448108818</c:v>
                </c:pt>
                <c:pt idx="31">
                  <c:v>-7974541.4043735284</c:v>
                </c:pt>
                <c:pt idx="32">
                  <c:v>-7249583.0948850252</c:v>
                </c:pt>
              </c:numCache>
            </c:numRef>
          </c:val>
          <c:extLst>
            <c:ext xmlns:c16="http://schemas.microsoft.com/office/drawing/2014/chart" uri="{C3380CC4-5D6E-409C-BE32-E72D297353CC}">
              <c16:uniqueId val="{00000002-BD96-4A17-9BB3-447439203767}"/>
            </c:ext>
          </c:extLst>
        </c:ser>
        <c:ser>
          <c:idx val="2"/>
          <c:order val="2"/>
          <c:tx>
            <c:v>Taxes</c:v>
          </c:tx>
          <c:spPr>
            <a:solidFill>
              <a:srgbClr val="FF0000"/>
            </a:solidFill>
            <a:ln>
              <a:noFill/>
            </a:ln>
            <a:effectLst/>
          </c:spPr>
          <c:invertIfNegative val="0"/>
          <c:val>
            <c:numRef>
              <c:f>TEA!$B$172:$AH$172</c:f>
              <c:numCache>
                <c:formatCode>_("$"* #,##0.00_);_("$"* \(#,##0.00\);_("$"* "-"??_);_(@_)</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-755890.17994794587</c:v>
                </c:pt>
                <c:pt idx="21">
                  <c:v>-2895926.0508775311</c:v>
                </c:pt>
                <c:pt idx="22">
                  <c:v>-2632703.7147673718</c:v>
                </c:pt>
                <c:pt idx="23">
                  <c:v>-2481895.0030676043</c:v>
                </c:pt>
                <c:pt idx="24">
                  <c:v>-2336784.2648730809</c:v>
                </c:pt>
                <c:pt idx="25">
                  <c:v>-2124349.3317028005</c:v>
                </c:pt>
                <c:pt idx="26">
                  <c:v>-1931226.6651843644</c:v>
                </c:pt>
                <c:pt idx="27">
                  <c:v>-1755660.6047130581</c:v>
                </c:pt>
                <c:pt idx="28">
                  <c:v>-1596055.0951936892</c:v>
                </c:pt>
                <c:pt idx="29">
                  <c:v>-1450959.1774488082</c:v>
                </c:pt>
                <c:pt idx="30">
                  <c:v>-1319053.7976807347</c:v>
                </c:pt>
                <c:pt idx="31">
                  <c:v>-1199139.8160733951</c:v>
                </c:pt>
                <c:pt idx="32">
                  <c:v>-1090127.1055212682</c:v>
                </c:pt>
              </c:numCache>
            </c:numRef>
          </c:val>
          <c:extLst>
            <c:ext xmlns:c16="http://schemas.microsoft.com/office/drawing/2014/chart" uri="{C3380CC4-5D6E-409C-BE32-E72D297353CC}">
              <c16:uniqueId val="{00000003-BD96-4A17-9BB3-447439203767}"/>
            </c:ext>
          </c:extLst>
        </c:ser>
        <c:ser>
          <c:idx val="3"/>
          <c:order val="3"/>
          <c:tx>
            <c:v>Equip/Facilities Capital</c:v>
          </c:tx>
          <c:spPr>
            <a:solidFill>
              <a:schemeClr val="accent4"/>
            </a:solidFill>
            <a:ln>
              <a:noFill/>
            </a:ln>
            <a:effectLst/>
          </c:spPr>
          <c:invertIfNegative val="0"/>
          <c:val>
            <c:numRef>
              <c:f>TEA!$B$166:$AH$166</c:f>
              <c:numCache>
                <c:formatCode>_("$"* #,##0.00_);_("$"* \(#,##0.00\);_("$"* "-"??_);_(@_)</c:formatCode>
                <c:ptCount val="33"/>
                <c:pt idx="0">
                  <c:v>-19804611.027326465</c:v>
                </c:pt>
                <c:pt idx="1">
                  <c:v>-135031438.82268041</c:v>
                </c:pt>
                <c:pt idx="2">
                  <c:v>-65469788.520087473</c:v>
                </c:pt>
              </c:numCache>
            </c:numRef>
          </c:val>
          <c:extLst>
            <c:ext xmlns:c16="http://schemas.microsoft.com/office/drawing/2014/chart" uri="{C3380CC4-5D6E-409C-BE32-E72D297353CC}">
              <c16:uniqueId val="{00000004-BD96-4A17-9BB3-447439203767}"/>
            </c:ext>
          </c:extLst>
        </c:ser>
        <c:ser>
          <c:idx val="4"/>
          <c:order val="4"/>
          <c:tx>
            <c:v>Land Capital</c:v>
          </c:tx>
          <c:spPr>
            <a:solidFill>
              <a:schemeClr val="accent5"/>
            </a:solidFill>
            <a:ln>
              <a:noFill/>
            </a:ln>
            <a:effectLst/>
          </c:spPr>
          <c:invertIfNegative val="0"/>
          <c:val>
            <c:numRef>
              <c:f>TEA!$B$167:$AH$167</c:f>
              <c:numCache>
                <c:formatCode>General</c:formatCode>
                <c:ptCount val="33"/>
                <c:pt idx="0" formatCode="_(&quot;$&quot;* #,##0.00_);_(&quot;$&quot;* \(#,##0.00\);_(&quot;$&quot;* &quot;-&quot;??_);_(@_)">
                  <c:v>-2236080.0000000005</c:v>
                </c:pt>
              </c:numCache>
            </c:numRef>
          </c:val>
          <c:extLst>
            <c:ext xmlns:c16="http://schemas.microsoft.com/office/drawing/2014/chart" uri="{C3380CC4-5D6E-409C-BE32-E72D297353CC}">
              <c16:uniqueId val="{00000005-BD96-4A17-9BB3-447439203767}"/>
            </c:ext>
          </c:extLst>
        </c:ser>
        <c:ser>
          <c:idx val="5"/>
          <c:order val="5"/>
          <c:tx>
            <c:v>Working Capital</c:v>
          </c:tx>
          <c:spPr>
            <a:solidFill>
              <a:schemeClr val="accent6"/>
            </a:solidFill>
            <a:ln>
              <a:noFill/>
            </a:ln>
            <a:effectLst/>
          </c:spPr>
          <c:invertIfNegative val="0"/>
          <c:val>
            <c:numRef>
              <c:f>TEA!$B$168:$AH$168</c:f>
              <c:numCache>
                <c:formatCode>General</c:formatCode>
                <c:ptCount val="33"/>
                <c:pt idx="2" formatCode="_(&quot;$&quot;* #,##0.00_);_(&quot;$&quot;* \(#,##0.00\);_(&quot;$&quot;* &quot;-&quot;??_);_(@_)">
                  <c:v>-25574136.140659168</c:v>
                </c:pt>
              </c:numCache>
            </c:numRef>
          </c:val>
          <c:extLst>
            <c:ext xmlns:c16="http://schemas.microsoft.com/office/drawing/2014/chart" uri="{C3380CC4-5D6E-409C-BE32-E72D297353CC}">
              <c16:uniqueId val="{00000006-BD96-4A17-9BB3-447439203767}"/>
            </c:ext>
          </c:extLst>
        </c:ser>
        <c:ser>
          <c:idx val="6"/>
          <c:order val="6"/>
          <c:tx>
            <c:v>Ethanol Sales</c:v>
          </c:tx>
          <c:spPr>
            <a:solidFill>
              <a:srgbClr val="5DFF5D"/>
            </a:solidFill>
            <a:ln>
              <a:noFill/>
            </a:ln>
            <a:effectLst/>
          </c:spPr>
          <c:invertIfNegative val="0"/>
          <c:val>
            <c:numRef>
              <c:f>TEA!$B$170:$AH$170</c:f>
              <c:numCache>
                <c:formatCode>_("$"* #,##0.00_);_("$"* \(#,##0.00\);_("$"* "-"??_);_(@_)</c:formatCode>
                <c:ptCount val="33"/>
                <c:pt idx="0">
                  <c:v>0</c:v>
                </c:pt>
                <c:pt idx="1">
                  <c:v>0</c:v>
                </c:pt>
                <c:pt idx="2">
                  <c:v>0</c:v>
                </c:pt>
                <c:pt idx="3">
                  <c:v>151701652.06815016</c:v>
                </c:pt>
                <c:pt idx="4">
                  <c:v>157612106.04483134</c:v>
                </c:pt>
                <c:pt idx="5">
                  <c:v>143283732.76802847</c:v>
                </c:pt>
                <c:pt idx="6">
                  <c:v>130257938.88002588</c:v>
                </c:pt>
                <c:pt idx="7">
                  <c:v>118416308.07275078</c:v>
                </c:pt>
                <c:pt idx="8">
                  <c:v>107651189.15704617</c:v>
                </c:pt>
                <c:pt idx="9">
                  <c:v>97864717.415496498</c:v>
                </c:pt>
                <c:pt idx="10">
                  <c:v>88967924.923178628</c:v>
                </c:pt>
                <c:pt idx="11">
                  <c:v>80879931.748344213</c:v>
                </c:pt>
                <c:pt idx="12">
                  <c:v>73527210.680312917</c:v>
                </c:pt>
                <c:pt idx="13">
                  <c:v>66842918.800284453</c:v>
                </c:pt>
                <c:pt idx="14">
                  <c:v>60766289.818440415</c:v>
                </c:pt>
                <c:pt idx="15">
                  <c:v>55242081.653127655</c:v>
                </c:pt>
                <c:pt idx="16">
                  <c:v>50220074.230116032</c:v>
                </c:pt>
                <c:pt idx="17">
                  <c:v>45654612.936469123</c:v>
                </c:pt>
                <c:pt idx="18">
                  <c:v>41504193.578608289</c:v>
                </c:pt>
                <c:pt idx="19">
                  <c:v>37731085.07146208</c:v>
                </c:pt>
                <c:pt idx="20">
                  <c:v>34300986.428601891</c:v>
                </c:pt>
                <c:pt idx="21">
                  <c:v>31182714.935092617</c:v>
                </c:pt>
                <c:pt idx="22">
                  <c:v>28347922.668266021</c:v>
                </c:pt>
                <c:pt idx="23">
                  <c:v>25770838.789332744</c:v>
                </c:pt>
                <c:pt idx="24">
                  <c:v>23428035.263029762</c:v>
                </c:pt>
                <c:pt idx="25">
                  <c:v>21298213.875481602</c:v>
                </c:pt>
                <c:pt idx="26">
                  <c:v>19362012.614074185</c:v>
                </c:pt>
                <c:pt idx="27">
                  <c:v>17601829.649158347</c:v>
                </c:pt>
                <c:pt idx="28">
                  <c:v>16001663.317416677</c:v>
                </c:pt>
                <c:pt idx="29">
                  <c:v>14546966.652196979</c:v>
                </c:pt>
                <c:pt idx="30">
                  <c:v>13224515.138360888</c:v>
                </c:pt>
                <c:pt idx="31">
                  <c:v>12022286.489418989</c:v>
                </c:pt>
                <c:pt idx="32">
                  <c:v>10929351.354017261</c:v>
                </c:pt>
              </c:numCache>
            </c:numRef>
          </c:val>
          <c:extLst>
            <c:ext xmlns:c16="http://schemas.microsoft.com/office/drawing/2014/chart" uri="{C3380CC4-5D6E-409C-BE32-E72D297353CC}">
              <c16:uniqueId val="{00000007-BD96-4A17-9BB3-447439203767}"/>
            </c:ext>
          </c:extLst>
        </c:ser>
        <c:dLbls>
          <c:showLegendKey val="0"/>
          <c:showVal val="0"/>
          <c:showCatName val="0"/>
          <c:showSerName val="0"/>
          <c:showPercent val="0"/>
          <c:showBubbleSize val="0"/>
        </c:dLbls>
        <c:gapWidth val="150"/>
        <c:overlap val="100"/>
        <c:axId val="566510856"/>
        <c:axId val="566512496"/>
      </c:barChart>
      <c:lineChart>
        <c:grouping val="standard"/>
        <c:varyColors val="0"/>
        <c:ser>
          <c:idx val="7"/>
          <c:order val="7"/>
          <c:tx>
            <c:v>Net Present Worth</c:v>
          </c:tx>
          <c:spPr>
            <a:ln w="28575" cap="rnd">
              <a:solidFill>
                <a:schemeClr val="accent5">
                  <a:lumMod val="40000"/>
                  <a:lumOff val="60000"/>
                </a:schemeClr>
              </a:solidFill>
              <a:round/>
            </a:ln>
            <a:effectLst/>
          </c:spPr>
          <c:marker>
            <c:symbol val="none"/>
          </c:marker>
          <c:val>
            <c:numRef>
              <c:f>TEA!$B$173:$AH$173</c:f>
              <c:numCache>
                <c:formatCode>_("$"* #,##0.00_);_("$"* \(#,##0.00\);_("$"* "-"??_);_(@_)</c:formatCode>
                <c:ptCount val="33"/>
                <c:pt idx="0">
                  <c:v>-24417244.350605641</c:v>
                </c:pt>
                <c:pt idx="1">
                  <c:v>-177812958.85317057</c:v>
                </c:pt>
                <c:pt idx="2">
                  <c:v>-293408054.20895004</c:v>
                </c:pt>
                <c:pt idx="3">
                  <c:v>-283909934.35558498</c:v>
                </c:pt>
                <c:pt idx="4">
                  <c:v>-268642040.62423259</c:v>
                </c:pt>
                <c:pt idx="5">
                  <c:v>-254762137.23209408</c:v>
                </c:pt>
                <c:pt idx="6">
                  <c:v>-242144043.23924088</c:v>
                </c:pt>
                <c:pt idx="7">
                  <c:v>-230673048.70028344</c:v>
                </c:pt>
                <c:pt idx="8">
                  <c:v>-220244871.84668574</c:v>
                </c:pt>
                <c:pt idx="9">
                  <c:v>-210764711.07068783</c:v>
                </c:pt>
                <c:pt idx="10">
                  <c:v>-202146383.09250793</c:v>
                </c:pt>
                <c:pt idx="11">
                  <c:v>-194311539.47598073</c:v>
                </c:pt>
                <c:pt idx="12">
                  <c:v>-187188954.37004691</c:v>
                </c:pt>
                <c:pt idx="13">
                  <c:v>-164683826.39109954</c:v>
                </c:pt>
                <c:pt idx="14">
                  <c:v>-144224619.13751101</c:v>
                </c:pt>
                <c:pt idx="15">
                  <c:v>-125625339.81606691</c:v>
                </c:pt>
                <c:pt idx="16">
                  <c:v>-108716904.06929953</c:v>
                </c:pt>
                <c:pt idx="17">
                  <c:v>-93345598.844965562</c:v>
                </c:pt>
                <c:pt idx="18">
                  <c:v>-79371685.004661947</c:v>
                </c:pt>
                <c:pt idx="19">
                  <c:v>-66668126.968022302</c:v>
                </c:pt>
                <c:pt idx="20">
                  <c:v>-55875328.023752391</c:v>
                </c:pt>
                <c:pt idx="21">
                  <c:v>-48272445.779886417</c:v>
                </c:pt>
                <c:pt idx="22">
                  <c:v>-41360778.317614235</c:v>
                </c:pt>
                <c:pt idx="23">
                  <c:v>-35165972.250645883</c:v>
                </c:pt>
                <c:pt idx="24">
                  <c:v>-29614846.451849915</c:v>
                </c:pt>
                <c:pt idx="25">
                  <c:v>-24568368.452944491</c:v>
                </c:pt>
                <c:pt idx="26">
                  <c:v>-19980661.181212287</c:v>
                </c:pt>
                <c:pt idx="27">
                  <c:v>-15810018.206910286</c:v>
                </c:pt>
                <c:pt idx="28">
                  <c:v>-12018524.593908466</c:v>
                </c:pt>
                <c:pt idx="29">
                  <c:v>-8571712.2184522673</c:v>
                </c:pt>
                <c:pt idx="30">
                  <c:v>-5438246.4225829951</c:v>
                </c:pt>
                <c:pt idx="31">
                  <c:v>-2589641.1536109294</c:v>
                </c:pt>
                <c:pt idx="32">
                  <c:v>3.9115548133850098E-8</c:v>
                </c:pt>
              </c:numCache>
            </c:numRef>
          </c:val>
          <c:smooth val="0"/>
          <c:extLst>
            <c:ext xmlns:c16="http://schemas.microsoft.com/office/drawing/2014/chart" uri="{C3380CC4-5D6E-409C-BE32-E72D297353CC}">
              <c16:uniqueId val="{00000009-BD96-4A17-9BB3-447439203767}"/>
            </c:ext>
          </c:extLst>
        </c:ser>
        <c:dLbls>
          <c:showLegendKey val="0"/>
          <c:showVal val="0"/>
          <c:showCatName val="0"/>
          <c:showSerName val="0"/>
          <c:showPercent val="0"/>
          <c:showBubbleSize val="0"/>
        </c:dLbls>
        <c:marker val="1"/>
        <c:smooth val="0"/>
        <c:axId val="566510856"/>
        <c:axId val="566512496"/>
      </c:lineChart>
      <c:catAx>
        <c:axId val="566510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566512496"/>
        <c:crosses val="autoZero"/>
        <c:auto val="1"/>
        <c:lblAlgn val="ctr"/>
        <c:lblOffset val="100"/>
        <c:noMultiLvlLbl val="0"/>
      </c:catAx>
      <c:valAx>
        <c:axId val="56651249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10856"/>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800"/>
              <a:t>MESP</a:t>
            </a:r>
            <a:r>
              <a:rPr lang="en-US" sz="2800" baseline="0"/>
              <a:t> Contributor Breakdown</a:t>
            </a:r>
            <a:endParaRPr lang="en-US" sz="28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TEA!$R$188</c:f>
              <c:strCache>
                <c:ptCount val="1"/>
                <c:pt idx="0">
                  <c:v>Loan Total</c:v>
                </c:pt>
              </c:strCache>
            </c:strRef>
          </c:tx>
          <c:spPr>
            <a:solidFill>
              <a:schemeClr val="accent1">
                <a:lumMod val="50000"/>
              </a:schemeClr>
            </a:solidFill>
            <a:ln>
              <a:noFill/>
            </a:ln>
            <a:effectLst/>
          </c:spPr>
          <c:invertIfNegative val="0"/>
          <c:val>
            <c:numRef>
              <c:f>TEA!$S$188</c:f>
              <c:numCache>
                <c:formatCode>_("$"* #,##0.00_);_("$"* \(#,##0.00\);_("$"* "-"??_);_(@_)</c:formatCode>
                <c:ptCount val="1"/>
                <c:pt idx="0">
                  <c:v>0.37381339533025326</c:v>
                </c:pt>
              </c:numCache>
            </c:numRef>
          </c:val>
          <c:extLst>
            <c:ext xmlns:c16="http://schemas.microsoft.com/office/drawing/2014/chart" uri="{C3380CC4-5D6E-409C-BE32-E72D297353CC}">
              <c16:uniqueId val="{00000000-8AC6-4F12-838A-63DB1C6D34A1}"/>
            </c:ext>
          </c:extLst>
        </c:ser>
        <c:ser>
          <c:idx val="1"/>
          <c:order val="1"/>
          <c:tx>
            <c:strRef>
              <c:f>TEA!$R$189</c:f>
              <c:strCache>
                <c:ptCount val="1"/>
                <c:pt idx="0">
                  <c:v>Taxes</c:v>
                </c:pt>
              </c:strCache>
            </c:strRef>
          </c:tx>
          <c:spPr>
            <a:solidFill>
              <a:schemeClr val="accent1">
                <a:lumMod val="75000"/>
              </a:schemeClr>
            </a:solidFill>
            <a:ln>
              <a:noFill/>
            </a:ln>
            <a:effectLst/>
          </c:spPr>
          <c:invertIfNegative val="0"/>
          <c:val>
            <c:numRef>
              <c:f>TEA!$S$189</c:f>
              <c:numCache>
                <c:formatCode>_("$"* #,##0.00_);_("$"* \(#,##0.00\);_("$"* "-"??_);_(@_)</c:formatCode>
                <c:ptCount val="1"/>
                <c:pt idx="0">
                  <c:v>3.3343885735321627E-2</c:v>
                </c:pt>
              </c:numCache>
            </c:numRef>
          </c:val>
          <c:extLst>
            <c:ext xmlns:c16="http://schemas.microsoft.com/office/drawing/2014/chart" uri="{C3380CC4-5D6E-409C-BE32-E72D297353CC}">
              <c16:uniqueId val="{00000002-8AC6-4F12-838A-63DB1C6D34A1}"/>
            </c:ext>
          </c:extLst>
        </c:ser>
        <c:ser>
          <c:idx val="2"/>
          <c:order val="2"/>
          <c:tx>
            <c:strRef>
              <c:f>TEA!$R$190</c:f>
              <c:strCache>
                <c:ptCount val="1"/>
                <c:pt idx="0">
                  <c:v>Equip/Facilities</c:v>
                </c:pt>
              </c:strCache>
            </c:strRef>
          </c:tx>
          <c:spPr>
            <a:solidFill>
              <a:schemeClr val="accent5">
                <a:lumMod val="60000"/>
                <a:lumOff val="40000"/>
              </a:schemeClr>
            </a:solidFill>
            <a:ln>
              <a:solidFill>
                <a:schemeClr val="accent1">
                  <a:lumMod val="60000"/>
                  <a:lumOff val="40000"/>
                </a:schemeClr>
              </a:solidFill>
            </a:ln>
            <a:effectLst/>
          </c:spPr>
          <c:invertIfNegative val="0"/>
          <c:val>
            <c:numRef>
              <c:f>TEA!$S$190</c:f>
              <c:numCache>
                <c:formatCode>_("$"* #,##0.00_);_("$"* \(#,##0.00\);_("$"* "-"??_);_(@_)</c:formatCode>
                <c:ptCount val="1"/>
                <c:pt idx="0">
                  <c:v>0.29304555937806764</c:v>
                </c:pt>
              </c:numCache>
            </c:numRef>
          </c:val>
          <c:extLst>
            <c:ext xmlns:c16="http://schemas.microsoft.com/office/drawing/2014/chart" uri="{C3380CC4-5D6E-409C-BE32-E72D297353CC}">
              <c16:uniqueId val="{00000003-8AC6-4F12-838A-63DB1C6D34A1}"/>
            </c:ext>
          </c:extLst>
        </c:ser>
        <c:ser>
          <c:idx val="3"/>
          <c:order val="3"/>
          <c:tx>
            <c:strRef>
              <c:f>TEA!$R$191</c:f>
              <c:strCache>
                <c:ptCount val="1"/>
                <c:pt idx="0">
                  <c:v>Land Cost</c:v>
                </c:pt>
              </c:strCache>
            </c:strRef>
          </c:tx>
          <c:spPr>
            <a:solidFill>
              <a:schemeClr val="accent1">
                <a:lumMod val="20000"/>
                <a:lumOff val="80000"/>
              </a:schemeClr>
            </a:solidFill>
            <a:ln>
              <a:noFill/>
            </a:ln>
            <a:effectLst/>
          </c:spPr>
          <c:invertIfNegative val="0"/>
          <c:val>
            <c:numRef>
              <c:f>TEA!$S$191</c:f>
              <c:numCache>
                <c:formatCode>_("$"* #,##0.00_);_("$"* \(#,##0.00\);_("$"* "-"??_);_(@_)</c:formatCode>
                <c:ptCount val="1"/>
                <c:pt idx="0">
                  <c:v>3.7935973281199823E-3</c:v>
                </c:pt>
              </c:numCache>
            </c:numRef>
          </c:val>
          <c:extLst>
            <c:ext xmlns:c16="http://schemas.microsoft.com/office/drawing/2014/chart" uri="{C3380CC4-5D6E-409C-BE32-E72D297353CC}">
              <c16:uniqueId val="{00000004-8AC6-4F12-838A-63DB1C6D34A1}"/>
            </c:ext>
          </c:extLst>
        </c:ser>
        <c:ser>
          <c:idx val="4"/>
          <c:order val="4"/>
          <c:tx>
            <c:strRef>
              <c:f>TEA!$R$192</c:f>
              <c:strCache>
                <c:ptCount val="1"/>
                <c:pt idx="0">
                  <c:v>H2O (DAH)</c:v>
                </c:pt>
              </c:strCache>
            </c:strRef>
          </c:tx>
          <c:spPr>
            <a:solidFill>
              <a:schemeClr val="accent1">
                <a:lumMod val="40000"/>
                <a:lumOff val="60000"/>
              </a:schemeClr>
            </a:solidFill>
            <a:ln>
              <a:noFill/>
            </a:ln>
            <a:effectLst/>
          </c:spPr>
          <c:invertIfNegative val="0"/>
          <c:val>
            <c:numRef>
              <c:f>TEA!$S$192</c:f>
              <c:numCache>
                <c:formatCode>_("$"* #,##0.00_);_("$"* \(#,##0.00\);_("$"* "-"??_);_(@_)</c:formatCode>
                <c:ptCount val="1"/>
                <c:pt idx="0">
                  <c:v>9.6571786212072026E-3</c:v>
                </c:pt>
              </c:numCache>
            </c:numRef>
          </c:val>
          <c:extLst>
            <c:ext xmlns:c16="http://schemas.microsoft.com/office/drawing/2014/chart" uri="{C3380CC4-5D6E-409C-BE32-E72D297353CC}">
              <c16:uniqueId val="{00000005-8AC6-4F12-838A-63DB1C6D34A1}"/>
            </c:ext>
          </c:extLst>
        </c:ser>
        <c:ser>
          <c:idx val="5"/>
          <c:order val="5"/>
          <c:tx>
            <c:strRef>
              <c:f>TEA!$R$193</c:f>
              <c:strCache>
                <c:ptCount val="1"/>
                <c:pt idx="0">
                  <c:v>H2SO4 (DAH)</c:v>
                </c:pt>
              </c:strCache>
            </c:strRef>
          </c:tx>
          <c:spPr>
            <a:solidFill>
              <a:schemeClr val="accent6">
                <a:lumMod val="20000"/>
                <a:lumOff val="80000"/>
              </a:schemeClr>
            </a:solidFill>
            <a:ln>
              <a:noFill/>
            </a:ln>
            <a:effectLst/>
          </c:spPr>
          <c:invertIfNegative val="0"/>
          <c:val>
            <c:numRef>
              <c:f>TEA!$S$193</c:f>
              <c:numCache>
                <c:formatCode>_("$"* #,##0.00_);_("$"* \(#,##0.00\);_("$"* "-"??_);_(@_)</c:formatCode>
                <c:ptCount val="1"/>
                <c:pt idx="0">
                  <c:v>3.0825714158893396E-2</c:v>
                </c:pt>
              </c:numCache>
            </c:numRef>
          </c:val>
          <c:extLst>
            <c:ext xmlns:c16="http://schemas.microsoft.com/office/drawing/2014/chart" uri="{C3380CC4-5D6E-409C-BE32-E72D297353CC}">
              <c16:uniqueId val="{00000006-8AC6-4F12-838A-63DB1C6D34A1}"/>
            </c:ext>
          </c:extLst>
        </c:ser>
        <c:ser>
          <c:idx val="6"/>
          <c:order val="6"/>
          <c:tx>
            <c:strRef>
              <c:f>TEA!$R$194</c:f>
              <c:strCache>
                <c:ptCount val="1"/>
                <c:pt idx="0">
                  <c:v>NH3 (DAH)</c:v>
                </c:pt>
              </c:strCache>
            </c:strRef>
          </c:tx>
          <c:spPr>
            <a:solidFill>
              <a:schemeClr val="accent6">
                <a:lumMod val="40000"/>
                <a:lumOff val="60000"/>
              </a:schemeClr>
            </a:solidFill>
            <a:ln>
              <a:noFill/>
            </a:ln>
            <a:effectLst/>
          </c:spPr>
          <c:invertIfNegative val="0"/>
          <c:val>
            <c:numRef>
              <c:f>TEA!$S$194</c:f>
              <c:numCache>
                <c:formatCode>_("$"* #,##0.00_);_("$"* \(#,##0.00\);_("$"* "-"??_);_(@_)</c:formatCode>
                <c:ptCount val="1"/>
                <c:pt idx="0">
                  <c:v>5.3473876092843577E-2</c:v>
                </c:pt>
              </c:numCache>
            </c:numRef>
          </c:val>
          <c:extLst>
            <c:ext xmlns:c16="http://schemas.microsoft.com/office/drawing/2014/chart" uri="{C3380CC4-5D6E-409C-BE32-E72D297353CC}">
              <c16:uniqueId val="{00000007-8AC6-4F12-838A-63DB1C6D34A1}"/>
            </c:ext>
          </c:extLst>
        </c:ser>
        <c:ser>
          <c:idx val="7"/>
          <c:order val="7"/>
          <c:tx>
            <c:strRef>
              <c:f>TEA!$R$195</c:f>
              <c:strCache>
                <c:ptCount val="1"/>
                <c:pt idx="0">
                  <c:v>H2O (EH)</c:v>
                </c:pt>
              </c:strCache>
            </c:strRef>
          </c:tx>
          <c:spPr>
            <a:solidFill>
              <a:schemeClr val="accent2">
                <a:lumMod val="60000"/>
              </a:schemeClr>
            </a:solidFill>
            <a:ln>
              <a:noFill/>
            </a:ln>
            <a:effectLst/>
          </c:spPr>
          <c:invertIfNegative val="0"/>
          <c:val>
            <c:numRef>
              <c:f>TEA!$S$195</c:f>
              <c:numCache>
                <c:formatCode>_("$"* #,##0.00_);_("$"* \(#,##0.00\);_("$"* "-"??_);_(@_)</c:formatCode>
                <c:ptCount val="1"/>
                <c:pt idx="0">
                  <c:v>9.3964347984346087E-3</c:v>
                </c:pt>
              </c:numCache>
            </c:numRef>
          </c:val>
          <c:extLst>
            <c:ext xmlns:c16="http://schemas.microsoft.com/office/drawing/2014/chart" uri="{C3380CC4-5D6E-409C-BE32-E72D297353CC}">
              <c16:uniqueId val="{00000008-8AC6-4F12-838A-63DB1C6D34A1}"/>
            </c:ext>
          </c:extLst>
        </c:ser>
        <c:ser>
          <c:idx val="8"/>
          <c:order val="8"/>
          <c:tx>
            <c:strRef>
              <c:f>TEA!$R$196</c:f>
              <c:strCache>
                <c:ptCount val="1"/>
                <c:pt idx="0">
                  <c:v>Diammonium Phosphate (DAP)</c:v>
                </c:pt>
              </c:strCache>
            </c:strRef>
          </c:tx>
          <c:spPr>
            <a:solidFill>
              <a:schemeClr val="accent6">
                <a:lumMod val="60000"/>
                <a:lumOff val="40000"/>
              </a:schemeClr>
            </a:solidFill>
            <a:ln>
              <a:noFill/>
            </a:ln>
            <a:effectLst/>
          </c:spPr>
          <c:invertIfNegative val="0"/>
          <c:val>
            <c:numRef>
              <c:f>TEA!$S$196</c:f>
              <c:numCache>
                <c:formatCode>_("$"* #,##0.00_);_("$"* \(#,##0.00\);_("$"* "-"??_);_(@_)</c:formatCode>
                <c:ptCount val="1"/>
                <c:pt idx="0">
                  <c:v>1.9926571891046629E-2</c:v>
                </c:pt>
              </c:numCache>
            </c:numRef>
          </c:val>
          <c:extLst>
            <c:ext xmlns:c16="http://schemas.microsoft.com/office/drawing/2014/chart" uri="{C3380CC4-5D6E-409C-BE32-E72D297353CC}">
              <c16:uniqueId val="{00000009-8AC6-4F12-838A-63DB1C6D34A1}"/>
            </c:ext>
          </c:extLst>
        </c:ser>
        <c:ser>
          <c:idx val="9"/>
          <c:order val="9"/>
          <c:tx>
            <c:strRef>
              <c:f>TEA!$R$197</c:f>
              <c:strCache>
                <c:ptCount val="1"/>
                <c:pt idx="0">
                  <c:v>Glucose</c:v>
                </c:pt>
              </c:strCache>
            </c:strRef>
          </c:tx>
          <c:spPr>
            <a:solidFill>
              <a:srgbClr val="5BFF5B"/>
            </a:solidFill>
            <a:ln>
              <a:noFill/>
            </a:ln>
            <a:effectLst/>
          </c:spPr>
          <c:invertIfNegative val="0"/>
          <c:val>
            <c:numRef>
              <c:f>TEA!$S$197</c:f>
              <c:numCache>
                <c:formatCode>_("$"* #,##0.00_);_("$"* \(#,##0.00\);_("$"* "-"??_);_(@_)</c:formatCode>
                <c:ptCount val="1"/>
                <c:pt idx="0">
                  <c:v>0.21885188367216579</c:v>
                </c:pt>
              </c:numCache>
            </c:numRef>
          </c:val>
          <c:extLst>
            <c:ext xmlns:c16="http://schemas.microsoft.com/office/drawing/2014/chart" uri="{C3380CC4-5D6E-409C-BE32-E72D297353CC}">
              <c16:uniqueId val="{0000000A-8AC6-4F12-838A-63DB1C6D34A1}"/>
            </c:ext>
          </c:extLst>
        </c:ser>
        <c:ser>
          <c:idx val="10"/>
          <c:order val="10"/>
          <c:tx>
            <c:strRef>
              <c:f>TEA!$R$198</c:f>
              <c:strCache>
                <c:ptCount val="1"/>
                <c:pt idx="0">
                  <c:v>NH3 (EP)</c:v>
                </c:pt>
              </c:strCache>
            </c:strRef>
          </c:tx>
          <c:spPr>
            <a:solidFill>
              <a:schemeClr val="accent5">
                <a:lumMod val="60000"/>
              </a:schemeClr>
            </a:solidFill>
            <a:ln>
              <a:noFill/>
            </a:ln>
            <a:effectLst/>
          </c:spPr>
          <c:invertIfNegative val="0"/>
          <c:val>
            <c:numRef>
              <c:f>TEA!$S$198</c:f>
              <c:numCache>
                <c:formatCode>_("$"* #,##0.00_);_("$"* \(#,##0.00\);_("$"* "-"??_);_(@_)</c:formatCode>
                <c:ptCount val="1"/>
                <c:pt idx="0">
                  <c:v>5.3473876092843577E-3</c:v>
                </c:pt>
              </c:numCache>
            </c:numRef>
          </c:val>
          <c:extLst>
            <c:ext xmlns:c16="http://schemas.microsoft.com/office/drawing/2014/chart" uri="{C3380CC4-5D6E-409C-BE32-E72D297353CC}">
              <c16:uniqueId val="{0000000B-8AC6-4F12-838A-63DB1C6D34A1}"/>
            </c:ext>
          </c:extLst>
        </c:ser>
        <c:ser>
          <c:idx val="11"/>
          <c:order val="11"/>
          <c:tx>
            <c:strRef>
              <c:f>TEA!$R$199</c:f>
              <c:strCache>
                <c:ptCount val="1"/>
                <c:pt idx="0">
                  <c:v>SO2</c:v>
                </c:pt>
              </c:strCache>
            </c:strRef>
          </c:tx>
          <c:spPr>
            <a:solidFill>
              <a:schemeClr val="accent6">
                <a:lumMod val="60000"/>
              </a:schemeClr>
            </a:solidFill>
            <a:ln>
              <a:noFill/>
            </a:ln>
            <a:effectLst/>
          </c:spPr>
          <c:invertIfNegative val="0"/>
          <c:val>
            <c:numRef>
              <c:f>TEA!$S$199</c:f>
              <c:numCache>
                <c:formatCode>_("$"* #,##0.00_);_("$"* \(#,##0.00\);_("$"* "-"??_);_(@_)</c:formatCode>
                <c:ptCount val="1"/>
                <c:pt idx="0">
                  <c:v>6.3892848822324762E-4</c:v>
                </c:pt>
              </c:numCache>
            </c:numRef>
          </c:val>
          <c:extLst>
            <c:ext xmlns:c16="http://schemas.microsoft.com/office/drawing/2014/chart" uri="{C3380CC4-5D6E-409C-BE32-E72D297353CC}">
              <c16:uniqueId val="{0000000C-8AC6-4F12-838A-63DB1C6D34A1}"/>
            </c:ext>
          </c:extLst>
        </c:ser>
        <c:ser>
          <c:idx val="12"/>
          <c:order val="12"/>
          <c:tx>
            <c:strRef>
              <c:f>TEA!$R$200</c:f>
              <c:strCache>
                <c:ptCount val="1"/>
                <c:pt idx="0">
                  <c:v>CSL</c:v>
                </c:pt>
              </c:strCache>
            </c:strRef>
          </c:tx>
          <c:spPr>
            <a:solidFill>
              <a:schemeClr val="accent1">
                <a:lumMod val="80000"/>
                <a:lumOff val="20000"/>
              </a:schemeClr>
            </a:solidFill>
            <a:ln>
              <a:noFill/>
            </a:ln>
            <a:effectLst/>
          </c:spPr>
          <c:invertIfNegative val="0"/>
          <c:val>
            <c:numRef>
              <c:f>TEA!$S$200</c:f>
              <c:numCache>
                <c:formatCode>_("$"* #,##0.00_);_("$"* \(#,##0.00\);_("$"* "-"??_);_(@_)</c:formatCode>
                <c:ptCount val="1"/>
                <c:pt idx="0">
                  <c:v>1.0401367862814426E-2</c:v>
                </c:pt>
              </c:numCache>
            </c:numRef>
          </c:val>
          <c:extLst>
            <c:ext xmlns:c16="http://schemas.microsoft.com/office/drawing/2014/chart" uri="{C3380CC4-5D6E-409C-BE32-E72D297353CC}">
              <c16:uniqueId val="{0000000D-8AC6-4F12-838A-63DB1C6D34A1}"/>
            </c:ext>
          </c:extLst>
        </c:ser>
        <c:ser>
          <c:idx val="13"/>
          <c:order val="13"/>
          <c:tx>
            <c:strRef>
              <c:f>TEA!$R$201</c:f>
              <c:strCache>
                <c:ptCount val="1"/>
                <c:pt idx="0">
                  <c:v>Nutrients for EP</c:v>
                </c:pt>
              </c:strCache>
            </c:strRef>
          </c:tx>
          <c:spPr>
            <a:solidFill>
              <a:schemeClr val="accent2">
                <a:lumMod val="80000"/>
                <a:lumOff val="20000"/>
              </a:schemeClr>
            </a:solidFill>
            <a:ln>
              <a:noFill/>
            </a:ln>
            <a:effectLst/>
          </c:spPr>
          <c:invertIfNegative val="0"/>
          <c:val>
            <c:numRef>
              <c:f>TEA!$S$201</c:f>
              <c:numCache>
                <c:formatCode>_("$"* #,##0.00_);_("$"* \(#,##0.00\);_("$"* "-"??_);_(@_)</c:formatCode>
                <c:ptCount val="1"/>
                <c:pt idx="0">
                  <c:v>7.2363158126008444E-3</c:v>
                </c:pt>
              </c:numCache>
            </c:numRef>
          </c:val>
          <c:extLst>
            <c:ext xmlns:c16="http://schemas.microsoft.com/office/drawing/2014/chart" uri="{C3380CC4-5D6E-409C-BE32-E72D297353CC}">
              <c16:uniqueId val="{0000000E-8AC6-4F12-838A-63DB1C6D34A1}"/>
            </c:ext>
          </c:extLst>
        </c:ser>
        <c:ser>
          <c:idx val="14"/>
          <c:order val="14"/>
          <c:tx>
            <c:strRef>
              <c:f>TEA!$R$202</c:f>
              <c:strCache>
                <c:ptCount val="1"/>
                <c:pt idx="0">
                  <c:v>Flue Gas Desulf (FGD) Lime</c:v>
                </c:pt>
              </c:strCache>
            </c:strRef>
          </c:tx>
          <c:spPr>
            <a:solidFill>
              <a:srgbClr val="47FF47"/>
            </a:solidFill>
            <a:ln>
              <a:noFill/>
            </a:ln>
            <a:effectLst/>
          </c:spPr>
          <c:invertIfNegative val="0"/>
          <c:val>
            <c:numRef>
              <c:f>TEA!$S$202</c:f>
              <c:numCache>
                <c:formatCode>_("$"* #,##0.00_);_("$"* \(#,##0.00\);_("$"* "-"??_);_(@_)</c:formatCode>
                <c:ptCount val="1"/>
                <c:pt idx="0">
                  <c:v>3.2891361251336418E-2</c:v>
                </c:pt>
              </c:numCache>
            </c:numRef>
          </c:val>
          <c:extLst>
            <c:ext xmlns:c16="http://schemas.microsoft.com/office/drawing/2014/chart" uri="{C3380CC4-5D6E-409C-BE32-E72D297353CC}">
              <c16:uniqueId val="{0000000F-8AC6-4F12-838A-63DB1C6D34A1}"/>
            </c:ext>
          </c:extLst>
        </c:ser>
        <c:ser>
          <c:idx val="15"/>
          <c:order val="15"/>
          <c:tx>
            <c:strRef>
              <c:f>TEA!$R$203</c:f>
              <c:strCache>
                <c:ptCount val="1"/>
                <c:pt idx="0">
                  <c:v>NaOH Waste-water pH</c:v>
                </c:pt>
              </c:strCache>
            </c:strRef>
          </c:tx>
          <c:spPr>
            <a:solidFill>
              <a:srgbClr val="15FF15"/>
            </a:solidFill>
            <a:ln>
              <a:noFill/>
            </a:ln>
            <a:effectLst/>
          </c:spPr>
          <c:invertIfNegative val="0"/>
          <c:val>
            <c:numRef>
              <c:f>TEA!$S$203</c:f>
              <c:numCache>
                <c:formatCode>_("$"* #,##0.00_);_("$"* \(#,##0.00\);_("$"* "-"??_);_(@_)</c:formatCode>
                <c:ptCount val="1"/>
                <c:pt idx="0">
                  <c:v>4.38794258016919E-2</c:v>
                </c:pt>
              </c:numCache>
            </c:numRef>
          </c:val>
          <c:extLst>
            <c:ext xmlns:c16="http://schemas.microsoft.com/office/drawing/2014/chart" uri="{C3380CC4-5D6E-409C-BE32-E72D297353CC}">
              <c16:uniqueId val="{00000010-8AC6-4F12-838A-63DB1C6D34A1}"/>
            </c:ext>
          </c:extLst>
        </c:ser>
        <c:ser>
          <c:idx val="16"/>
          <c:order val="16"/>
          <c:tx>
            <c:strRef>
              <c:f>TEA!$R$204</c:f>
              <c:strCache>
                <c:ptCount val="1"/>
                <c:pt idx="0">
                  <c:v>Gasoline Denaturant</c:v>
                </c:pt>
              </c:strCache>
            </c:strRef>
          </c:tx>
          <c:spPr>
            <a:solidFill>
              <a:srgbClr val="00DE00"/>
            </a:solidFill>
            <a:ln>
              <a:noFill/>
            </a:ln>
            <a:effectLst/>
          </c:spPr>
          <c:invertIfNegative val="0"/>
          <c:val>
            <c:numRef>
              <c:f>TEA!$S$204</c:f>
              <c:numCache>
                <c:formatCode>_("$"* #,##0.00_);_("$"* \(#,##0.00\);_("$"* "-"??_);_(@_)</c:formatCode>
                <c:ptCount val="1"/>
                <c:pt idx="0">
                  <c:v>4.7231862786689213E-2</c:v>
                </c:pt>
              </c:numCache>
            </c:numRef>
          </c:val>
          <c:extLst>
            <c:ext xmlns:c16="http://schemas.microsoft.com/office/drawing/2014/chart" uri="{C3380CC4-5D6E-409C-BE32-E72D297353CC}">
              <c16:uniqueId val="{00000011-8AC6-4F12-838A-63DB1C6D34A1}"/>
            </c:ext>
          </c:extLst>
        </c:ser>
        <c:ser>
          <c:idx val="17"/>
          <c:order val="17"/>
          <c:tx>
            <c:strRef>
              <c:f>TEA!$R$205</c:f>
              <c:strCache>
                <c:ptCount val="1"/>
                <c:pt idx="0">
                  <c:v>Feedstock</c:v>
                </c:pt>
              </c:strCache>
            </c:strRef>
          </c:tx>
          <c:spPr>
            <a:solidFill>
              <a:srgbClr val="00A400"/>
            </a:solidFill>
            <a:ln>
              <a:noFill/>
            </a:ln>
            <a:effectLst/>
          </c:spPr>
          <c:invertIfNegative val="0"/>
          <c:val>
            <c:numRef>
              <c:f>TEA!$S$205</c:f>
              <c:numCache>
                <c:formatCode>_("$"* #,##0.00_);_("$"* \(#,##0.00\);_("$"* "-"??_);_(@_)</c:formatCode>
                <c:ptCount val="1"/>
                <c:pt idx="0">
                  <c:v>0.70452492622400009</c:v>
                </c:pt>
              </c:numCache>
            </c:numRef>
          </c:val>
          <c:extLst>
            <c:ext xmlns:c16="http://schemas.microsoft.com/office/drawing/2014/chart" uri="{C3380CC4-5D6E-409C-BE32-E72D297353CC}">
              <c16:uniqueId val="{00000012-8AC6-4F12-838A-63DB1C6D34A1}"/>
            </c:ext>
          </c:extLst>
        </c:ser>
        <c:ser>
          <c:idx val="18"/>
          <c:order val="18"/>
          <c:tx>
            <c:strRef>
              <c:f>TEA!$R$206</c:f>
              <c:strCache>
                <c:ptCount val="1"/>
                <c:pt idx="0">
                  <c:v>Electricity Credit</c:v>
                </c:pt>
              </c:strCache>
            </c:strRef>
          </c:tx>
          <c:spPr>
            <a:solidFill>
              <a:srgbClr val="FFFF00"/>
            </a:solidFill>
            <a:ln>
              <a:noFill/>
            </a:ln>
            <a:effectLst/>
          </c:spPr>
          <c:invertIfNegative val="0"/>
          <c:val>
            <c:numRef>
              <c:f>TEA!$S$206</c:f>
              <c:numCache>
                <c:formatCode>_("$"* #,##0.00_);_("$"* \(#,##0.00\);_("$"* "-"??_);_(@_)</c:formatCode>
                <c:ptCount val="1"/>
                <c:pt idx="0">
                  <c:v>-9.340455621753245E-2</c:v>
                </c:pt>
              </c:numCache>
            </c:numRef>
          </c:val>
          <c:extLst>
            <c:ext xmlns:c16="http://schemas.microsoft.com/office/drawing/2014/chart" uri="{C3380CC4-5D6E-409C-BE32-E72D297353CC}">
              <c16:uniqueId val="{00000013-8AC6-4F12-838A-63DB1C6D34A1}"/>
            </c:ext>
          </c:extLst>
        </c:ser>
        <c:ser>
          <c:idx val="19"/>
          <c:order val="19"/>
          <c:tx>
            <c:strRef>
              <c:f>TEA!$R$207</c:f>
              <c:strCache>
                <c:ptCount val="1"/>
                <c:pt idx="0">
                  <c:v>Fixed OPEX</c:v>
                </c:pt>
              </c:strCache>
            </c:strRef>
          </c:tx>
          <c:spPr>
            <a:solidFill>
              <a:schemeClr val="accent5">
                <a:lumMod val="75000"/>
              </a:schemeClr>
            </a:solidFill>
            <a:ln>
              <a:noFill/>
            </a:ln>
            <a:effectLst/>
          </c:spPr>
          <c:invertIfNegative val="0"/>
          <c:val>
            <c:numRef>
              <c:f>TEA!$S$207</c:f>
              <c:numCache>
                <c:formatCode>_("$"* #,##0.00_);_("$"* \(#,##0.00\);_("$"* "-"??_);_(@_)</c:formatCode>
                <c:ptCount val="1"/>
                <c:pt idx="0">
                  <c:v>0.17078397526016648</c:v>
                </c:pt>
              </c:numCache>
            </c:numRef>
          </c:val>
          <c:extLst>
            <c:ext xmlns:c16="http://schemas.microsoft.com/office/drawing/2014/chart" uri="{C3380CC4-5D6E-409C-BE32-E72D297353CC}">
              <c16:uniqueId val="{00000014-8AC6-4F12-838A-63DB1C6D34A1}"/>
            </c:ext>
          </c:extLst>
        </c:ser>
        <c:dLbls>
          <c:showLegendKey val="0"/>
          <c:showVal val="0"/>
          <c:showCatName val="0"/>
          <c:showSerName val="0"/>
          <c:showPercent val="0"/>
          <c:showBubbleSize val="0"/>
        </c:dLbls>
        <c:gapWidth val="150"/>
        <c:overlap val="100"/>
        <c:axId val="600463872"/>
        <c:axId val="600463216"/>
      </c:barChart>
      <c:catAx>
        <c:axId val="600463872"/>
        <c:scaling>
          <c:orientation val="minMax"/>
        </c:scaling>
        <c:delete val="0"/>
        <c:axPos val="b"/>
        <c:numFmt formatCode="General" sourceLinked="1"/>
        <c:majorTickMark val="none"/>
        <c:minorTickMark val="none"/>
        <c:tickLblPos val="none"/>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463216"/>
        <c:crosses val="autoZero"/>
        <c:auto val="1"/>
        <c:lblAlgn val="ctr"/>
        <c:lblOffset val="100"/>
        <c:noMultiLvlLbl val="0"/>
      </c:catAx>
      <c:valAx>
        <c:axId val="600463216"/>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0463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1295399</xdr:colOff>
      <xdr:row>116</xdr:row>
      <xdr:rowOff>65314</xdr:rowOff>
    </xdr:from>
    <xdr:to>
      <xdr:col>10</xdr:col>
      <xdr:colOff>1055913</xdr:colOff>
      <xdr:row>156</xdr:row>
      <xdr:rowOff>185056</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387530</xdr:colOff>
      <xdr:row>37</xdr:row>
      <xdr:rowOff>58238</xdr:rowOff>
    </xdr:from>
    <xdr:to>
      <xdr:col>30</xdr:col>
      <xdr:colOff>647700</xdr:colOff>
      <xdr:row>67</xdr:row>
      <xdr:rowOff>49530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30</xdr:col>
      <xdr:colOff>647700</xdr:colOff>
      <xdr:row>37</xdr:row>
      <xdr:rowOff>63500</xdr:rowOff>
    </xdr:from>
    <xdr:to>
      <xdr:col>41</xdr:col>
      <xdr:colOff>114300</xdr:colOff>
      <xdr:row>67</xdr:row>
      <xdr:rowOff>63500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1287186</xdr:colOff>
      <xdr:row>53</xdr:row>
      <xdr:rowOff>124938</xdr:rowOff>
    </xdr:from>
    <xdr:to>
      <xdr:col>18</xdr:col>
      <xdr:colOff>369422</xdr:colOff>
      <xdr:row>72</xdr:row>
      <xdr:rowOff>44929</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1478280</xdr:colOff>
      <xdr:row>175</xdr:row>
      <xdr:rowOff>41910</xdr:rowOff>
    </xdr:from>
    <xdr:to>
      <xdr:col>8</xdr:col>
      <xdr:colOff>723900</xdr:colOff>
      <xdr:row>217</xdr:row>
      <xdr:rowOff>86139</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786041</xdr:colOff>
      <xdr:row>175</xdr:row>
      <xdr:rowOff>57864</xdr:rowOff>
    </xdr:from>
    <xdr:to>
      <xdr:col>14</xdr:col>
      <xdr:colOff>735106</xdr:colOff>
      <xdr:row>212</xdr:row>
      <xdr:rowOff>71716</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5</xdr:col>
          <xdr:colOff>297180</xdr:colOff>
          <xdr:row>113</xdr:row>
          <xdr:rowOff>106680</xdr:rowOff>
        </xdr:from>
        <xdr:to>
          <xdr:col>6</xdr:col>
          <xdr:colOff>739140</xdr:colOff>
          <xdr:row>116</xdr:row>
          <xdr:rowOff>38100</xdr:rowOff>
        </xdr:to>
        <xdr:sp macro="" textlink="">
          <xdr:nvSpPr>
            <xdr:cNvPr id="9252" name="Button 36" hidden="1">
              <a:extLst>
                <a:ext uri="{63B3BB69-23CF-44E3-9099-C40C66FF867C}">
                  <a14:compatExt spid="_x0000_s9252"/>
                </a:ext>
                <a:ext uri="{FF2B5EF4-FFF2-40B4-BE49-F238E27FC236}">
                  <a16:creationId xmlns:a16="http://schemas.microsoft.com/office/drawing/2014/main" id="{00000000-0008-0000-0400-00002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acks074/Documents/ABM/z_Other%20(Non-Backed)%20Files/dw1102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Summary"/>
      <sheetName val="CB_DATA_"/>
      <sheetName val="OPEX"/>
      <sheetName val="CAPEX"/>
      <sheetName val="DCFROR"/>
      <sheetName val="Operating Summaries"/>
      <sheetName val="aspen"/>
      <sheetName val="Cost Breakdown"/>
      <sheetName val="Energy Bal"/>
      <sheetName val="aspen2"/>
      <sheetName val="aspenqw"/>
      <sheetName val="SUGAR"/>
      <sheetName val="INDICES"/>
      <sheetName val="PFD tables"/>
    </sheetNames>
    <sheetDataSet>
      <sheetData sheetId="0"/>
      <sheetData sheetId="1"/>
      <sheetData sheetId="2"/>
      <sheetData sheetId="3"/>
      <sheetData sheetId="4"/>
      <sheetData sheetId="5">
        <row r="35">
          <cell r="B35">
            <v>2.1546604292977896</v>
          </cell>
        </row>
      </sheetData>
      <sheetData sheetId="6"/>
      <sheetData sheetId="7"/>
      <sheetData sheetId="8"/>
      <sheetData sheetId="9"/>
      <sheetData sheetId="10"/>
      <sheetData sheetId="11"/>
      <sheetData sheetId="12"/>
      <sheetData sheetId="13"/>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ncbi.nlm.nih.gov/pmc/articles/PMC4461158/" TargetMode="External"/><Relationship Id="rId13" Type="http://schemas.openxmlformats.org/officeDocument/2006/relationships/hyperlink" Target="https://www.sciencedirect.com/science/article/pii/S0196890415007931" TargetMode="External"/><Relationship Id="rId18" Type="http://schemas.openxmlformats.org/officeDocument/2006/relationships/hyperlink" Target="http://cropphysiology.cropsci.illinois.edu/documents/BenderHaegele2013NutrUptakeBetterCrops.pdf" TargetMode="External"/><Relationship Id="rId3" Type="http://schemas.openxmlformats.org/officeDocument/2006/relationships/hyperlink" Target="https://www.ers.usda.gov/webdocs/publications/43883/49018_eib128.pdf?v=0" TargetMode="External"/><Relationship Id="rId21" Type="http://schemas.openxmlformats.org/officeDocument/2006/relationships/vmlDrawing" Target="../drawings/vmlDrawing4.vml"/><Relationship Id="rId7" Type="http://schemas.openxmlformats.org/officeDocument/2006/relationships/hyperlink" Target="https://www.nrel.gov/docs/gen/fy03/34471.pdf" TargetMode="External"/><Relationship Id="rId12" Type="http://schemas.openxmlformats.org/officeDocument/2006/relationships/hyperlink" Target="https://www.mdpi.com/2071-1050/4/1/92" TargetMode="External"/><Relationship Id="rId17" Type="http://schemas.openxmlformats.org/officeDocument/2006/relationships/hyperlink" Target="https://www.usda.gov/oce/reports/energy/2015EnergyBalanceCornEthanol.pdf" TargetMode="External"/><Relationship Id="rId2" Type="http://schemas.openxmlformats.org/officeDocument/2006/relationships/hyperlink" Target="https://www.agry.purdue.edu/ext/corn/news/timeless/SeedingRates.html" TargetMode="External"/><Relationship Id="rId16" Type="http://schemas.openxmlformats.org/officeDocument/2006/relationships/hyperlink" Target="https://www.sciencedirect.com/customer/institutionchoice?targetURL=https%3A%2F%2Fwww.sciencedirect.com%2Fscience%2Farticle%2Fpii%2FS0961953415301756" TargetMode="External"/><Relationship Id="rId20" Type="http://schemas.openxmlformats.org/officeDocument/2006/relationships/hyperlink" Target="https://earthobservatory.nasa.gov/features/CarbonCycle" TargetMode="External"/><Relationship Id="rId1" Type="http://schemas.openxmlformats.org/officeDocument/2006/relationships/hyperlink" Target="https://crops.extension.iastate.edu/cropnews/2017/06/corn-water-use-and-evapotranspiration" TargetMode="External"/><Relationship Id="rId6" Type="http://schemas.openxmlformats.org/officeDocument/2006/relationships/hyperlink" Target="../../../../../AppData/z_Other%20(Non-Backed)%20Files/Process%20Model%20Draft%20-%20Corn%20Stover%20to%20Ethanol/2%20-%20Pretreatment%20and%20Dilute%20Acid%20Hydrolysis/Size%20Reduction/Energy%20Analysis%20of%20Size%20Reduction%20Process%20-%20USED.pdf" TargetMode="External"/><Relationship Id="rId11" Type="http://schemas.openxmlformats.org/officeDocument/2006/relationships/hyperlink" Target="..\..\..\z_Other%20(Non-Backed)%20Files\Process%20Model%20Draft%20-%20Corn%20Stover%20to%20Ethanol\z_General%20or%20Multi-category\z_NREL%20Corn%20and%20Stover%20Index%20(PFD).pdf" TargetMode="External"/><Relationship Id="rId5" Type="http://schemas.openxmlformats.org/officeDocument/2006/relationships/hyperlink" Target="..\..\..\z_Other%20(Non-Backed)%20Files\Process%20Model%20Draft%20-%20Corn%20Stover%20to%20Ethanol\z_General%20or%20Multi-category\2015EnergyBalanceCornEthanol.pdf" TargetMode="External"/><Relationship Id="rId15" Type="http://schemas.openxmlformats.org/officeDocument/2006/relationships/hyperlink" Target="https://www.nass.usda.gov/Surveys/Guide_to_NASS_Surveys/Chemical_Use/2016_Corn_Potatoes/ChemUseHighlights_Corn_2016.pdf" TargetMode="External"/><Relationship Id="rId10" Type="http://schemas.openxmlformats.org/officeDocument/2006/relationships/hyperlink" Target="https://www.nrel.gov/docs/gen/fy03/34471.pdf" TargetMode="External"/><Relationship Id="rId19" Type="http://schemas.openxmlformats.org/officeDocument/2006/relationships/hyperlink" Target="http://cropphysiology.cropsci.illinois.edu/documents/BenderHaegele2013NutrUptakeBetterCrops.pdf" TargetMode="External"/><Relationship Id="rId4" Type="http://schemas.openxmlformats.org/officeDocument/2006/relationships/hyperlink" Target="https://www.nass.usda.gov/Surveys/Guide_to_NASS_Surveys/Chemical_Use/2014_Corn_Highlights/ChemUseHighlights_Corn_2014.pdf" TargetMode="External"/><Relationship Id="rId9" Type="http://schemas.openxmlformats.org/officeDocument/2006/relationships/hyperlink" Target="https://www.frontiersin.org/articles/10.3389/fbioe.2019.00188/full" TargetMode="External"/><Relationship Id="rId14" Type="http://schemas.openxmlformats.org/officeDocument/2006/relationships/hyperlink" Target="https://www.nrel.gov/docs/fy02osti/32438.pdf" TargetMode="External"/><Relationship Id="rId2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www.irs.gov/pub/irs-pdf/p946.pdf" TargetMode="External"/><Relationship Id="rId6" Type="http://schemas.openxmlformats.org/officeDocument/2006/relationships/comments" Target="../comments6.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FFFF00"/>
  </sheetPr>
  <dimension ref="F2:P26"/>
  <sheetViews>
    <sheetView topLeftCell="B2" zoomScale="110" zoomScaleNormal="110" workbookViewId="0">
      <selection activeCell="F20" sqref="F19:F20"/>
    </sheetView>
  </sheetViews>
  <sheetFormatPr defaultRowHeight="14.4" x14ac:dyDescent="0.3"/>
  <cols>
    <col min="10" max="10" width="6.109375" customWidth="1"/>
    <col min="11" max="11" width="21.77734375" customWidth="1"/>
    <col min="12" max="12" width="9.33203125" customWidth="1"/>
    <col min="13" max="13" width="9.44140625" customWidth="1"/>
    <col min="15" max="15" width="12.88671875" customWidth="1"/>
  </cols>
  <sheetData>
    <row r="2" spans="6:16" ht="27.6" customHeight="1" x14ac:dyDescent="0.3">
      <c r="F2" s="43"/>
      <c r="G2" s="43"/>
      <c r="H2" s="43"/>
      <c r="I2" s="43"/>
      <c r="J2" s="43"/>
      <c r="K2" s="43"/>
      <c r="L2" s="43"/>
      <c r="M2" s="43"/>
      <c r="N2" s="43"/>
      <c r="O2" s="43"/>
      <c r="P2" s="43"/>
    </row>
    <row r="3" spans="6:16" x14ac:dyDescent="0.3">
      <c r="F3" s="43"/>
      <c r="G3" s="292" t="s">
        <v>340</v>
      </c>
      <c r="H3" s="292"/>
      <c r="I3" s="292"/>
      <c r="J3" s="292"/>
      <c r="K3" s="292"/>
      <c r="L3" s="292"/>
      <c r="M3" s="292"/>
      <c r="N3" s="292"/>
      <c r="O3" s="292"/>
      <c r="P3" s="43"/>
    </row>
    <row r="4" spans="6:16" x14ac:dyDescent="0.3">
      <c r="F4" s="43"/>
      <c r="G4" s="298"/>
      <c r="H4" s="298"/>
      <c r="I4" s="298"/>
      <c r="J4" s="298"/>
      <c r="K4" s="298"/>
      <c r="L4" s="298"/>
      <c r="M4" s="298"/>
      <c r="N4" s="298"/>
      <c r="O4" s="298"/>
      <c r="P4" s="43"/>
    </row>
    <row r="5" spans="6:16" x14ac:dyDescent="0.3">
      <c r="F5" s="43"/>
      <c r="G5" s="298"/>
      <c r="H5" s="305" t="s">
        <v>341</v>
      </c>
      <c r="I5" s="306"/>
      <c r="J5" s="307"/>
      <c r="K5" s="298"/>
      <c r="L5" s="299" t="s">
        <v>342</v>
      </c>
      <c r="M5" s="299"/>
      <c r="N5" s="299"/>
      <c r="O5" s="298"/>
      <c r="P5" s="43"/>
    </row>
    <row r="6" spans="6:16" x14ac:dyDescent="0.3">
      <c r="F6" s="43"/>
      <c r="G6" s="298"/>
      <c r="H6" s="300" t="s">
        <v>343</v>
      </c>
      <c r="I6" s="301">
        <v>1</v>
      </c>
      <c r="J6" s="298" t="s">
        <v>7</v>
      </c>
      <c r="K6" s="298"/>
      <c r="L6" s="298" t="s">
        <v>345</v>
      </c>
      <c r="M6" s="302">
        <f>'Process Model'!R3</f>
        <v>1565.5364206060292</v>
      </c>
      <c r="N6" s="298" t="s">
        <v>209</v>
      </c>
      <c r="O6" s="298"/>
      <c r="P6" s="43"/>
    </row>
    <row r="7" spans="6:16" x14ac:dyDescent="0.3">
      <c r="F7" s="43"/>
      <c r="G7" s="298"/>
      <c r="H7" s="300" t="s">
        <v>979</v>
      </c>
      <c r="I7" s="298">
        <v>34</v>
      </c>
      <c r="J7" s="298" t="s">
        <v>585</v>
      </c>
      <c r="K7" s="298"/>
      <c r="L7" s="298" t="s">
        <v>96</v>
      </c>
      <c r="M7" s="303">
        <f>'Process Model'!M44</f>
        <v>703.77851622910475</v>
      </c>
      <c r="N7" s="298" t="s">
        <v>101</v>
      </c>
      <c r="O7" s="298"/>
      <c r="P7" s="43"/>
    </row>
    <row r="8" spans="6:16" x14ac:dyDescent="0.3">
      <c r="F8" s="43"/>
      <c r="G8" s="298"/>
      <c r="H8" s="300"/>
      <c r="I8" s="298"/>
      <c r="J8" s="298"/>
      <c r="K8" s="298"/>
      <c r="L8" s="300"/>
      <c r="M8" s="298"/>
      <c r="N8" s="298"/>
      <c r="O8" s="298"/>
      <c r="P8" s="43"/>
    </row>
    <row r="9" spans="6:16" x14ac:dyDescent="0.3">
      <c r="F9" s="43"/>
      <c r="G9" s="298"/>
      <c r="H9" s="300"/>
      <c r="I9" s="298"/>
      <c r="J9" s="298"/>
      <c r="K9" s="298"/>
      <c r="L9" s="300" t="s">
        <v>980</v>
      </c>
      <c r="M9" s="303">
        <f>LCA!G78</f>
        <v>2.7381161773642897</v>
      </c>
      <c r="N9" s="298" t="s">
        <v>994</v>
      </c>
      <c r="O9" s="298"/>
      <c r="P9" s="43"/>
    </row>
    <row r="10" spans="6:16" x14ac:dyDescent="0.3">
      <c r="F10" s="43"/>
      <c r="G10" s="298"/>
      <c r="H10" s="300"/>
      <c r="I10" s="298"/>
      <c r="J10" s="298"/>
      <c r="K10" s="298"/>
      <c r="L10" s="300" t="s">
        <v>981</v>
      </c>
      <c r="M10" s="303">
        <f>(Inputs!A16+DAH_Dilution_Water_I+EH_Dilution_Water_Input)/'Process Model'!R4</f>
        <v>11367.469174160247</v>
      </c>
      <c r="N10" s="298" t="s">
        <v>995</v>
      </c>
      <c r="O10" s="298"/>
      <c r="P10" s="43"/>
    </row>
    <row r="11" spans="6:16" x14ac:dyDescent="0.3">
      <c r="F11" s="43"/>
      <c r="G11" s="298"/>
      <c r="H11" s="300"/>
      <c r="I11" s="298"/>
      <c r="J11" s="298"/>
      <c r="K11" s="298"/>
      <c r="L11" s="300" t="s">
        <v>982</v>
      </c>
      <c r="M11" s="303">
        <f>MESP</f>
        <v>1.975659091885628</v>
      </c>
      <c r="N11" s="298" t="s">
        <v>992</v>
      </c>
      <c r="O11" s="298"/>
      <c r="P11" s="43"/>
    </row>
    <row r="12" spans="6:16" x14ac:dyDescent="0.3">
      <c r="F12" s="43"/>
      <c r="G12" s="298"/>
      <c r="H12" s="300"/>
      <c r="I12" s="298"/>
      <c r="J12" s="298"/>
      <c r="K12" s="298"/>
      <c r="L12" s="301"/>
      <c r="M12" s="301"/>
      <c r="N12" s="301"/>
      <c r="O12" s="298"/>
      <c r="P12" s="43"/>
    </row>
    <row r="13" spans="6:16" x14ac:dyDescent="0.3">
      <c r="F13" s="43"/>
      <c r="G13" s="298"/>
      <c r="H13" s="300"/>
      <c r="I13" s="298"/>
      <c r="J13" s="298"/>
      <c r="K13" s="298"/>
      <c r="L13" s="304" t="s">
        <v>983</v>
      </c>
      <c r="M13" s="304"/>
      <c r="N13" s="304"/>
      <c r="O13" s="298"/>
      <c r="P13" s="43"/>
    </row>
    <row r="14" spans="6:16" ht="1.8" customHeight="1" x14ac:dyDescent="0.3">
      <c r="F14" s="43"/>
      <c r="G14" s="298"/>
      <c r="H14" s="300"/>
      <c r="I14" s="298"/>
      <c r="J14" s="298"/>
      <c r="K14" s="298"/>
      <c r="L14" s="301"/>
      <c r="M14" s="301"/>
      <c r="N14" s="301"/>
      <c r="O14" s="298"/>
      <c r="P14" s="43"/>
    </row>
    <row r="15" spans="6:16" x14ac:dyDescent="0.3">
      <c r="F15" s="43"/>
      <c r="G15" s="298"/>
      <c r="H15" s="300"/>
      <c r="I15" s="298"/>
      <c r="J15" s="298"/>
      <c r="K15" s="298"/>
      <c r="L15" s="300" t="s">
        <v>984</v>
      </c>
      <c r="M15" s="308">
        <f>LCA!D78</f>
        <v>1.3773569051833618E-2</v>
      </c>
      <c r="N15" s="309" t="s">
        <v>996</v>
      </c>
      <c r="O15" s="298"/>
      <c r="P15" s="43"/>
    </row>
    <row r="16" spans="6:16" x14ac:dyDescent="0.3">
      <c r="F16" s="43"/>
      <c r="G16" s="298"/>
      <c r="H16" s="300"/>
      <c r="I16" s="298"/>
      <c r="J16" s="298"/>
      <c r="K16" s="298"/>
      <c r="L16" s="300" t="s">
        <v>985</v>
      </c>
      <c r="M16" s="308">
        <f>LCA!E78</f>
        <v>3.9316500882870935</v>
      </c>
      <c r="N16" s="309" t="s">
        <v>997</v>
      </c>
      <c r="O16" s="298"/>
      <c r="P16" s="43"/>
    </row>
    <row r="17" spans="6:16" x14ac:dyDescent="0.3">
      <c r="F17" s="43"/>
      <c r="G17" s="298"/>
      <c r="H17" s="300"/>
      <c r="I17" s="298"/>
      <c r="J17" s="298"/>
      <c r="K17" s="298"/>
      <c r="L17" s="300" t="s">
        <v>986</v>
      </c>
      <c r="M17" s="308">
        <f>LCA!F78</f>
        <v>3.5006898896026706E-3</v>
      </c>
      <c r="N17" s="309" t="s">
        <v>998</v>
      </c>
      <c r="O17" s="298"/>
      <c r="P17" s="43"/>
    </row>
    <row r="18" spans="6:16" x14ac:dyDescent="0.3">
      <c r="F18" s="43"/>
      <c r="G18" s="298"/>
      <c r="H18" s="300"/>
      <c r="I18" s="298"/>
      <c r="J18" s="298"/>
      <c r="K18" s="298"/>
      <c r="L18" s="300" t="s">
        <v>987</v>
      </c>
      <c r="M18" s="308">
        <f>LCA!H78</f>
        <v>1.5799229665060205E-8</v>
      </c>
      <c r="N18" s="309" t="s">
        <v>999</v>
      </c>
      <c r="O18" s="298"/>
      <c r="P18" s="43"/>
    </row>
    <row r="19" spans="6:16" x14ac:dyDescent="0.3">
      <c r="F19" s="43"/>
      <c r="G19" s="298"/>
      <c r="H19" s="300"/>
      <c r="I19" s="298"/>
      <c r="J19" s="298"/>
      <c r="K19" s="298"/>
      <c r="L19" s="300" t="s">
        <v>988</v>
      </c>
      <c r="M19" s="308">
        <f>LCA!I78</f>
        <v>1.7371710406910076E-7</v>
      </c>
      <c r="N19" s="309" t="s">
        <v>999</v>
      </c>
      <c r="O19" s="298"/>
      <c r="P19" s="43"/>
    </row>
    <row r="20" spans="6:16" x14ac:dyDescent="0.3">
      <c r="F20" s="43"/>
      <c r="G20" s="298"/>
      <c r="H20" s="300"/>
      <c r="I20" s="298"/>
      <c r="J20" s="298"/>
      <c r="K20" s="298"/>
      <c r="L20" s="300" t="s">
        <v>989</v>
      </c>
      <c r="M20" s="308">
        <f>LCA!J78</f>
        <v>2.9711955705569817E-7</v>
      </c>
      <c r="N20" s="309" t="s">
        <v>1000</v>
      </c>
      <c r="O20" s="298"/>
      <c r="P20" s="43"/>
    </row>
    <row r="21" spans="6:16" x14ac:dyDescent="0.3">
      <c r="F21" s="43"/>
      <c r="G21" s="298"/>
      <c r="H21" s="300"/>
      <c r="I21" s="298"/>
      <c r="J21" s="298"/>
      <c r="K21" s="298"/>
      <c r="L21" s="300" t="s">
        <v>990</v>
      </c>
      <c r="M21" s="308">
        <f>LCA!K78</f>
        <v>0.126775846641041</v>
      </c>
      <c r="N21" s="309" t="s">
        <v>1001</v>
      </c>
      <c r="O21" s="298"/>
      <c r="P21" s="43"/>
    </row>
    <row r="22" spans="6:16" x14ac:dyDescent="0.3">
      <c r="F22" s="43"/>
      <c r="G22" s="298"/>
      <c r="H22" s="300"/>
      <c r="I22" s="298"/>
      <c r="J22" s="298"/>
      <c r="K22" s="298"/>
      <c r="L22" s="300" t="s">
        <v>993</v>
      </c>
      <c r="M22" s="308">
        <f>LCA!L78</f>
        <v>3.4420019480858621</v>
      </c>
      <c r="N22" s="309" t="s">
        <v>1002</v>
      </c>
      <c r="O22" s="298"/>
      <c r="P22" s="43"/>
    </row>
    <row r="23" spans="6:16" x14ac:dyDescent="0.3">
      <c r="F23" s="43"/>
      <c r="G23" s="298"/>
      <c r="H23" s="300"/>
      <c r="I23" s="298"/>
      <c r="J23" s="298"/>
      <c r="K23" s="298"/>
      <c r="L23" s="300" t="s">
        <v>991</v>
      </c>
      <c r="M23" s="308">
        <f>LCA!M78</f>
        <v>2.3979572840082249E-4</v>
      </c>
      <c r="N23" s="309" t="s">
        <v>1003</v>
      </c>
      <c r="O23" s="298"/>
      <c r="P23" s="43"/>
    </row>
    <row r="24" spans="6:16" x14ac:dyDescent="0.3">
      <c r="F24" s="43"/>
      <c r="G24" s="298"/>
      <c r="H24" s="300"/>
      <c r="I24" s="298"/>
      <c r="J24" s="298"/>
      <c r="K24" s="298"/>
      <c r="L24" s="300"/>
      <c r="M24" s="298"/>
      <c r="N24" s="298"/>
      <c r="O24" s="298"/>
      <c r="P24" s="43"/>
    </row>
    <row r="25" spans="6:16" x14ac:dyDescent="0.3">
      <c r="F25" s="43"/>
      <c r="G25" s="298"/>
      <c r="H25" s="298"/>
      <c r="I25" s="298"/>
      <c r="J25" s="298"/>
      <c r="K25" s="298"/>
      <c r="L25" s="300"/>
      <c r="M25" s="298"/>
      <c r="N25" s="298"/>
      <c r="O25" s="298"/>
      <c r="P25" s="43"/>
    </row>
    <row r="26" spans="6:16" ht="27.6" customHeight="1" x14ac:dyDescent="0.3">
      <c r="F26" s="43"/>
      <c r="G26" s="43"/>
      <c r="H26" s="43"/>
      <c r="I26" s="43"/>
      <c r="J26" s="43"/>
      <c r="K26" s="43"/>
      <c r="L26" s="43"/>
      <c r="M26" s="43"/>
      <c r="N26" s="43"/>
      <c r="O26" s="43"/>
      <c r="P26" s="43"/>
    </row>
  </sheetData>
  <mergeCells count="4">
    <mergeCell ref="G3:O3"/>
    <mergeCell ref="H5:J5"/>
    <mergeCell ref="L5:N5"/>
    <mergeCell ref="L13:N13"/>
  </mergeCell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4" tint="0.59999389629810485"/>
  </sheetPr>
  <dimension ref="A1:R1254"/>
  <sheetViews>
    <sheetView topLeftCell="C1" zoomScaleNormal="100" workbookViewId="0">
      <selection activeCell="L14" sqref="L14:N14"/>
    </sheetView>
  </sheetViews>
  <sheetFormatPr defaultRowHeight="14.4" x14ac:dyDescent="0.3"/>
  <cols>
    <col min="1" max="1" width="12.109375" customWidth="1"/>
    <col min="2" max="2" width="28.88671875" customWidth="1"/>
    <col min="3" max="3" width="6.77734375" customWidth="1"/>
    <col min="4" max="4" width="13.44140625" customWidth="1"/>
    <col min="5" max="5" width="2.33203125" style="18" customWidth="1"/>
    <col min="6" max="6" width="10.5546875" customWidth="1"/>
    <col min="7" max="7" width="28.88671875" customWidth="1"/>
    <col min="8" max="8" width="11.33203125" customWidth="1"/>
    <col min="9" max="9" width="13.5546875" customWidth="1"/>
    <col min="10" max="10" width="2.33203125" style="18" customWidth="1"/>
    <col min="11" max="11" width="12.21875" customWidth="1"/>
    <col min="12" max="12" width="9.77734375" customWidth="1"/>
    <col min="14" max="14" width="7.21875" customWidth="1"/>
    <col min="15" max="15" width="11.44140625" customWidth="1"/>
    <col min="16" max="16" width="11.6640625" customWidth="1"/>
    <col min="17" max="17" width="18.5546875" customWidth="1"/>
  </cols>
  <sheetData>
    <row r="1" spans="1:17" x14ac:dyDescent="0.3">
      <c r="A1" s="261" t="s">
        <v>921</v>
      </c>
      <c r="B1" s="261"/>
      <c r="C1" s="261"/>
      <c r="D1" s="261"/>
      <c r="F1" s="261" t="s">
        <v>922</v>
      </c>
      <c r="G1" s="261"/>
      <c r="H1" s="261"/>
      <c r="I1" s="261"/>
      <c r="K1" s="261" t="s">
        <v>572</v>
      </c>
      <c r="L1" s="260"/>
      <c r="M1" s="260"/>
      <c r="N1" s="260"/>
      <c r="P1" s="260" t="s">
        <v>948</v>
      </c>
      <c r="Q1" s="260"/>
    </row>
    <row r="2" spans="1:17" x14ac:dyDescent="0.3">
      <c r="A2" s="261"/>
      <c r="B2" s="261"/>
      <c r="C2" s="261"/>
      <c r="D2" s="261"/>
      <c r="F2" s="261"/>
      <c r="G2" s="261"/>
      <c r="H2" s="261"/>
      <c r="I2" s="261"/>
      <c r="K2" s="260"/>
      <c r="L2" s="260"/>
      <c r="M2" s="260"/>
      <c r="N2" s="260"/>
      <c r="P2" s="245" t="s">
        <v>933</v>
      </c>
      <c r="Q2" s="244" t="s">
        <v>564</v>
      </c>
    </row>
    <row r="3" spans="1:17" x14ac:dyDescent="0.3">
      <c r="A3" s="263" t="s">
        <v>599</v>
      </c>
      <c r="B3" s="263"/>
      <c r="C3" s="263"/>
      <c r="D3" s="263"/>
      <c r="E3" s="19"/>
      <c r="F3" s="263" t="s">
        <v>355</v>
      </c>
      <c r="G3" s="263"/>
      <c r="H3" s="263"/>
      <c r="I3" s="263"/>
      <c r="J3" s="19"/>
      <c r="K3" s="295">
        <v>17.694593626924501</v>
      </c>
      <c r="L3" s="294" t="s">
        <v>974</v>
      </c>
      <c r="M3" s="294"/>
      <c r="N3" s="294"/>
      <c r="O3" s="3" t="s">
        <v>8</v>
      </c>
      <c r="P3" s="222" t="s">
        <v>351</v>
      </c>
      <c r="Q3" t="s">
        <v>937</v>
      </c>
    </row>
    <row r="4" spans="1:17" x14ac:dyDescent="0.3">
      <c r="A4" s="44" t="s">
        <v>254</v>
      </c>
      <c r="B4" s="44" t="s">
        <v>255</v>
      </c>
      <c r="C4" s="44" t="s">
        <v>256</v>
      </c>
      <c r="D4" s="44" t="s">
        <v>257</v>
      </c>
      <c r="E4" s="19"/>
      <c r="F4" s="44" t="s">
        <v>254</v>
      </c>
      <c r="G4" s="44" t="s">
        <v>255</v>
      </c>
      <c r="H4" s="44" t="s">
        <v>256</v>
      </c>
      <c r="I4" s="44" t="s">
        <v>257</v>
      </c>
      <c r="J4" s="19"/>
      <c r="K4" s="246">
        <v>1</v>
      </c>
      <c r="L4" s="259" t="s">
        <v>924</v>
      </c>
      <c r="M4" s="259"/>
      <c r="N4" s="259"/>
      <c r="O4" t="s">
        <v>923</v>
      </c>
      <c r="P4" t="s">
        <v>568</v>
      </c>
      <c r="Q4" t="s">
        <v>941</v>
      </c>
    </row>
    <row r="5" spans="1:17" x14ac:dyDescent="0.3">
      <c r="A5" s="6">
        <f>K3</f>
        <v>17.694593626924501</v>
      </c>
      <c r="B5" t="s">
        <v>351</v>
      </c>
      <c r="C5" s="53" t="s">
        <v>8</v>
      </c>
      <c r="D5" s="52">
        <v>110</v>
      </c>
      <c r="F5">
        <f>'Process Model'!C85</f>
        <v>56.124000000000002</v>
      </c>
      <c r="G5" t="s">
        <v>235</v>
      </c>
      <c r="H5" s="53" t="s">
        <v>237</v>
      </c>
      <c r="I5" s="54">
        <v>170</v>
      </c>
      <c r="K5" s="246">
        <v>1</v>
      </c>
      <c r="L5" s="259" t="s">
        <v>925</v>
      </c>
      <c r="M5" s="259"/>
      <c r="N5" s="259"/>
      <c r="O5" t="s">
        <v>923</v>
      </c>
      <c r="P5" t="s">
        <v>569</v>
      </c>
      <c r="Q5" t="s">
        <v>590</v>
      </c>
    </row>
    <row r="6" spans="1:17" x14ac:dyDescent="0.3">
      <c r="A6" s="6">
        <f>K7</f>
        <v>161.37</v>
      </c>
      <c r="B6" t="s">
        <v>571</v>
      </c>
      <c r="C6" s="53" t="s">
        <v>8</v>
      </c>
      <c r="D6" s="52">
        <v>130</v>
      </c>
      <c r="F6" s="58">
        <f>Diesel_Use_Crop_Input*'Conversions Page'!D13*43.4</f>
        <v>9220.4320264559992</v>
      </c>
      <c r="G6" s="3" t="s">
        <v>363</v>
      </c>
      <c r="H6" s="52" t="s">
        <v>115</v>
      </c>
      <c r="I6" s="54">
        <v>170</v>
      </c>
      <c r="K6" s="246">
        <v>1</v>
      </c>
      <c r="L6" s="259" t="s">
        <v>926</v>
      </c>
      <c r="M6" s="259"/>
      <c r="N6" s="259"/>
      <c r="O6" t="s">
        <v>923</v>
      </c>
      <c r="P6" t="s">
        <v>570</v>
      </c>
      <c r="Q6" t="s">
        <v>949</v>
      </c>
    </row>
    <row r="7" spans="1:17" x14ac:dyDescent="0.3">
      <c r="A7" s="6">
        <f>K8</f>
        <v>15.65</v>
      </c>
      <c r="B7" t="s">
        <v>582</v>
      </c>
      <c r="C7" s="53" t="s">
        <v>8</v>
      </c>
      <c r="D7" s="52">
        <v>130</v>
      </c>
      <c r="F7">
        <f>'Process Model'!C84</f>
        <v>2.9649999999999999</v>
      </c>
      <c r="G7" t="s">
        <v>234</v>
      </c>
      <c r="H7" s="53" t="s">
        <v>236</v>
      </c>
      <c r="I7" s="54">
        <v>170</v>
      </c>
      <c r="K7" s="296">
        <v>161.37</v>
      </c>
      <c r="L7" s="259" t="s">
        <v>975</v>
      </c>
      <c r="M7" s="259"/>
      <c r="N7" s="259"/>
      <c r="O7" t="s">
        <v>8</v>
      </c>
      <c r="P7" t="s">
        <v>565</v>
      </c>
      <c r="Q7" t="s">
        <v>950</v>
      </c>
    </row>
    <row r="8" spans="1:17" x14ac:dyDescent="0.3">
      <c r="A8" s="6">
        <f>K9</f>
        <v>76.09</v>
      </c>
      <c r="B8" t="s">
        <v>583</v>
      </c>
      <c r="C8" s="53" t="s">
        <v>8</v>
      </c>
      <c r="D8" s="52">
        <v>130</v>
      </c>
      <c r="F8" s="3"/>
      <c r="G8" s="3"/>
      <c r="H8" s="52"/>
      <c r="I8" s="54"/>
      <c r="K8" s="296">
        <v>15.65</v>
      </c>
      <c r="L8" s="259" t="s">
        <v>976</v>
      </c>
      <c r="M8" s="259"/>
      <c r="N8" s="259"/>
      <c r="O8" t="s">
        <v>8</v>
      </c>
      <c r="P8" t="s">
        <v>567</v>
      </c>
      <c r="Q8" t="s">
        <v>382</v>
      </c>
    </row>
    <row r="9" spans="1:17" x14ac:dyDescent="0.3">
      <c r="A9" s="22">
        <f>K10-(A6-'Process Model'!C53)</f>
        <v>125.51999999999998</v>
      </c>
      <c r="B9" t="s">
        <v>573</v>
      </c>
      <c r="C9" s="75" t="s">
        <v>8</v>
      </c>
      <c r="D9" s="76">
        <v>130</v>
      </c>
      <c r="I9" s="54"/>
      <c r="K9" s="296">
        <v>76.09</v>
      </c>
      <c r="L9" s="259" t="s">
        <v>977</v>
      </c>
      <c r="M9" s="259"/>
      <c r="N9" s="259"/>
      <c r="O9" t="s">
        <v>8</v>
      </c>
      <c r="P9" t="s">
        <v>566</v>
      </c>
      <c r="Q9" t="s">
        <v>591</v>
      </c>
    </row>
    <row r="10" spans="1:17" x14ac:dyDescent="0.3">
      <c r="A10" s="22">
        <f>K11-(A7-'Process Model'!C54)</f>
        <v>97.539999999999992</v>
      </c>
      <c r="B10" t="s">
        <v>574</v>
      </c>
      <c r="C10" s="75" t="s">
        <v>8</v>
      </c>
      <c r="D10" s="76">
        <v>130</v>
      </c>
      <c r="I10" s="54"/>
      <c r="K10" s="136">
        <v>286.89</v>
      </c>
      <c r="L10" s="259" t="s">
        <v>927</v>
      </c>
      <c r="M10" s="259"/>
      <c r="N10" s="259"/>
      <c r="O10" t="s">
        <v>8</v>
      </c>
      <c r="P10" t="s">
        <v>932</v>
      </c>
      <c r="Q10" t="s">
        <v>951</v>
      </c>
    </row>
    <row r="11" spans="1:17" x14ac:dyDescent="0.3">
      <c r="A11" s="22">
        <f>K12-(A8-'Process Model'!C55)</f>
        <v>125.63</v>
      </c>
      <c r="B11" t="s">
        <v>575</v>
      </c>
      <c r="C11" s="75" t="s">
        <v>8</v>
      </c>
      <c r="D11" s="76">
        <v>130</v>
      </c>
      <c r="I11" s="66"/>
      <c r="K11" s="136">
        <v>113.19</v>
      </c>
      <c r="L11" s="259" t="s">
        <v>928</v>
      </c>
      <c r="M11" s="259"/>
      <c r="N11" s="259"/>
      <c r="O11" t="s">
        <v>8</v>
      </c>
      <c r="P11" t="s">
        <v>934</v>
      </c>
    </row>
    <row r="12" spans="1:17" x14ac:dyDescent="0.3">
      <c r="A12" s="22">
        <f>K13</f>
        <v>25.78</v>
      </c>
      <c r="B12" t="s">
        <v>576</v>
      </c>
      <c r="C12" s="75" t="s">
        <v>8</v>
      </c>
      <c r="D12" s="76">
        <v>130</v>
      </c>
      <c r="I12" s="66"/>
      <c r="K12" s="247">
        <v>201.72</v>
      </c>
      <c r="L12" s="259" t="s">
        <v>929</v>
      </c>
      <c r="M12" s="259"/>
      <c r="N12" s="259"/>
      <c r="O12" t="s">
        <v>8</v>
      </c>
      <c r="P12" t="s">
        <v>935</v>
      </c>
    </row>
    <row r="13" spans="1:17" x14ac:dyDescent="0.3">
      <c r="A13" s="28">
        <f>'Process Model'!C59</f>
        <v>452.3</v>
      </c>
      <c r="B13" t="s">
        <v>232</v>
      </c>
      <c r="C13" s="53" t="s">
        <v>8</v>
      </c>
      <c r="D13" s="52">
        <v>140</v>
      </c>
      <c r="F13" s="3"/>
      <c r="G13" s="3"/>
      <c r="H13" s="52"/>
      <c r="I13" s="54"/>
      <c r="K13" s="136">
        <v>25.78</v>
      </c>
      <c r="L13" s="259" t="s">
        <v>930</v>
      </c>
      <c r="M13" s="259"/>
      <c r="N13" s="259"/>
      <c r="O13" t="s">
        <v>8</v>
      </c>
      <c r="P13" t="s">
        <v>936</v>
      </c>
    </row>
    <row r="14" spans="1:17" x14ac:dyDescent="0.3">
      <c r="A14" s="107">
        <v>1.2130000000000001</v>
      </c>
      <c r="B14" t="s">
        <v>233</v>
      </c>
      <c r="C14" s="53" t="s">
        <v>8</v>
      </c>
      <c r="D14" s="52">
        <v>160</v>
      </c>
      <c r="H14" s="53"/>
      <c r="I14" s="54"/>
      <c r="K14" s="109">
        <f>SUM(A9:A12)</f>
        <v>374.46999999999991</v>
      </c>
      <c r="L14" s="259" t="s">
        <v>931</v>
      </c>
      <c r="M14" s="259"/>
      <c r="N14" s="259"/>
      <c r="O14" t="s">
        <v>8</v>
      </c>
      <c r="P14" t="s">
        <v>940</v>
      </c>
    </row>
    <row r="15" spans="1:17" x14ac:dyDescent="0.3">
      <c r="A15" s="28">
        <f>0.436*K20/(12.017/44.01)</f>
        <v>33055.830359649139</v>
      </c>
      <c r="B15" t="s">
        <v>510</v>
      </c>
      <c r="C15" s="75" t="s">
        <v>8</v>
      </c>
      <c r="D15" s="76">
        <v>180</v>
      </c>
      <c r="H15" s="15"/>
      <c r="I15" s="15"/>
      <c r="K15" s="248">
        <v>0.54169399100000004</v>
      </c>
      <c r="L15" s="259" t="s">
        <v>588</v>
      </c>
      <c r="M15" s="259"/>
      <c r="N15" s="259"/>
      <c r="O15" t="s">
        <v>923</v>
      </c>
      <c r="P15" s="133" t="s">
        <v>938</v>
      </c>
    </row>
    <row r="16" spans="1:17" x14ac:dyDescent="0.3">
      <c r="A16" s="3">
        <f>K17*K15</f>
        <v>4664015.4830839848</v>
      </c>
      <c r="B16" t="s">
        <v>589</v>
      </c>
      <c r="C16" s="75" t="s">
        <v>8</v>
      </c>
      <c r="D16" s="218">
        <v>120</v>
      </c>
      <c r="K16" s="249">
        <v>0.99770064199999997</v>
      </c>
      <c r="L16" s="259" t="s">
        <v>590</v>
      </c>
      <c r="M16" s="259"/>
      <c r="N16" s="259"/>
      <c r="O16" t="s">
        <v>923</v>
      </c>
      <c r="P16" t="s">
        <v>939</v>
      </c>
    </row>
    <row r="17" spans="1:18" x14ac:dyDescent="0.3">
      <c r="K17" s="109">
        <f>(((K25/12)*'Conversions Page'!D6)/'Conversions Page'!D14)*'Conversions Page'!D15*997</f>
        <v>8610055.7890146226</v>
      </c>
      <c r="L17" s="259" t="s">
        <v>942</v>
      </c>
      <c r="M17" s="259"/>
      <c r="N17" s="259"/>
      <c r="O17" s="10" t="s">
        <v>8</v>
      </c>
      <c r="P17" t="s">
        <v>946</v>
      </c>
    </row>
    <row r="18" spans="1:18" x14ac:dyDescent="0.3">
      <c r="A18" s="16">
        <f>SUM(A5:A12,A14,A15,A16)</f>
        <v>4697717.8010372613</v>
      </c>
      <c r="B18" t="s">
        <v>364</v>
      </c>
      <c r="C18" s="53" t="s">
        <v>8</v>
      </c>
      <c r="D18" s="3"/>
      <c r="F18" s="11">
        <f>F6</f>
        <v>9220.4320264559992</v>
      </c>
      <c r="G18" t="s">
        <v>365</v>
      </c>
      <c r="H18" s="53" t="s">
        <v>115</v>
      </c>
      <c r="I18" s="54"/>
      <c r="K18" s="111">
        <f>A16*K16</f>
        <v>4653291.2417708319</v>
      </c>
      <c r="L18" s="259" t="s">
        <v>943</v>
      </c>
      <c r="M18" s="259"/>
      <c r="N18" s="259"/>
      <c r="O18" s="10" t="s">
        <v>8</v>
      </c>
      <c r="P18" t="s">
        <v>947</v>
      </c>
    </row>
    <row r="19" spans="1:18" x14ac:dyDescent="0.3">
      <c r="A19" s="264" t="s">
        <v>600</v>
      </c>
      <c r="B19" s="264"/>
      <c r="C19" s="264"/>
      <c r="D19" s="264"/>
      <c r="F19" s="264" t="s">
        <v>354</v>
      </c>
      <c r="G19" s="264"/>
      <c r="H19" s="264"/>
      <c r="I19" s="264"/>
      <c r="K19" s="111">
        <f>A16-K18</f>
        <v>10724.241313152947</v>
      </c>
      <c r="L19" s="259" t="s">
        <v>944</v>
      </c>
      <c r="M19" s="259"/>
      <c r="N19" s="259"/>
      <c r="O19" s="10" t="s">
        <v>8</v>
      </c>
    </row>
    <row r="20" spans="1:18" x14ac:dyDescent="0.3">
      <c r="A20" s="28">
        <f>Dilution_Water_Added</f>
        <v>18875.811999999998</v>
      </c>
      <c r="B20" t="s">
        <v>239</v>
      </c>
      <c r="C20" s="53" t="s">
        <v>8</v>
      </c>
      <c r="D20" s="52">
        <v>300</v>
      </c>
      <c r="F20" s="57">
        <f>Elec_Reqd_Comminution</f>
        <v>683.03195999999991</v>
      </c>
      <c r="G20" t="s">
        <v>238</v>
      </c>
      <c r="H20" s="53" t="s">
        <v>115</v>
      </c>
      <c r="I20" s="53">
        <v>200</v>
      </c>
      <c r="K20" s="109">
        <f>K19/0.46*(15.997/18.01528)</f>
        <v>20701.712571157914</v>
      </c>
      <c r="L20" s="259" t="s">
        <v>945</v>
      </c>
      <c r="M20" s="259"/>
      <c r="N20" s="259"/>
      <c r="O20" s="10" t="s">
        <v>8</v>
      </c>
    </row>
    <row r="21" spans="1:18" x14ac:dyDescent="0.3">
      <c r="A21" s="28">
        <f>Acid_Per_ha</f>
        <v>151.006496</v>
      </c>
      <c r="B21" t="s">
        <v>240</v>
      </c>
      <c r="C21" s="53" t="s">
        <v>8</v>
      </c>
      <c r="D21" s="52">
        <v>300</v>
      </c>
      <c r="F21" s="11">
        <f>Elec_Handling_BM_Input</f>
        <v>66.61127299492064</v>
      </c>
      <c r="G21" t="s">
        <v>359</v>
      </c>
      <c r="H21" s="53" t="s">
        <v>115</v>
      </c>
      <c r="I21" s="53">
        <v>200</v>
      </c>
      <c r="K21" s="109">
        <f>(0.53)*K20</f>
        <v>10971.907662713695</v>
      </c>
      <c r="L21" s="259" t="s">
        <v>382</v>
      </c>
      <c r="M21" s="259"/>
      <c r="N21" s="259"/>
      <c r="O21" s="10" t="s">
        <v>8</v>
      </c>
    </row>
    <row r="22" spans="1:18" x14ac:dyDescent="0.3">
      <c r="A22" s="28">
        <f>Base_Per_ha</f>
        <v>52.443267842779797</v>
      </c>
      <c r="B22" t="s">
        <v>241</v>
      </c>
      <c r="C22" s="53" t="s">
        <v>8</v>
      </c>
      <c r="D22" s="52">
        <v>300</v>
      </c>
      <c r="F22" s="11">
        <f>'Process Model'!H25</f>
        <v>13026.086493909199</v>
      </c>
      <c r="G22" t="s">
        <v>242</v>
      </c>
      <c r="H22" s="53" t="s">
        <v>115</v>
      </c>
      <c r="I22" s="53">
        <v>300</v>
      </c>
      <c r="K22" s="111">
        <f>(0.47)*K20</f>
        <v>9729.8049084442191</v>
      </c>
      <c r="L22" s="259" t="s">
        <v>591</v>
      </c>
      <c r="M22" s="259"/>
      <c r="N22" s="259"/>
      <c r="O22" s="10" t="s">
        <v>8</v>
      </c>
    </row>
    <row r="23" spans="1:18" x14ac:dyDescent="0.3">
      <c r="A23" s="16">
        <f>'Process Model'!H72</f>
        <v>18366.165075999997</v>
      </c>
      <c r="B23" t="s">
        <v>352</v>
      </c>
      <c r="C23" s="53" t="s">
        <v>8</v>
      </c>
      <c r="D23" s="52">
        <v>400</v>
      </c>
      <c r="F23" s="11">
        <f>'Process Model'!H26</f>
        <v>224.29684576062604</v>
      </c>
      <c r="G23" t="s">
        <v>360</v>
      </c>
      <c r="H23" s="53" t="s">
        <v>115</v>
      </c>
      <c r="I23" s="53">
        <v>300</v>
      </c>
      <c r="K23" s="246">
        <v>0.5</v>
      </c>
      <c r="L23" s="259" t="s">
        <v>592</v>
      </c>
      <c r="M23" s="259"/>
      <c r="N23" s="259"/>
      <c r="O23" s="10" t="s">
        <v>923</v>
      </c>
    </row>
    <row r="24" spans="1:18" x14ac:dyDescent="0.3">
      <c r="A24" s="16">
        <v>140</v>
      </c>
      <c r="B24" t="s">
        <v>244</v>
      </c>
      <c r="C24" s="53" t="s">
        <v>8</v>
      </c>
      <c r="D24" s="52">
        <v>500</v>
      </c>
      <c r="F24" s="11">
        <f>'Process Model'!H74</f>
        <v>-600.61951339788993</v>
      </c>
      <c r="G24" t="s">
        <v>361</v>
      </c>
      <c r="H24" s="53" t="s">
        <v>115</v>
      </c>
      <c r="I24" s="53">
        <v>400</v>
      </c>
      <c r="K24" s="111">
        <f>K22*K23</f>
        <v>4864.9024542221096</v>
      </c>
      <c r="L24" s="259" t="s">
        <v>593</v>
      </c>
      <c r="M24" s="259"/>
      <c r="N24" s="259"/>
      <c r="O24" s="10" t="s">
        <v>8</v>
      </c>
      <c r="R24" s="6"/>
    </row>
    <row r="25" spans="1:18" x14ac:dyDescent="0.3">
      <c r="A25" s="11">
        <v>5.2443270000000002</v>
      </c>
      <c r="B25" t="s">
        <v>246</v>
      </c>
      <c r="C25" s="53" t="s">
        <v>8</v>
      </c>
      <c r="D25" s="52">
        <v>500</v>
      </c>
      <c r="F25" s="11">
        <f>'Process Model'!H75</f>
        <v>50.206795130034394</v>
      </c>
      <c r="G25" t="s">
        <v>362</v>
      </c>
      <c r="H25" s="53" t="s">
        <v>115</v>
      </c>
      <c r="I25" s="53">
        <v>400</v>
      </c>
      <c r="K25" s="2">
        <f>'Control Panel'!I7</f>
        <v>34</v>
      </c>
      <c r="L25" s="259" t="s">
        <v>586</v>
      </c>
      <c r="M25" s="259"/>
      <c r="N25" s="259"/>
      <c r="O25" s="10" t="s">
        <v>585</v>
      </c>
    </row>
    <row r="26" spans="1:18" x14ac:dyDescent="0.3">
      <c r="A26" s="11">
        <v>0.90327199999999996</v>
      </c>
      <c r="B26" t="s">
        <v>247</v>
      </c>
      <c r="C26" s="53" t="s">
        <v>8</v>
      </c>
      <c r="D26" s="52">
        <v>500</v>
      </c>
      <c r="F26" s="11">
        <f>Elec_Enz_Prod</f>
        <v>1343.5051780909837</v>
      </c>
      <c r="G26" t="s">
        <v>243</v>
      </c>
      <c r="H26" s="53" t="s">
        <v>115</v>
      </c>
      <c r="I26" s="53">
        <v>500</v>
      </c>
    </row>
    <row r="27" spans="1:18" x14ac:dyDescent="0.3">
      <c r="A27" s="11">
        <v>80.676169999999999</v>
      </c>
      <c r="B27" t="s">
        <v>245</v>
      </c>
      <c r="C27" s="53" t="s">
        <v>8</v>
      </c>
      <c r="D27" s="52">
        <v>500</v>
      </c>
      <c r="H27" s="53"/>
    </row>
    <row r="28" spans="1:18" x14ac:dyDescent="0.3">
      <c r="A28" s="11">
        <v>0.74412</v>
      </c>
      <c r="B28" t="s">
        <v>248</v>
      </c>
      <c r="C28" s="53" t="s">
        <v>8</v>
      </c>
      <c r="D28" s="52">
        <v>500</v>
      </c>
      <c r="F28" s="11"/>
      <c r="H28" s="53"/>
    </row>
    <row r="29" spans="1:18" x14ac:dyDescent="0.3">
      <c r="A29" s="11">
        <v>1.041768</v>
      </c>
      <c r="B29" t="s">
        <v>249</v>
      </c>
      <c r="C29" s="75" t="s">
        <v>8</v>
      </c>
      <c r="D29" s="76">
        <v>500</v>
      </c>
      <c r="H29" s="75"/>
    </row>
    <row r="30" spans="1:18" x14ac:dyDescent="0.3">
      <c r="A30" s="11">
        <v>1.48824</v>
      </c>
      <c r="B30" t="s">
        <v>250</v>
      </c>
      <c r="C30" s="75" t="s">
        <v>8</v>
      </c>
      <c r="D30" s="76">
        <v>500</v>
      </c>
      <c r="H30" s="75"/>
    </row>
    <row r="31" spans="1:18" x14ac:dyDescent="0.3">
      <c r="A31" s="11">
        <v>0.22323599999999999</v>
      </c>
      <c r="B31" t="s">
        <v>253</v>
      </c>
      <c r="C31" s="75" t="s">
        <v>8</v>
      </c>
      <c r="D31" s="76">
        <v>500</v>
      </c>
      <c r="H31" s="216"/>
    </row>
    <row r="32" spans="1:18" x14ac:dyDescent="0.3">
      <c r="A32" s="11">
        <v>0.27648</v>
      </c>
      <c r="B32" t="s">
        <v>391</v>
      </c>
      <c r="C32" s="75" t="s">
        <v>8</v>
      </c>
      <c r="D32" s="76">
        <v>500</v>
      </c>
      <c r="H32" s="216"/>
    </row>
    <row r="33" spans="1:9" x14ac:dyDescent="0.3">
      <c r="A33" s="11">
        <v>8.7004090000000005</v>
      </c>
      <c r="B33" t="s">
        <v>658</v>
      </c>
      <c r="C33" s="75" t="s">
        <v>8</v>
      </c>
      <c r="D33" s="76">
        <v>600</v>
      </c>
      <c r="H33" s="75"/>
    </row>
    <row r="34" spans="1:9" x14ac:dyDescent="0.3">
      <c r="A34" s="16">
        <f>'Process Model'!H148</f>
        <v>5.7488507247046217</v>
      </c>
      <c r="B34" s="144" t="s">
        <v>661</v>
      </c>
      <c r="C34" s="75" t="s">
        <v>8</v>
      </c>
      <c r="D34" s="76">
        <v>600</v>
      </c>
      <c r="H34" s="75"/>
    </row>
    <row r="35" spans="1:9" x14ac:dyDescent="0.3">
      <c r="A35" s="16">
        <v>71.088710000000006</v>
      </c>
      <c r="B35" s="144" t="s">
        <v>954</v>
      </c>
      <c r="C35" s="216" t="s">
        <v>8</v>
      </c>
      <c r="D35" s="218">
        <v>600</v>
      </c>
      <c r="H35" s="216"/>
    </row>
    <row r="36" spans="1:9" x14ac:dyDescent="0.3">
      <c r="A36" s="16">
        <v>137.226</v>
      </c>
      <c r="B36" s="144" t="s">
        <v>955</v>
      </c>
      <c r="C36" s="216" t="s">
        <v>8</v>
      </c>
      <c r="D36" s="218">
        <v>600</v>
      </c>
      <c r="H36" s="216"/>
    </row>
    <row r="37" spans="1:9" x14ac:dyDescent="0.3">
      <c r="A37" s="16">
        <v>9.6934810000000002</v>
      </c>
      <c r="B37" s="144" t="s">
        <v>695</v>
      </c>
      <c r="C37" s="216" t="s">
        <v>8</v>
      </c>
      <c r="D37" s="76">
        <v>600</v>
      </c>
      <c r="H37" s="75"/>
    </row>
    <row r="38" spans="1:9" x14ac:dyDescent="0.3">
      <c r="A38" s="16"/>
      <c r="B38" s="144"/>
      <c r="C38" s="216"/>
      <c r="D38" s="218"/>
      <c r="H38" s="216"/>
    </row>
    <row r="39" spans="1:9" x14ac:dyDescent="0.3">
      <c r="A39" s="16">
        <f>SUM(A20:A37)</f>
        <v>37908.481903567495</v>
      </c>
      <c r="B39" t="s">
        <v>364</v>
      </c>
      <c r="C39" s="75" t="s">
        <v>8</v>
      </c>
      <c r="D39" s="76"/>
      <c r="F39" s="11">
        <f>SUM(F20:F37)</f>
        <v>14793.119032487872</v>
      </c>
      <c r="G39" t="s">
        <v>365</v>
      </c>
      <c r="H39" s="75" t="s">
        <v>115</v>
      </c>
    </row>
    <row r="40" spans="1:9" x14ac:dyDescent="0.3">
      <c r="A40" s="262" t="s">
        <v>356</v>
      </c>
      <c r="B40" s="262"/>
      <c r="C40" s="262"/>
      <c r="D40" s="262"/>
      <c r="F40" s="262" t="s">
        <v>357</v>
      </c>
      <c r="G40" s="262"/>
      <c r="H40" s="262"/>
      <c r="I40" s="262"/>
    </row>
    <row r="41" spans="1:9" x14ac:dyDescent="0.3">
      <c r="D41" s="3"/>
      <c r="F41" s="6">
        <f>Upgrd_Elec_Power_In</f>
        <v>3089.3382892460318</v>
      </c>
      <c r="G41" t="s">
        <v>360</v>
      </c>
      <c r="H41" s="75" t="s">
        <v>115</v>
      </c>
    </row>
    <row r="42" spans="1:9" x14ac:dyDescent="0.3">
      <c r="A42" s="16">
        <f>A39+A18</f>
        <v>4735626.2829408292</v>
      </c>
      <c r="B42" t="s">
        <v>385</v>
      </c>
      <c r="D42" s="3"/>
      <c r="F42" s="6">
        <f>Upgrd_Heat_Power_In</f>
        <v>11960.029927006095</v>
      </c>
      <c r="G42" t="s">
        <v>252</v>
      </c>
      <c r="H42" s="75" t="s">
        <v>115</v>
      </c>
    </row>
    <row r="43" spans="1:9" x14ac:dyDescent="0.3">
      <c r="H43" s="75"/>
    </row>
    <row r="44" spans="1:9" x14ac:dyDescent="0.3">
      <c r="F44" s="6">
        <f>SUM(F41:F43)</f>
        <v>15049.368216252127</v>
      </c>
      <c r="G44" t="s">
        <v>365</v>
      </c>
      <c r="H44" s="75" t="s">
        <v>115</v>
      </c>
    </row>
    <row r="45" spans="1:9" x14ac:dyDescent="0.3">
      <c r="H45" s="75"/>
    </row>
    <row r="46" spans="1:9" x14ac:dyDescent="0.3">
      <c r="F46" s="16">
        <f>F44+F39+F18</f>
        <v>39062.919275196</v>
      </c>
      <c r="G46" t="s">
        <v>389</v>
      </c>
      <c r="H46" s="75"/>
    </row>
    <row r="47" spans="1:9" x14ac:dyDescent="0.3">
      <c r="F47" s="5"/>
      <c r="H47" s="75"/>
    </row>
    <row r="48" spans="1:9" x14ac:dyDescent="0.3">
      <c r="F48" s="5">
        <f>F46*0.11/3.6</f>
        <v>1193.5892000754332</v>
      </c>
      <c r="H48" s="75"/>
    </row>
    <row r="60" spans="1:18" x14ac:dyDescent="0.3">
      <c r="J60" s="3"/>
      <c r="Q60" s="3"/>
      <c r="R60" s="3"/>
    </row>
    <row r="61" spans="1:18" x14ac:dyDescent="0.3">
      <c r="J61" s="3"/>
      <c r="P61" s="3"/>
      <c r="Q61" s="3"/>
      <c r="R61" s="3"/>
    </row>
    <row r="62" spans="1:18" x14ac:dyDescent="0.3">
      <c r="J62" s="3"/>
      <c r="P62" s="3"/>
      <c r="Q62" s="3"/>
      <c r="R62" s="3"/>
    </row>
    <row r="63" spans="1:18" x14ac:dyDescent="0.3">
      <c r="A63" s="3"/>
      <c r="B63" s="3"/>
      <c r="C63" s="3"/>
      <c r="D63" s="3"/>
      <c r="E63" s="3"/>
      <c r="F63" s="3"/>
      <c r="G63" s="3"/>
      <c r="H63" s="3"/>
      <c r="I63" s="3"/>
      <c r="J63" s="3"/>
      <c r="K63" s="3"/>
      <c r="L63" s="3"/>
      <c r="M63" s="3"/>
      <c r="N63" s="3"/>
      <c r="O63" s="3"/>
      <c r="P63" s="3"/>
      <c r="Q63" s="3"/>
      <c r="R63" s="3"/>
    </row>
    <row r="64" spans="1:18" x14ac:dyDescent="0.3">
      <c r="A64" s="3"/>
      <c r="B64" s="3"/>
      <c r="C64" s="3"/>
      <c r="D64" s="3"/>
      <c r="E64" s="3"/>
      <c r="F64" s="3"/>
      <c r="G64" s="3"/>
      <c r="H64" s="3"/>
      <c r="I64" s="3"/>
      <c r="J64" s="3"/>
      <c r="K64" s="3"/>
      <c r="L64" s="3"/>
      <c r="M64" s="3"/>
      <c r="N64" s="3"/>
      <c r="O64" s="3"/>
      <c r="P64" s="3"/>
      <c r="Q64" s="3"/>
      <c r="R64" s="3"/>
    </row>
    <row r="65" spans="1:18" x14ac:dyDescent="0.3">
      <c r="A65" s="3"/>
      <c r="B65" s="3"/>
      <c r="C65" s="3"/>
      <c r="D65" s="3"/>
      <c r="E65" s="3"/>
      <c r="F65" s="3"/>
      <c r="G65" s="3"/>
      <c r="H65" s="3"/>
      <c r="I65" s="3"/>
      <c r="J65" s="3"/>
      <c r="K65" s="3"/>
      <c r="L65" s="3"/>
      <c r="M65" s="3"/>
      <c r="N65" s="3"/>
      <c r="O65" s="3"/>
      <c r="P65" s="3"/>
      <c r="Q65" s="3"/>
      <c r="R65" s="3"/>
    </row>
    <row r="66" spans="1:18" x14ac:dyDescent="0.3">
      <c r="A66" s="3"/>
      <c r="B66" s="3"/>
      <c r="C66" s="3"/>
      <c r="D66" s="3"/>
      <c r="E66" s="3"/>
      <c r="F66" s="3"/>
      <c r="G66" s="3"/>
      <c r="H66" s="3"/>
      <c r="I66" s="3"/>
      <c r="J66" s="3"/>
      <c r="K66" s="3"/>
      <c r="L66" s="3"/>
      <c r="M66" s="3"/>
      <c r="N66" s="3"/>
      <c r="O66" s="3"/>
      <c r="P66" s="3"/>
      <c r="Q66" s="3"/>
      <c r="R66" s="3"/>
    </row>
    <row r="67" spans="1:18" x14ac:dyDescent="0.3">
      <c r="A67" s="3"/>
      <c r="B67" s="3"/>
      <c r="C67" s="3"/>
      <c r="D67" s="3"/>
      <c r="E67" s="3"/>
      <c r="F67" s="3"/>
      <c r="G67" s="3"/>
      <c r="H67" s="3"/>
      <c r="I67" s="3"/>
      <c r="J67" s="3"/>
      <c r="K67" s="3"/>
      <c r="L67" s="3"/>
      <c r="M67" s="3"/>
      <c r="N67" s="3"/>
      <c r="O67" s="3"/>
      <c r="P67" s="3"/>
      <c r="Q67" s="3"/>
      <c r="R67" s="3"/>
    </row>
    <row r="68" spans="1:18" x14ac:dyDescent="0.3">
      <c r="A68" s="3"/>
      <c r="B68" s="3"/>
      <c r="C68" s="3"/>
      <c r="D68" s="3"/>
      <c r="E68" s="3"/>
      <c r="F68" s="3"/>
      <c r="G68" s="3"/>
      <c r="H68" s="3"/>
      <c r="I68" s="3"/>
      <c r="J68" s="3"/>
      <c r="K68" s="3"/>
      <c r="L68" s="3"/>
      <c r="M68" s="3"/>
      <c r="N68" s="3"/>
      <c r="O68" s="3"/>
      <c r="P68" s="3"/>
      <c r="Q68" s="3"/>
      <c r="R68" s="3"/>
    </row>
    <row r="69" spans="1:18" x14ac:dyDescent="0.3">
      <c r="A69" s="3"/>
      <c r="B69" s="3"/>
      <c r="C69" s="3"/>
      <c r="D69" s="3"/>
      <c r="E69" s="3"/>
      <c r="F69" s="3"/>
      <c r="G69" s="3"/>
      <c r="H69" s="3"/>
      <c r="I69" s="3"/>
      <c r="J69" s="3"/>
      <c r="K69" s="3"/>
      <c r="L69" s="3"/>
      <c r="M69" s="3"/>
      <c r="N69" s="3"/>
      <c r="O69" s="3"/>
      <c r="P69" s="3"/>
      <c r="Q69" s="3"/>
      <c r="R69" s="3"/>
    </row>
    <row r="70" spans="1:18" x14ac:dyDescent="0.3">
      <c r="A70" s="3"/>
      <c r="B70" s="3"/>
      <c r="C70" s="3"/>
      <c r="D70" s="3"/>
      <c r="E70" s="3"/>
      <c r="F70" s="3"/>
      <c r="G70" s="3"/>
      <c r="H70" s="3"/>
      <c r="I70" s="3"/>
      <c r="J70" s="3"/>
      <c r="K70" s="3"/>
      <c r="L70" s="3"/>
      <c r="M70" s="3"/>
      <c r="N70" s="3"/>
      <c r="O70" s="3"/>
      <c r="P70" s="3"/>
      <c r="Q70" s="3"/>
      <c r="R70" s="3"/>
    </row>
    <row r="71" spans="1:18" x14ac:dyDescent="0.3">
      <c r="A71" s="3"/>
      <c r="B71" s="3"/>
      <c r="C71" s="3"/>
      <c r="D71" s="3"/>
      <c r="E71" s="3"/>
      <c r="F71" s="3"/>
      <c r="G71" s="3"/>
      <c r="H71" s="3"/>
      <c r="I71" s="3"/>
      <c r="J71" s="3"/>
      <c r="K71" s="3"/>
      <c r="L71" s="3"/>
      <c r="M71" s="3"/>
      <c r="N71" s="3"/>
      <c r="O71" s="3"/>
      <c r="P71" s="3"/>
      <c r="Q71" s="3"/>
      <c r="R71" s="3"/>
    </row>
    <row r="72" spans="1:18" x14ac:dyDescent="0.3">
      <c r="A72" s="3"/>
      <c r="B72" s="3"/>
      <c r="C72" s="3"/>
      <c r="D72" s="3"/>
      <c r="E72" s="3"/>
      <c r="F72" s="3"/>
      <c r="G72" s="3"/>
      <c r="H72" s="3"/>
      <c r="I72" s="3"/>
      <c r="J72" s="3"/>
      <c r="K72" s="3"/>
      <c r="L72" s="3"/>
      <c r="M72" s="3"/>
      <c r="N72" s="3"/>
      <c r="O72" s="3"/>
      <c r="P72" s="3"/>
      <c r="Q72" s="3"/>
      <c r="R72" s="3"/>
    </row>
    <row r="73" spans="1:18" x14ac:dyDescent="0.3">
      <c r="A73" s="3"/>
      <c r="B73" s="3"/>
      <c r="C73" s="3"/>
      <c r="D73" s="3"/>
      <c r="E73" s="3"/>
      <c r="F73" s="3"/>
      <c r="G73" s="3"/>
      <c r="H73" s="3"/>
      <c r="I73" s="3"/>
      <c r="J73" s="3"/>
      <c r="K73" s="3"/>
      <c r="L73" s="3"/>
      <c r="M73" s="3"/>
      <c r="N73" s="3"/>
      <c r="O73" s="3"/>
      <c r="P73" s="3"/>
      <c r="Q73" s="3"/>
      <c r="R73" s="3"/>
    </row>
    <row r="74" spans="1:18" x14ac:dyDescent="0.3">
      <c r="A74" s="3"/>
      <c r="B74" s="3"/>
      <c r="C74" s="3"/>
      <c r="D74" s="3"/>
      <c r="E74" s="3"/>
      <c r="F74" s="3"/>
      <c r="G74" s="3"/>
      <c r="H74" s="3"/>
      <c r="I74" s="3"/>
      <c r="J74" s="3"/>
      <c r="K74" s="3"/>
      <c r="L74" s="3"/>
      <c r="M74" s="3"/>
      <c r="N74" s="3"/>
      <c r="O74" s="3"/>
      <c r="P74" s="3"/>
      <c r="Q74" s="3"/>
      <c r="R74" s="3"/>
    </row>
    <row r="75" spans="1:18" x14ac:dyDescent="0.3">
      <c r="A75" s="3"/>
      <c r="B75" s="3"/>
      <c r="C75" s="3"/>
      <c r="D75" s="3"/>
      <c r="E75" s="3"/>
      <c r="F75" s="3"/>
      <c r="G75" s="3"/>
      <c r="H75" s="3"/>
      <c r="I75" s="3"/>
      <c r="J75" s="3"/>
      <c r="K75" s="3"/>
      <c r="L75" s="3"/>
      <c r="M75" s="3"/>
      <c r="N75" s="3"/>
      <c r="O75" s="3"/>
      <c r="P75" s="3"/>
      <c r="Q75" s="3"/>
      <c r="R75" s="3"/>
    </row>
    <row r="76" spans="1:18" x14ac:dyDescent="0.3">
      <c r="A76" s="3"/>
      <c r="B76" s="3"/>
      <c r="C76" s="3"/>
      <c r="D76" s="3"/>
      <c r="E76" s="3"/>
      <c r="F76" s="3"/>
      <c r="G76" s="3"/>
      <c r="H76" s="3"/>
      <c r="I76" s="3"/>
      <c r="J76" s="3"/>
      <c r="K76" s="3"/>
      <c r="L76" s="3"/>
      <c r="M76" s="3"/>
      <c r="N76" s="3"/>
      <c r="O76" s="3"/>
      <c r="P76" s="3"/>
      <c r="Q76" s="3"/>
      <c r="R76" s="3"/>
    </row>
    <row r="77" spans="1:18" x14ac:dyDescent="0.3">
      <c r="A77" s="3"/>
      <c r="B77" s="3"/>
      <c r="C77" s="3"/>
      <c r="D77" s="3"/>
      <c r="E77" s="3"/>
      <c r="F77" s="3"/>
      <c r="G77" s="3"/>
      <c r="H77" s="3"/>
      <c r="I77" s="3"/>
      <c r="J77" s="3"/>
      <c r="K77" s="3"/>
      <c r="L77" s="3"/>
      <c r="M77" s="3"/>
      <c r="N77" s="3"/>
      <c r="O77" s="3"/>
      <c r="P77" s="3"/>
      <c r="Q77" s="3"/>
      <c r="R77" s="3"/>
    </row>
    <row r="78" spans="1:18" x14ac:dyDescent="0.3">
      <c r="A78" s="3"/>
      <c r="B78" s="3"/>
      <c r="C78" s="3"/>
      <c r="D78" s="3"/>
      <c r="E78" s="3"/>
      <c r="F78" s="3"/>
      <c r="G78" s="3"/>
      <c r="H78" s="3"/>
      <c r="I78" s="3"/>
      <c r="J78" s="3"/>
      <c r="K78" s="3"/>
      <c r="L78" s="3"/>
      <c r="M78" s="3"/>
      <c r="N78" s="3"/>
      <c r="O78" s="3"/>
      <c r="P78" s="3"/>
      <c r="Q78" s="3"/>
      <c r="R78" s="3"/>
    </row>
    <row r="79" spans="1:18" x14ac:dyDescent="0.3">
      <c r="A79" s="3"/>
      <c r="B79" s="3"/>
      <c r="C79" s="3"/>
      <c r="D79" s="3"/>
      <c r="E79" s="3"/>
      <c r="F79" s="3"/>
      <c r="G79" s="3"/>
      <c r="H79" s="3"/>
      <c r="I79" s="3"/>
      <c r="J79" s="3"/>
      <c r="K79" s="3"/>
      <c r="L79" s="3"/>
      <c r="M79" s="3"/>
      <c r="N79" s="3"/>
      <c r="O79" s="3"/>
      <c r="P79" s="3"/>
      <c r="Q79" s="3"/>
      <c r="R79" s="3"/>
    </row>
    <row r="80" spans="1:18" x14ac:dyDescent="0.3">
      <c r="A80" s="3"/>
      <c r="B80" s="3"/>
      <c r="C80" s="3"/>
      <c r="D80" s="3"/>
      <c r="E80" s="3"/>
      <c r="F80" s="3"/>
      <c r="G80" s="3"/>
      <c r="H80" s="3"/>
      <c r="I80" s="3"/>
      <c r="J80" s="3"/>
      <c r="K80" s="3"/>
      <c r="L80" s="3"/>
      <c r="M80" s="3"/>
      <c r="N80" s="3"/>
      <c r="O80" s="3"/>
      <c r="P80" s="3"/>
      <c r="Q80" s="3"/>
      <c r="R80" s="3"/>
    </row>
    <row r="81" spans="1:18" x14ac:dyDescent="0.3">
      <c r="A81" s="3"/>
      <c r="B81" s="3"/>
      <c r="C81" s="3"/>
      <c r="D81" s="3"/>
      <c r="E81" s="3"/>
      <c r="F81" s="3"/>
      <c r="G81" s="3"/>
      <c r="H81" s="3"/>
      <c r="I81" s="3"/>
      <c r="J81" s="3"/>
      <c r="K81" s="3"/>
      <c r="L81" s="3"/>
      <c r="M81" s="3"/>
      <c r="N81" s="3"/>
      <c r="O81" s="3"/>
      <c r="P81" s="3"/>
      <c r="Q81" s="3"/>
      <c r="R81" s="3"/>
    </row>
    <row r="82" spans="1:18" x14ac:dyDescent="0.3">
      <c r="A82" s="3"/>
      <c r="B82" s="3"/>
      <c r="C82" s="3"/>
      <c r="D82" s="3"/>
      <c r="E82" s="3"/>
      <c r="F82" s="3"/>
      <c r="G82" s="3"/>
      <c r="H82" s="3"/>
      <c r="I82" s="3"/>
      <c r="J82" s="3"/>
      <c r="K82" s="3"/>
      <c r="L82" s="3"/>
      <c r="M82" s="3"/>
      <c r="N82" s="3"/>
      <c r="O82" s="3"/>
      <c r="P82" s="3"/>
      <c r="Q82" s="3"/>
      <c r="R82" s="3"/>
    </row>
    <row r="83" spans="1:18" x14ac:dyDescent="0.3">
      <c r="A83" s="3"/>
      <c r="B83" s="3"/>
      <c r="C83" s="3"/>
      <c r="D83" s="3"/>
      <c r="E83" s="3"/>
      <c r="F83" s="3"/>
      <c r="G83" s="3"/>
      <c r="H83" s="3"/>
      <c r="I83" s="3"/>
      <c r="J83" s="3"/>
      <c r="K83" s="3"/>
      <c r="L83" s="3"/>
      <c r="M83" s="3"/>
      <c r="N83" s="3"/>
      <c r="O83" s="3"/>
      <c r="P83" s="3"/>
      <c r="Q83" s="3"/>
      <c r="R83" s="3"/>
    </row>
    <row r="84" spans="1:18" x14ac:dyDescent="0.3">
      <c r="A84" s="3"/>
      <c r="B84" s="3"/>
      <c r="C84" s="3"/>
      <c r="D84" s="3"/>
      <c r="E84" s="3"/>
      <c r="F84" s="3"/>
      <c r="G84" s="3"/>
      <c r="H84" s="3"/>
      <c r="I84" s="3"/>
      <c r="J84" s="3"/>
      <c r="K84" s="3"/>
      <c r="L84" s="3"/>
      <c r="M84" s="3"/>
      <c r="N84" s="3"/>
      <c r="O84" s="3"/>
      <c r="P84" s="3"/>
      <c r="Q84" s="3"/>
      <c r="R84" s="3"/>
    </row>
    <row r="85" spans="1:18" x14ac:dyDescent="0.3">
      <c r="A85" s="3"/>
      <c r="B85" s="3"/>
      <c r="C85" s="3"/>
      <c r="D85" s="3"/>
      <c r="E85" s="3"/>
      <c r="F85" s="3"/>
      <c r="G85" s="3"/>
      <c r="H85" s="3"/>
      <c r="I85" s="3"/>
      <c r="J85" s="3"/>
      <c r="K85" s="3"/>
      <c r="L85" s="3"/>
      <c r="M85" s="3"/>
      <c r="N85" s="3"/>
      <c r="O85" s="3"/>
      <c r="P85" s="3"/>
      <c r="Q85" s="3"/>
      <c r="R85" s="3"/>
    </row>
    <row r="86" spans="1:18" x14ac:dyDescent="0.3">
      <c r="A86" s="3"/>
      <c r="B86" s="3"/>
      <c r="C86" s="3"/>
      <c r="D86" s="3"/>
      <c r="E86" s="3"/>
      <c r="F86" s="3"/>
      <c r="G86" s="3"/>
      <c r="H86" s="3"/>
      <c r="I86" s="3"/>
      <c r="J86" s="3"/>
      <c r="K86" s="3"/>
      <c r="L86" s="3"/>
      <c r="M86" s="3"/>
      <c r="N86" s="3"/>
      <c r="O86" s="3"/>
      <c r="P86" s="3"/>
      <c r="Q86" s="3"/>
      <c r="R86" s="3"/>
    </row>
    <row r="87" spans="1:18" x14ac:dyDescent="0.3">
      <c r="A87" s="3"/>
      <c r="B87" s="3"/>
      <c r="C87" s="3"/>
      <c r="D87" s="3"/>
      <c r="E87" s="3"/>
      <c r="F87" s="3"/>
      <c r="G87" s="3"/>
      <c r="H87" s="3"/>
      <c r="I87" s="3"/>
      <c r="J87" s="3"/>
      <c r="K87" s="3"/>
      <c r="L87" s="3"/>
      <c r="M87" s="3"/>
      <c r="N87" s="3"/>
      <c r="O87" s="3"/>
      <c r="P87" s="3"/>
      <c r="Q87" s="3"/>
      <c r="R87" s="3"/>
    </row>
    <row r="88" spans="1:18" x14ac:dyDescent="0.3">
      <c r="A88" s="3"/>
      <c r="B88" s="3"/>
      <c r="C88" s="3"/>
      <c r="D88" s="3"/>
      <c r="E88" s="3"/>
      <c r="F88" s="3"/>
      <c r="G88" s="3"/>
      <c r="H88" s="3"/>
      <c r="I88" s="3"/>
      <c r="J88" s="3"/>
      <c r="K88" s="3"/>
      <c r="L88" s="3"/>
      <c r="M88" s="3"/>
      <c r="N88" s="3"/>
      <c r="O88" s="3"/>
      <c r="P88" s="3"/>
      <c r="Q88" s="3"/>
      <c r="R88" s="3"/>
    </row>
    <row r="89" spans="1:18" x14ac:dyDescent="0.3">
      <c r="A89" s="3"/>
      <c r="B89" s="3"/>
      <c r="C89" s="3"/>
      <c r="D89" s="3"/>
      <c r="E89" s="3"/>
      <c r="F89" s="3"/>
      <c r="G89" s="3"/>
      <c r="H89" s="3"/>
      <c r="I89" s="3"/>
      <c r="J89" s="3"/>
      <c r="K89" s="3"/>
      <c r="L89" s="3"/>
      <c r="M89" s="3"/>
      <c r="N89" s="3"/>
      <c r="O89" s="3"/>
      <c r="P89" s="3"/>
      <c r="Q89" s="3"/>
      <c r="R89" s="3"/>
    </row>
    <row r="90" spans="1:18" x14ac:dyDescent="0.3">
      <c r="A90" s="3"/>
      <c r="B90" s="3"/>
      <c r="C90" s="3"/>
      <c r="D90" s="3"/>
      <c r="E90" s="3"/>
      <c r="F90" s="3"/>
      <c r="G90" s="3"/>
      <c r="H90" s="3"/>
      <c r="I90" s="3"/>
      <c r="J90" s="3"/>
      <c r="K90" s="3"/>
      <c r="L90" s="3"/>
      <c r="M90" s="3"/>
      <c r="N90" s="3"/>
      <c r="O90" s="3"/>
      <c r="P90" s="3"/>
      <c r="Q90" s="3"/>
      <c r="R90" s="3"/>
    </row>
    <row r="91" spans="1:18" x14ac:dyDescent="0.3">
      <c r="A91" s="3"/>
      <c r="B91" s="3"/>
      <c r="C91" s="3"/>
      <c r="D91" s="3"/>
      <c r="E91" s="3"/>
      <c r="F91" s="3"/>
      <c r="G91" s="3"/>
      <c r="H91" s="3"/>
      <c r="I91" s="3"/>
      <c r="J91" s="3"/>
      <c r="K91" s="3"/>
      <c r="L91" s="3"/>
      <c r="M91" s="3"/>
      <c r="N91" s="3"/>
      <c r="O91" s="3"/>
      <c r="P91" s="3"/>
      <c r="Q91" s="3"/>
      <c r="R91" s="3"/>
    </row>
    <row r="92" spans="1:18" x14ac:dyDescent="0.3">
      <c r="A92" s="3"/>
      <c r="B92" s="3"/>
      <c r="C92" s="3"/>
      <c r="D92" s="3"/>
      <c r="E92" s="3"/>
      <c r="F92" s="3"/>
      <c r="G92" s="3"/>
      <c r="H92" s="3"/>
      <c r="I92" s="3"/>
      <c r="J92" s="3"/>
      <c r="K92" s="3"/>
      <c r="L92" s="3"/>
      <c r="M92" s="3"/>
      <c r="N92" s="3"/>
      <c r="O92" s="3"/>
      <c r="P92" s="3"/>
      <c r="Q92" s="3"/>
      <c r="R92" s="3"/>
    </row>
    <row r="93" spans="1:18" x14ac:dyDescent="0.3">
      <c r="A93" s="3"/>
      <c r="B93" s="3"/>
      <c r="C93" s="3"/>
      <c r="D93" s="3"/>
      <c r="E93" s="3"/>
      <c r="F93" s="3"/>
      <c r="G93" s="3"/>
      <c r="H93" s="3"/>
      <c r="I93" s="3"/>
      <c r="J93" s="3"/>
      <c r="K93" s="3"/>
      <c r="L93" s="3"/>
      <c r="M93" s="3"/>
      <c r="N93" s="3"/>
      <c r="O93" s="3"/>
      <c r="P93" s="3"/>
      <c r="Q93" s="3"/>
      <c r="R93" s="3"/>
    </row>
    <row r="94" spans="1:18" x14ac:dyDescent="0.3">
      <c r="A94" s="3"/>
      <c r="B94" s="3"/>
      <c r="C94" s="3"/>
      <c r="D94" s="3"/>
      <c r="E94" s="3"/>
      <c r="F94" s="3"/>
      <c r="G94" s="3"/>
      <c r="H94" s="3"/>
      <c r="I94" s="3"/>
      <c r="J94" s="3"/>
      <c r="K94" s="3"/>
      <c r="L94" s="3"/>
      <c r="M94" s="3"/>
      <c r="N94" s="3"/>
      <c r="O94" s="3"/>
      <c r="P94" s="3"/>
      <c r="Q94" s="3"/>
      <c r="R94" s="3"/>
    </row>
    <row r="95" spans="1:18" x14ac:dyDescent="0.3">
      <c r="A95" s="3"/>
      <c r="B95" s="3"/>
      <c r="C95" s="3"/>
      <c r="D95" s="3"/>
      <c r="E95" s="3"/>
      <c r="F95" s="3"/>
      <c r="G95" s="3"/>
      <c r="H95" s="3"/>
      <c r="I95" s="3"/>
      <c r="J95" s="3"/>
      <c r="K95" s="3"/>
      <c r="L95" s="3"/>
      <c r="M95" s="3"/>
      <c r="N95" s="3"/>
      <c r="O95" s="3"/>
      <c r="P95" s="3"/>
      <c r="Q95" s="3"/>
      <c r="R95" s="3"/>
    </row>
    <row r="96" spans="1:18" x14ac:dyDescent="0.3">
      <c r="A96" s="3"/>
      <c r="B96" s="3"/>
      <c r="C96" s="3"/>
      <c r="D96" s="3"/>
      <c r="E96" s="3"/>
      <c r="F96" s="3"/>
      <c r="G96" s="3"/>
      <c r="H96" s="3"/>
      <c r="I96" s="3"/>
      <c r="J96" s="3"/>
      <c r="K96" s="3"/>
      <c r="L96" s="3"/>
      <c r="M96" s="3"/>
      <c r="N96" s="3"/>
      <c r="O96" s="3"/>
      <c r="P96" s="3"/>
      <c r="Q96" s="3"/>
      <c r="R96" s="3"/>
    </row>
    <row r="97" spans="1:18" x14ac:dyDescent="0.3">
      <c r="A97" s="3"/>
      <c r="B97" s="3"/>
      <c r="C97" s="3"/>
      <c r="D97" s="3"/>
      <c r="E97" s="3"/>
      <c r="F97" s="3"/>
      <c r="G97" s="3"/>
      <c r="H97" s="3"/>
      <c r="I97" s="3"/>
      <c r="J97" s="3"/>
      <c r="K97" s="3"/>
      <c r="L97" s="3"/>
      <c r="M97" s="3"/>
      <c r="N97" s="3"/>
      <c r="O97" s="3"/>
      <c r="P97" s="3"/>
      <c r="Q97" s="3"/>
      <c r="R97" s="3"/>
    </row>
    <row r="98" spans="1:18" x14ac:dyDescent="0.3">
      <c r="A98" s="3"/>
      <c r="B98" s="3"/>
      <c r="C98" s="3"/>
      <c r="D98" s="3"/>
      <c r="E98" s="3"/>
      <c r="F98" s="3"/>
      <c r="G98" s="3"/>
      <c r="H98" s="3"/>
      <c r="I98" s="3"/>
      <c r="J98" s="3"/>
      <c r="K98" s="3"/>
      <c r="L98" s="3"/>
      <c r="M98" s="3"/>
      <c r="N98" s="3"/>
      <c r="O98" s="3"/>
      <c r="P98" s="3"/>
      <c r="Q98" s="3"/>
      <c r="R98" s="3"/>
    </row>
    <row r="99" spans="1:18" x14ac:dyDescent="0.3">
      <c r="A99" s="3"/>
      <c r="B99" s="3"/>
      <c r="C99" s="3"/>
      <c r="D99" s="3"/>
      <c r="E99" s="3"/>
      <c r="F99" s="3"/>
      <c r="G99" s="3"/>
      <c r="H99" s="3"/>
      <c r="I99" s="3"/>
      <c r="J99" s="3"/>
      <c r="K99" s="3"/>
      <c r="L99" s="3"/>
      <c r="M99" s="3"/>
      <c r="N99" s="3"/>
      <c r="O99" s="3"/>
      <c r="P99" s="3"/>
      <c r="Q99" s="3"/>
      <c r="R99" s="3"/>
    </row>
    <row r="100" spans="1:18" x14ac:dyDescent="0.3">
      <c r="A100" s="3"/>
      <c r="B100" s="3"/>
      <c r="C100" s="3"/>
      <c r="D100" s="3"/>
      <c r="E100" s="3"/>
      <c r="F100" s="3"/>
      <c r="G100" s="3"/>
      <c r="H100" s="3"/>
      <c r="I100" s="3"/>
      <c r="J100" s="3"/>
      <c r="K100" s="3"/>
      <c r="L100" s="3"/>
      <c r="M100" s="3"/>
      <c r="N100" s="3"/>
      <c r="O100" s="3"/>
      <c r="P100" s="3"/>
      <c r="Q100" s="3"/>
      <c r="R100" s="3"/>
    </row>
    <row r="101" spans="1:18" x14ac:dyDescent="0.3">
      <c r="A101" s="3"/>
      <c r="B101" s="3"/>
      <c r="C101" s="3"/>
      <c r="D101" s="3"/>
      <c r="E101" s="3"/>
      <c r="F101" s="3"/>
      <c r="G101" s="3"/>
      <c r="H101" s="3"/>
      <c r="I101" s="3"/>
      <c r="J101" s="3"/>
      <c r="K101" s="3"/>
      <c r="L101" s="3"/>
      <c r="M101" s="3"/>
      <c r="N101" s="3"/>
      <c r="O101" s="3"/>
      <c r="P101" s="3"/>
      <c r="Q101" s="3"/>
      <c r="R101" s="3"/>
    </row>
    <row r="102" spans="1:18" x14ac:dyDescent="0.3">
      <c r="A102" s="3"/>
      <c r="B102" s="3"/>
      <c r="C102" s="3"/>
      <c r="D102" s="3"/>
      <c r="E102" s="3"/>
      <c r="F102" s="3"/>
      <c r="G102" s="3"/>
      <c r="H102" s="3"/>
      <c r="I102" s="3"/>
      <c r="J102" s="3"/>
      <c r="K102" s="3"/>
      <c r="L102" s="3"/>
      <c r="M102" s="3"/>
      <c r="N102" s="3"/>
      <c r="O102" s="3"/>
      <c r="P102" s="3"/>
      <c r="Q102" s="3"/>
      <c r="R102" s="3"/>
    </row>
    <row r="103" spans="1:18" x14ac:dyDescent="0.3">
      <c r="A103" s="3"/>
      <c r="B103" s="3"/>
      <c r="C103" s="3"/>
      <c r="D103" s="3"/>
      <c r="E103" s="3"/>
      <c r="F103" s="3"/>
      <c r="G103" s="3"/>
      <c r="H103" s="3"/>
      <c r="I103" s="3"/>
      <c r="J103" s="3"/>
      <c r="K103" s="3"/>
      <c r="L103" s="3"/>
      <c r="M103" s="3"/>
      <c r="N103" s="3"/>
      <c r="O103" s="3"/>
      <c r="P103" s="3"/>
      <c r="Q103" s="3"/>
      <c r="R103" s="3"/>
    </row>
    <row r="104" spans="1:18" x14ac:dyDescent="0.3">
      <c r="A104" s="3"/>
      <c r="B104" s="3"/>
      <c r="C104" s="3"/>
      <c r="D104" s="3"/>
      <c r="E104" s="3"/>
      <c r="F104" s="3"/>
      <c r="G104" s="3"/>
      <c r="H104" s="3"/>
      <c r="I104" s="3"/>
      <c r="J104" s="3"/>
      <c r="K104" s="3"/>
      <c r="L104" s="3"/>
      <c r="M104" s="3"/>
      <c r="N104" s="3"/>
      <c r="O104" s="3"/>
      <c r="P104" s="3"/>
      <c r="Q104" s="3"/>
      <c r="R104" s="3"/>
    </row>
    <row r="105" spans="1:18" x14ac:dyDescent="0.3">
      <c r="A105" s="3"/>
      <c r="B105" s="3"/>
      <c r="C105" s="3"/>
      <c r="D105" s="3"/>
      <c r="E105" s="3"/>
      <c r="F105" s="3"/>
      <c r="G105" s="3"/>
      <c r="H105" s="3"/>
      <c r="I105" s="3"/>
      <c r="J105" s="3"/>
      <c r="K105" s="3"/>
      <c r="L105" s="3"/>
      <c r="M105" s="3"/>
      <c r="N105" s="3"/>
      <c r="O105" s="3"/>
      <c r="P105" s="3"/>
      <c r="Q105" s="3"/>
      <c r="R105" s="3"/>
    </row>
    <row r="106" spans="1:18" x14ac:dyDescent="0.3">
      <c r="A106" s="3"/>
      <c r="B106" s="3"/>
      <c r="C106" s="3"/>
      <c r="D106" s="3"/>
      <c r="E106" s="3"/>
      <c r="F106" s="3"/>
      <c r="G106" s="3"/>
      <c r="H106" s="3"/>
      <c r="I106" s="3"/>
      <c r="J106" s="3"/>
      <c r="K106" s="3"/>
      <c r="L106" s="3"/>
      <c r="M106" s="3"/>
      <c r="N106" s="3"/>
      <c r="O106" s="3"/>
      <c r="P106" s="3"/>
      <c r="Q106" s="3"/>
      <c r="R106" s="3"/>
    </row>
    <row r="107" spans="1:18" x14ac:dyDescent="0.3">
      <c r="A107" s="3"/>
      <c r="B107" s="3"/>
      <c r="C107" s="3"/>
      <c r="D107" s="3"/>
      <c r="E107" s="3"/>
      <c r="F107" s="3"/>
      <c r="G107" s="3"/>
      <c r="H107" s="3"/>
      <c r="I107" s="3"/>
      <c r="J107" s="3"/>
      <c r="K107" s="3"/>
      <c r="L107" s="3"/>
      <c r="M107" s="3"/>
      <c r="N107" s="3"/>
      <c r="O107" s="3"/>
      <c r="P107" s="3"/>
      <c r="Q107" s="3"/>
      <c r="R107" s="3"/>
    </row>
    <row r="108" spans="1:18" x14ac:dyDescent="0.3">
      <c r="A108" s="3"/>
      <c r="B108" s="3"/>
      <c r="C108" s="3"/>
      <c r="D108" s="3"/>
      <c r="E108" s="3"/>
      <c r="F108" s="3"/>
      <c r="G108" s="3"/>
      <c r="H108" s="3"/>
      <c r="I108" s="3"/>
      <c r="J108" s="3"/>
      <c r="K108" s="3"/>
      <c r="L108" s="3"/>
      <c r="M108" s="3"/>
      <c r="N108" s="3"/>
      <c r="O108" s="3"/>
      <c r="P108" s="3"/>
      <c r="Q108" s="3"/>
      <c r="R108" s="3"/>
    </row>
    <row r="109" spans="1:18" x14ac:dyDescent="0.3">
      <c r="A109" s="3"/>
      <c r="B109" s="3"/>
      <c r="C109" s="3"/>
      <c r="D109" s="3"/>
      <c r="E109" s="3"/>
      <c r="F109" s="3"/>
      <c r="G109" s="3"/>
      <c r="H109" s="3"/>
      <c r="I109" s="3"/>
      <c r="J109" s="3"/>
      <c r="K109" s="3"/>
      <c r="L109" s="3"/>
      <c r="M109" s="3"/>
      <c r="N109" s="3"/>
      <c r="O109" s="3"/>
      <c r="P109" s="3"/>
      <c r="Q109" s="3"/>
      <c r="R109" s="3"/>
    </row>
    <row r="110" spans="1:18" x14ac:dyDescent="0.3">
      <c r="A110" s="3"/>
      <c r="B110" s="3"/>
      <c r="C110" s="3"/>
      <c r="D110" s="3"/>
      <c r="E110" s="3"/>
      <c r="F110" s="3"/>
      <c r="G110" s="3"/>
      <c r="H110" s="3"/>
      <c r="I110" s="3"/>
      <c r="J110" s="3"/>
      <c r="K110" s="3"/>
      <c r="L110" s="3"/>
      <c r="M110" s="3"/>
      <c r="N110" s="3"/>
      <c r="O110" s="3"/>
      <c r="P110" s="3"/>
      <c r="Q110" s="3"/>
      <c r="R110" s="3"/>
    </row>
    <row r="111" spans="1:18" x14ac:dyDescent="0.3">
      <c r="A111" s="3"/>
      <c r="B111" s="3"/>
      <c r="C111" s="3"/>
      <c r="D111" s="3"/>
      <c r="E111" s="3"/>
      <c r="F111" s="3"/>
      <c r="G111" s="3"/>
      <c r="H111" s="3"/>
      <c r="I111" s="3"/>
      <c r="J111" s="3"/>
      <c r="K111" s="3"/>
      <c r="L111" s="3"/>
      <c r="M111" s="3"/>
      <c r="N111" s="3"/>
      <c r="O111" s="3"/>
      <c r="P111" s="3"/>
      <c r="Q111" s="3"/>
      <c r="R111" s="3"/>
    </row>
    <row r="112" spans="1:18" x14ac:dyDescent="0.3">
      <c r="A112" s="3"/>
      <c r="B112" s="3"/>
      <c r="C112" s="3"/>
      <c r="D112" s="3"/>
      <c r="E112" s="3"/>
      <c r="F112" s="3"/>
      <c r="G112" s="3"/>
      <c r="H112" s="3"/>
      <c r="I112" s="3"/>
      <c r="J112" s="3"/>
      <c r="K112" s="3"/>
      <c r="L112" s="3"/>
      <c r="M112" s="3"/>
      <c r="N112" s="3"/>
      <c r="O112" s="3"/>
      <c r="P112" s="3"/>
      <c r="Q112" s="3"/>
      <c r="R112" s="3"/>
    </row>
    <row r="113" spans="1:18" x14ac:dyDescent="0.3">
      <c r="A113" s="3"/>
      <c r="B113" s="3"/>
      <c r="C113" s="3"/>
      <c r="D113" s="3"/>
      <c r="E113" s="3"/>
      <c r="F113" s="3"/>
      <c r="G113" s="3"/>
      <c r="H113" s="3"/>
      <c r="I113" s="3"/>
      <c r="J113" s="3"/>
      <c r="K113" s="3"/>
      <c r="L113" s="3"/>
      <c r="M113" s="3"/>
      <c r="N113" s="3"/>
      <c r="O113" s="3"/>
      <c r="P113" s="3"/>
      <c r="Q113" s="3"/>
      <c r="R113" s="3"/>
    </row>
    <row r="114" spans="1:18" x14ac:dyDescent="0.3">
      <c r="A114" s="3"/>
      <c r="B114" s="3"/>
      <c r="C114" s="3"/>
      <c r="D114" s="3"/>
      <c r="E114" s="3"/>
      <c r="F114" s="3"/>
      <c r="G114" s="3"/>
      <c r="H114" s="3"/>
      <c r="I114" s="3"/>
      <c r="J114" s="3"/>
      <c r="K114" s="3"/>
      <c r="L114" s="3"/>
      <c r="M114" s="3"/>
      <c r="N114" s="3"/>
      <c r="O114" s="3"/>
      <c r="P114" s="3"/>
      <c r="Q114" s="3"/>
      <c r="R114" s="3"/>
    </row>
    <row r="115" spans="1:18" x14ac:dyDescent="0.3">
      <c r="A115" s="3"/>
      <c r="B115" s="3"/>
      <c r="C115" s="3"/>
      <c r="D115" s="3"/>
      <c r="E115" s="3"/>
      <c r="F115" s="3"/>
      <c r="G115" s="3"/>
      <c r="H115" s="3"/>
      <c r="I115" s="3"/>
      <c r="J115" s="3"/>
      <c r="K115" s="3"/>
      <c r="L115" s="3"/>
      <c r="M115" s="3"/>
      <c r="N115" s="3"/>
      <c r="O115" s="3"/>
      <c r="P115" s="3"/>
      <c r="Q115" s="3"/>
      <c r="R115" s="3"/>
    </row>
    <row r="116" spans="1:18" x14ac:dyDescent="0.3">
      <c r="A116" s="3"/>
      <c r="B116" s="3"/>
      <c r="C116" s="3"/>
      <c r="D116" s="3"/>
      <c r="E116" s="3"/>
      <c r="F116" s="3"/>
      <c r="G116" s="3"/>
      <c r="H116" s="3"/>
      <c r="I116" s="3"/>
      <c r="J116" s="3"/>
      <c r="K116" s="3"/>
      <c r="L116" s="3"/>
      <c r="M116" s="3"/>
      <c r="N116" s="3"/>
      <c r="O116" s="3"/>
      <c r="P116" s="3"/>
      <c r="Q116" s="3"/>
      <c r="R116" s="3"/>
    </row>
    <row r="117" spans="1:18" x14ac:dyDescent="0.3">
      <c r="A117" s="3"/>
      <c r="B117" s="3"/>
      <c r="C117" s="3"/>
      <c r="D117" s="3"/>
      <c r="E117" s="3"/>
      <c r="F117" s="3"/>
      <c r="G117" s="3"/>
      <c r="H117" s="3"/>
      <c r="I117" s="3"/>
      <c r="J117" s="3"/>
      <c r="K117" s="3"/>
      <c r="L117" s="3"/>
      <c r="M117" s="3"/>
      <c r="N117" s="3"/>
      <c r="O117" s="3"/>
      <c r="P117" s="3"/>
      <c r="Q117" s="3"/>
      <c r="R117" s="3"/>
    </row>
    <row r="118" spans="1:18" x14ac:dyDescent="0.3">
      <c r="A118" s="3"/>
      <c r="B118" s="3"/>
      <c r="C118" s="3"/>
      <c r="D118" s="3"/>
      <c r="E118" s="3"/>
      <c r="F118" s="3"/>
      <c r="G118" s="3"/>
      <c r="H118" s="3"/>
      <c r="I118" s="3"/>
      <c r="J118" s="3"/>
      <c r="K118" s="3"/>
      <c r="L118" s="3"/>
      <c r="M118" s="3"/>
      <c r="N118" s="3"/>
      <c r="O118" s="3"/>
      <c r="P118" s="3"/>
      <c r="Q118" s="3"/>
      <c r="R118" s="3"/>
    </row>
    <row r="119" spans="1:18" x14ac:dyDescent="0.3">
      <c r="A119" s="3"/>
      <c r="B119" s="3"/>
      <c r="C119" s="3"/>
      <c r="D119" s="3"/>
      <c r="E119" s="3"/>
      <c r="F119" s="3"/>
      <c r="G119" s="3"/>
      <c r="H119" s="3"/>
      <c r="I119" s="3"/>
      <c r="J119" s="3"/>
      <c r="K119" s="3"/>
      <c r="L119" s="3"/>
      <c r="M119" s="3"/>
      <c r="N119" s="3"/>
      <c r="O119" s="3"/>
      <c r="P119" s="3"/>
      <c r="Q119" s="3"/>
      <c r="R119" s="3"/>
    </row>
    <row r="120" spans="1:18" x14ac:dyDescent="0.3">
      <c r="A120" s="3"/>
      <c r="B120" s="3"/>
      <c r="C120" s="3"/>
      <c r="D120" s="3"/>
      <c r="E120" s="3"/>
      <c r="F120" s="3"/>
      <c r="G120" s="3"/>
      <c r="H120" s="3"/>
      <c r="I120" s="3"/>
      <c r="J120" s="3"/>
      <c r="K120" s="3"/>
      <c r="L120" s="3"/>
      <c r="M120" s="3"/>
      <c r="N120" s="3"/>
      <c r="O120" s="3"/>
      <c r="P120" s="3"/>
      <c r="Q120" s="3"/>
      <c r="R120" s="3"/>
    </row>
    <row r="121" spans="1:18" x14ac:dyDescent="0.3">
      <c r="A121" s="3"/>
      <c r="B121" s="3"/>
      <c r="C121" s="3"/>
      <c r="D121" s="3"/>
      <c r="E121" s="3"/>
      <c r="F121" s="3"/>
      <c r="G121" s="3"/>
      <c r="H121" s="3"/>
      <c r="I121" s="3"/>
      <c r="J121" s="3"/>
      <c r="K121" s="3"/>
      <c r="L121" s="3"/>
      <c r="M121" s="3"/>
      <c r="N121" s="3"/>
      <c r="O121" s="3"/>
      <c r="P121" s="3"/>
      <c r="Q121" s="3"/>
      <c r="R121" s="3"/>
    </row>
    <row r="122" spans="1:18" x14ac:dyDescent="0.3">
      <c r="A122" s="3"/>
      <c r="B122" s="3"/>
      <c r="C122" s="3"/>
      <c r="D122" s="3"/>
      <c r="E122" s="3"/>
      <c r="F122" s="3"/>
      <c r="G122" s="3"/>
      <c r="H122" s="3"/>
      <c r="I122" s="3"/>
      <c r="J122" s="3"/>
      <c r="K122" s="3"/>
      <c r="L122" s="3"/>
      <c r="M122" s="3"/>
      <c r="N122" s="3"/>
      <c r="O122" s="3"/>
      <c r="P122" s="3"/>
      <c r="Q122" s="3"/>
      <c r="R122" s="3"/>
    </row>
    <row r="123" spans="1:18" x14ac:dyDescent="0.3">
      <c r="A123" s="3"/>
      <c r="B123" s="3"/>
      <c r="C123" s="3"/>
      <c r="D123" s="3"/>
      <c r="E123" s="3"/>
      <c r="F123" s="3"/>
      <c r="G123" s="3"/>
      <c r="H123" s="3"/>
      <c r="I123" s="3"/>
      <c r="J123" s="3"/>
      <c r="K123" s="3"/>
      <c r="L123" s="3"/>
      <c r="M123" s="3"/>
      <c r="N123" s="3"/>
      <c r="O123" s="3"/>
      <c r="P123" s="3"/>
      <c r="Q123" s="3"/>
      <c r="R123" s="3"/>
    </row>
    <row r="124" spans="1:18" x14ac:dyDescent="0.3">
      <c r="A124" s="3"/>
      <c r="B124" s="3"/>
      <c r="C124" s="3"/>
      <c r="D124" s="3"/>
      <c r="E124" s="3"/>
      <c r="F124" s="3"/>
      <c r="G124" s="3"/>
      <c r="H124" s="3"/>
      <c r="I124" s="3"/>
      <c r="J124" s="3"/>
      <c r="K124" s="3"/>
      <c r="L124" s="3"/>
      <c r="M124" s="3"/>
      <c r="N124" s="3"/>
      <c r="O124" s="3"/>
      <c r="P124" s="3"/>
      <c r="Q124" s="3"/>
      <c r="R124" s="3"/>
    </row>
    <row r="125" spans="1:18" x14ac:dyDescent="0.3">
      <c r="A125" s="3"/>
      <c r="B125" s="3"/>
      <c r="C125" s="3"/>
      <c r="D125" s="3"/>
      <c r="E125" s="3"/>
      <c r="F125" s="3"/>
      <c r="G125" s="3"/>
      <c r="H125" s="3"/>
      <c r="I125" s="3"/>
      <c r="J125" s="3"/>
      <c r="K125" s="3"/>
      <c r="L125" s="3"/>
      <c r="M125" s="3"/>
      <c r="N125" s="3"/>
      <c r="O125" s="3"/>
      <c r="P125" s="3"/>
      <c r="Q125" s="3"/>
      <c r="R125" s="3"/>
    </row>
    <row r="126" spans="1:18" x14ac:dyDescent="0.3">
      <c r="A126" s="3"/>
      <c r="B126" s="3"/>
      <c r="C126" s="3"/>
      <c r="D126" s="3"/>
      <c r="E126" s="3"/>
      <c r="F126" s="3"/>
      <c r="G126" s="3"/>
      <c r="H126" s="3"/>
      <c r="I126" s="3"/>
      <c r="J126" s="3"/>
      <c r="K126" s="3"/>
      <c r="L126" s="3"/>
      <c r="M126" s="3"/>
      <c r="N126" s="3"/>
      <c r="O126" s="3"/>
      <c r="P126" s="3"/>
      <c r="Q126" s="3"/>
      <c r="R126" s="3"/>
    </row>
    <row r="127" spans="1:18" x14ac:dyDescent="0.3">
      <c r="A127" s="3"/>
      <c r="B127" s="3"/>
      <c r="C127" s="3"/>
      <c r="D127" s="3"/>
      <c r="E127" s="3"/>
      <c r="F127" s="3"/>
      <c r="G127" s="3"/>
      <c r="H127" s="3"/>
      <c r="I127" s="3"/>
      <c r="J127" s="3"/>
      <c r="K127" s="3"/>
      <c r="L127" s="3"/>
      <c r="M127" s="3"/>
      <c r="N127" s="3"/>
      <c r="O127" s="3"/>
      <c r="P127" s="3"/>
      <c r="Q127" s="3"/>
      <c r="R127" s="3"/>
    </row>
    <row r="128" spans="1:18" x14ac:dyDescent="0.3">
      <c r="A128" s="3"/>
      <c r="B128" s="3"/>
      <c r="C128" s="3"/>
      <c r="D128" s="3"/>
      <c r="E128" s="3"/>
      <c r="F128" s="3"/>
      <c r="G128" s="3"/>
      <c r="H128" s="3"/>
      <c r="I128" s="3"/>
      <c r="J128" s="3"/>
      <c r="K128" s="3"/>
      <c r="L128" s="3"/>
      <c r="M128" s="3"/>
      <c r="N128" s="3"/>
      <c r="O128" s="3"/>
      <c r="P128" s="3"/>
      <c r="Q128" s="3"/>
      <c r="R128" s="3"/>
    </row>
    <row r="129" spans="1:18" x14ac:dyDescent="0.3">
      <c r="A129" s="3"/>
      <c r="B129" s="3"/>
      <c r="C129" s="3"/>
      <c r="D129" s="3"/>
      <c r="E129" s="3"/>
      <c r="F129" s="3"/>
      <c r="G129" s="3"/>
      <c r="H129" s="3"/>
      <c r="I129" s="3"/>
      <c r="J129" s="3"/>
      <c r="K129" s="3"/>
      <c r="L129" s="3"/>
      <c r="M129" s="3"/>
      <c r="N129" s="3"/>
      <c r="O129" s="3"/>
      <c r="P129" s="3"/>
      <c r="Q129" s="3"/>
      <c r="R129" s="3"/>
    </row>
    <row r="130" spans="1:18" x14ac:dyDescent="0.3">
      <c r="A130" s="3"/>
      <c r="B130" s="3"/>
      <c r="C130" s="3"/>
      <c r="D130" s="3"/>
      <c r="E130" s="3"/>
      <c r="F130" s="3"/>
      <c r="G130" s="3"/>
      <c r="H130" s="3"/>
      <c r="I130" s="3"/>
      <c r="J130" s="3"/>
      <c r="K130" s="3"/>
      <c r="L130" s="3"/>
      <c r="M130" s="3"/>
      <c r="N130" s="3"/>
      <c r="O130" s="3"/>
      <c r="P130" s="3"/>
      <c r="Q130" s="3"/>
      <c r="R130" s="3"/>
    </row>
    <row r="131" spans="1:18" x14ac:dyDescent="0.3">
      <c r="A131" s="3"/>
      <c r="B131" s="3"/>
      <c r="C131" s="3"/>
      <c r="D131" s="3"/>
      <c r="E131" s="3"/>
      <c r="F131" s="3"/>
      <c r="G131" s="3"/>
      <c r="H131" s="3"/>
      <c r="I131" s="3"/>
      <c r="J131" s="3"/>
      <c r="K131" s="3"/>
      <c r="L131" s="3"/>
      <c r="M131" s="3"/>
      <c r="N131" s="3"/>
      <c r="O131" s="3"/>
      <c r="P131" s="3"/>
      <c r="Q131" s="3"/>
      <c r="R131" s="3"/>
    </row>
    <row r="132" spans="1:18" x14ac:dyDescent="0.3">
      <c r="A132" s="3"/>
      <c r="B132" s="3"/>
      <c r="C132" s="3"/>
      <c r="D132" s="3"/>
      <c r="E132" s="3"/>
      <c r="F132" s="3"/>
      <c r="G132" s="3"/>
      <c r="H132" s="3"/>
      <c r="I132" s="3"/>
      <c r="J132" s="3"/>
      <c r="K132" s="3"/>
      <c r="L132" s="3"/>
      <c r="M132" s="3"/>
      <c r="N132" s="3"/>
      <c r="O132" s="3"/>
      <c r="P132" s="3"/>
      <c r="Q132" s="3"/>
      <c r="R132" s="3"/>
    </row>
    <row r="133" spans="1:18" x14ac:dyDescent="0.3">
      <c r="A133" s="3"/>
      <c r="B133" s="3"/>
      <c r="C133" s="3"/>
      <c r="D133" s="3"/>
      <c r="E133" s="3"/>
      <c r="F133" s="3"/>
      <c r="G133" s="3"/>
      <c r="H133" s="3"/>
      <c r="I133" s="3"/>
      <c r="J133" s="3"/>
      <c r="K133" s="3"/>
      <c r="L133" s="3"/>
      <c r="M133" s="3"/>
      <c r="N133" s="3"/>
      <c r="O133" s="3"/>
      <c r="P133" s="3"/>
      <c r="Q133" s="3"/>
      <c r="R133" s="3"/>
    </row>
    <row r="134" spans="1:18" x14ac:dyDescent="0.3">
      <c r="A134" s="3"/>
      <c r="B134" s="3"/>
      <c r="C134" s="3"/>
      <c r="D134" s="3"/>
      <c r="E134" s="3"/>
      <c r="F134" s="3"/>
      <c r="G134" s="3"/>
      <c r="H134" s="3"/>
      <c r="I134" s="3"/>
      <c r="J134" s="3"/>
      <c r="K134" s="3"/>
      <c r="L134" s="3"/>
      <c r="M134" s="3"/>
      <c r="N134" s="3"/>
      <c r="O134" s="3"/>
      <c r="P134" s="3"/>
      <c r="Q134" s="3"/>
      <c r="R134" s="3"/>
    </row>
    <row r="135" spans="1:18" x14ac:dyDescent="0.3">
      <c r="A135" s="3"/>
      <c r="B135" s="3"/>
      <c r="C135" s="3"/>
      <c r="D135" s="3"/>
      <c r="E135" s="3"/>
      <c r="F135" s="3"/>
      <c r="G135" s="3"/>
      <c r="H135" s="3"/>
      <c r="I135" s="3"/>
      <c r="J135" s="3"/>
      <c r="K135" s="3"/>
      <c r="L135" s="3"/>
      <c r="M135" s="3"/>
      <c r="N135" s="3"/>
      <c r="O135" s="3"/>
      <c r="P135" s="3"/>
      <c r="Q135" s="3"/>
      <c r="R135" s="3"/>
    </row>
    <row r="136" spans="1:18" x14ac:dyDescent="0.3">
      <c r="A136" s="3"/>
      <c r="B136" s="3"/>
      <c r="C136" s="3"/>
      <c r="D136" s="3"/>
      <c r="E136" s="3"/>
      <c r="F136" s="3"/>
      <c r="G136" s="3"/>
      <c r="H136" s="3"/>
      <c r="I136" s="3"/>
      <c r="J136" s="3"/>
      <c r="K136" s="3"/>
      <c r="L136" s="3"/>
      <c r="M136" s="3"/>
      <c r="N136" s="3"/>
      <c r="O136" s="3"/>
      <c r="P136" s="3"/>
      <c r="Q136" s="3"/>
      <c r="R136" s="3"/>
    </row>
    <row r="137" spans="1:18" x14ac:dyDescent="0.3">
      <c r="A137" s="3"/>
      <c r="B137" s="3"/>
      <c r="C137" s="3"/>
      <c r="D137" s="3"/>
      <c r="E137" s="3"/>
      <c r="F137" s="3"/>
      <c r="G137" s="3"/>
      <c r="H137" s="3"/>
      <c r="I137" s="3"/>
      <c r="J137" s="3"/>
      <c r="K137" s="3"/>
      <c r="L137" s="3"/>
      <c r="M137" s="3"/>
      <c r="N137" s="3"/>
      <c r="O137" s="3"/>
      <c r="P137" s="3"/>
      <c r="Q137" s="3"/>
      <c r="R137" s="3"/>
    </row>
    <row r="138" spans="1:18" x14ac:dyDescent="0.3">
      <c r="A138" s="3"/>
      <c r="B138" s="3"/>
      <c r="C138" s="3"/>
      <c r="D138" s="3"/>
      <c r="E138" s="3"/>
      <c r="F138" s="3"/>
      <c r="G138" s="3"/>
      <c r="H138" s="3"/>
      <c r="I138" s="3"/>
      <c r="J138" s="3"/>
      <c r="K138" s="3"/>
      <c r="L138" s="3"/>
      <c r="M138" s="3"/>
      <c r="N138" s="3"/>
      <c r="O138" s="3"/>
      <c r="P138" s="3"/>
      <c r="Q138" s="3"/>
      <c r="R138" s="3"/>
    </row>
    <row r="139" spans="1:18" x14ac:dyDescent="0.3">
      <c r="A139" s="3"/>
      <c r="B139" s="3"/>
      <c r="C139" s="3"/>
      <c r="D139" s="3"/>
      <c r="E139" s="3"/>
      <c r="F139" s="3"/>
      <c r="G139" s="3"/>
      <c r="H139" s="3"/>
      <c r="I139" s="3"/>
      <c r="J139" s="3"/>
      <c r="K139" s="3"/>
      <c r="L139" s="3"/>
      <c r="M139" s="3"/>
      <c r="N139" s="3"/>
      <c r="O139" s="3"/>
      <c r="P139" s="3"/>
      <c r="Q139" s="3"/>
      <c r="R139" s="3"/>
    </row>
    <row r="140" spans="1:18" x14ac:dyDescent="0.3">
      <c r="A140" s="3"/>
      <c r="B140" s="3"/>
      <c r="C140" s="3"/>
      <c r="D140" s="3"/>
      <c r="E140" s="3"/>
      <c r="F140" s="3"/>
      <c r="G140" s="3"/>
      <c r="H140" s="3"/>
      <c r="I140" s="3"/>
      <c r="J140" s="3"/>
      <c r="K140" s="3"/>
      <c r="L140" s="3"/>
      <c r="M140" s="3"/>
      <c r="N140" s="3"/>
      <c r="O140" s="3"/>
      <c r="P140" s="3"/>
      <c r="Q140" s="3"/>
      <c r="R140" s="3"/>
    </row>
    <row r="141" spans="1:18" x14ac:dyDescent="0.3">
      <c r="A141" s="3"/>
      <c r="B141" s="3"/>
      <c r="C141" s="3"/>
      <c r="D141" s="3"/>
      <c r="E141" s="3"/>
      <c r="F141" s="3"/>
      <c r="G141" s="3"/>
      <c r="H141" s="3"/>
      <c r="I141" s="3"/>
      <c r="J141" s="3"/>
      <c r="K141" s="3"/>
      <c r="L141" s="3"/>
      <c r="M141" s="3"/>
      <c r="N141" s="3"/>
      <c r="O141" s="3"/>
      <c r="P141" s="3"/>
      <c r="Q141" s="3"/>
      <c r="R141" s="3"/>
    </row>
    <row r="142" spans="1:18" x14ac:dyDescent="0.3">
      <c r="A142" s="3"/>
      <c r="B142" s="3"/>
      <c r="C142" s="3"/>
      <c r="D142" s="3"/>
      <c r="E142" s="3"/>
      <c r="F142" s="3"/>
      <c r="G142" s="3"/>
      <c r="H142" s="3"/>
      <c r="I142" s="3"/>
      <c r="J142" s="3"/>
      <c r="K142" s="3"/>
      <c r="L142" s="3"/>
      <c r="M142" s="3"/>
      <c r="N142" s="3"/>
      <c r="O142" s="3"/>
      <c r="P142" s="3"/>
      <c r="Q142" s="3"/>
      <c r="R142" s="3"/>
    </row>
    <row r="143" spans="1:18" x14ac:dyDescent="0.3">
      <c r="A143" s="3"/>
      <c r="B143" s="3"/>
      <c r="C143" s="3"/>
      <c r="D143" s="3"/>
      <c r="E143" s="3"/>
      <c r="F143" s="3"/>
      <c r="G143" s="3"/>
      <c r="H143" s="3"/>
      <c r="I143" s="3"/>
      <c r="J143" s="3"/>
      <c r="K143" s="3"/>
      <c r="L143" s="3"/>
      <c r="M143" s="3"/>
      <c r="N143" s="3"/>
      <c r="O143" s="3"/>
      <c r="P143" s="3"/>
      <c r="Q143" s="3"/>
      <c r="R143" s="3"/>
    </row>
    <row r="144" spans="1:18" x14ac:dyDescent="0.3">
      <c r="A144" s="3"/>
      <c r="B144" s="3"/>
      <c r="C144" s="3"/>
      <c r="D144" s="3"/>
      <c r="E144" s="3"/>
      <c r="F144" s="3"/>
      <c r="G144" s="3"/>
      <c r="H144" s="3"/>
      <c r="I144" s="3"/>
      <c r="J144" s="3"/>
      <c r="K144" s="3"/>
      <c r="L144" s="3"/>
      <c r="M144" s="3"/>
      <c r="N144" s="3"/>
      <c r="O144" s="3"/>
      <c r="P144" s="3"/>
      <c r="Q144" s="3"/>
      <c r="R144" s="3"/>
    </row>
    <row r="145" spans="1:18" x14ac:dyDescent="0.3">
      <c r="A145" s="3"/>
      <c r="B145" s="3"/>
      <c r="C145" s="3"/>
      <c r="D145" s="3"/>
      <c r="E145" s="3"/>
      <c r="F145" s="3"/>
      <c r="G145" s="3"/>
      <c r="H145" s="3"/>
      <c r="I145" s="3"/>
      <c r="J145" s="3"/>
      <c r="K145" s="3"/>
      <c r="L145" s="3"/>
      <c r="M145" s="3"/>
      <c r="N145" s="3"/>
      <c r="O145" s="3"/>
      <c r="P145" s="3"/>
      <c r="Q145" s="3"/>
      <c r="R145" s="3"/>
    </row>
    <row r="146" spans="1:18" x14ac:dyDescent="0.3">
      <c r="A146" s="3"/>
      <c r="B146" s="3"/>
      <c r="C146" s="3"/>
      <c r="D146" s="3"/>
      <c r="E146" s="3"/>
      <c r="F146" s="3"/>
      <c r="G146" s="3"/>
      <c r="H146" s="3"/>
      <c r="I146" s="3"/>
      <c r="J146" s="3"/>
      <c r="K146" s="3"/>
      <c r="L146" s="3"/>
      <c r="M146" s="3"/>
      <c r="N146" s="3"/>
      <c r="O146" s="3"/>
      <c r="P146" s="3"/>
      <c r="Q146" s="3"/>
      <c r="R146" s="3"/>
    </row>
    <row r="147" spans="1:18" x14ac:dyDescent="0.3">
      <c r="A147" s="3"/>
      <c r="B147" s="3"/>
      <c r="C147" s="3"/>
      <c r="D147" s="3"/>
      <c r="E147" s="3"/>
      <c r="F147" s="3"/>
      <c r="G147" s="3"/>
      <c r="H147" s="3"/>
      <c r="I147" s="3"/>
      <c r="J147" s="3"/>
      <c r="K147" s="3"/>
      <c r="L147" s="3"/>
      <c r="M147" s="3"/>
      <c r="N147" s="3"/>
      <c r="O147" s="3"/>
      <c r="P147" s="3"/>
      <c r="Q147" s="3"/>
      <c r="R147" s="3"/>
    </row>
    <row r="148" spans="1:18" x14ac:dyDescent="0.3">
      <c r="A148" s="3"/>
      <c r="B148" s="3"/>
      <c r="C148" s="3"/>
      <c r="D148" s="3"/>
      <c r="E148" s="3"/>
      <c r="F148" s="3"/>
      <c r="G148" s="3"/>
      <c r="H148" s="3"/>
      <c r="I148" s="3"/>
      <c r="J148" s="3"/>
      <c r="K148" s="3"/>
      <c r="L148" s="3"/>
      <c r="M148" s="3"/>
      <c r="N148" s="3"/>
      <c r="O148" s="3"/>
      <c r="P148" s="3"/>
      <c r="Q148" s="3"/>
      <c r="R148" s="3"/>
    </row>
    <row r="149" spans="1:18" x14ac:dyDescent="0.3">
      <c r="A149" s="3"/>
      <c r="B149" s="3"/>
      <c r="C149" s="3"/>
      <c r="D149" s="3"/>
      <c r="E149" s="3"/>
      <c r="F149" s="3"/>
      <c r="G149" s="3"/>
      <c r="H149" s="3"/>
      <c r="I149" s="3"/>
      <c r="J149" s="3"/>
      <c r="K149" s="3"/>
      <c r="L149" s="3"/>
      <c r="M149" s="3"/>
      <c r="N149" s="3"/>
      <c r="O149" s="3"/>
      <c r="P149" s="3"/>
      <c r="Q149" s="3"/>
      <c r="R149" s="3"/>
    </row>
    <row r="150" spans="1:18" x14ac:dyDescent="0.3">
      <c r="A150" s="3"/>
      <c r="B150" s="3"/>
      <c r="C150" s="3"/>
      <c r="D150" s="3"/>
      <c r="E150" s="3"/>
      <c r="F150" s="3"/>
      <c r="G150" s="3"/>
      <c r="H150" s="3"/>
      <c r="I150" s="3"/>
      <c r="J150" s="3"/>
      <c r="K150" s="3"/>
      <c r="L150" s="3"/>
      <c r="M150" s="3"/>
      <c r="N150" s="3"/>
      <c r="O150" s="3"/>
      <c r="P150" s="3"/>
      <c r="Q150" s="3"/>
      <c r="R150" s="3"/>
    </row>
    <row r="151" spans="1:18" x14ac:dyDescent="0.3">
      <c r="A151" s="3"/>
      <c r="B151" s="3"/>
      <c r="C151" s="3"/>
      <c r="D151" s="3"/>
      <c r="E151" s="3"/>
      <c r="F151" s="3"/>
      <c r="G151" s="3"/>
      <c r="H151" s="3"/>
      <c r="I151" s="3"/>
      <c r="J151" s="3"/>
      <c r="K151" s="3"/>
      <c r="L151" s="3"/>
      <c r="M151" s="3"/>
      <c r="N151" s="3"/>
      <c r="O151" s="3"/>
      <c r="P151" s="3"/>
      <c r="Q151" s="3"/>
      <c r="R151" s="3"/>
    </row>
    <row r="152" spans="1:18" x14ac:dyDescent="0.3">
      <c r="A152" s="3"/>
      <c r="B152" s="3"/>
      <c r="C152" s="3"/>
      <c r="D152" s="3"/>
      <c r="E152" s="3"/>
      <c r="F152" s="3"/>
      <c r="G152" s="3"/>
      <c r="H152" s="3"/>
      <c r="I152" s="3"/>
      <c r="J152" s="3"/>
      <c r="K152" s="3"/>
      <c r="L152" s="3"/>
      <c r="M152" s="3"/>
      <c r="N152" s="3"/>
      <c r="O152" s="3"/>
      <c r="P152" s="3"/>
      <c r="Q152" s="3"/>
      <c r="R152" s="3"/>
    </row>
    <row r="153" spans="1:18" x14ac:dyDescent="0.3">
      <c r="A153" s="3"/>
      <c r="B153" s="3"/>
      <c r="C153" s="3"/>
      <c r="D153" s="3"/>
      <c r="E153" s="3"/>
      <c r="F153" s="3"/>
      <c r="G153" s="3"/>
      <c r="H153" s="3"/>
      <c r="I153" s="3"/>
      <c r="J153" s="3"/>
      <c r="K153" s="3"/>
      <c r="L153" s="3"/>
      <c r="M153" s="3"/>
      <c r="N153" s="3"/>
      <c r="O153" s="3"/>
      <c r="P153" s="3"/>
      <c r="Q153" s="3"/>
      <c r="R153" s="3"/>
    </row>
    <row r="154" spans="1:18" x14ac:dyDescent="0.3">
      <c r="A154" s="3"/>
      <c r="B154" s="3"/>
      <c r="C154" s="3"/>
      <c r="D154" s="3"/>
      <c r="E154" s="3"/>
      <c r="F154" s="3"/>
      <c r="G154" s="3"/>
      <c r="H154" s="3"/>
      <c r="I154" s="3"/>
      <c r="J154" s="3"/>
      <c r="K154" s="3"/>
      <c r="L154" s="3"/>
      <c r="M154" s="3"/>
      <c r="N154" s="3"/>
      <c r="O154" s="3"/>
      <c r="P154" s="3"/>
      <c r="Q154" s="3"/>
      <c r="R154" s="3"/>
    </row>
    <row r="155" spans="1:18" x14ac:dyDescent="0.3">
      <c r="A155" s="3"/>
      <c r="B155" s="3"/>
      <c r="C155" s="3"/>
      <c r="D155" s="3"/>
      <c r="E155" s="3"/>
      <c r="F155" s="3"/>
      <c r="G155" s="3"/>
      <c r="H155" s="3"/>
      <c r="I155" s="3"/>
      <c r="J155" s="3"/>
      <c r="K155" s="3"/>
      <c r="L155" s="3"/>
      <c r="M155" s="3"/>
      <c r="N155" s="3"/>
      <c r="O155" s="3"/>
      <c r="P155" s="3"/>
      <c r="Q155" s="3"/>
      <c r="R155" s="3"/>
    </row>
    <row r="156" spans="1:18" x14ac:dyDescent="0.3">
      <c r="A156" s="3"/>
      <c r="B156" s="3"/>
      <c r="C156" s="3"/>
      <c r="D156" s="3"/>
      <c r="E156" s="3"/>
      <c r="F156" s="3"/>
      <c r="G156" s="3"/>
      <c r="H156" s="3"/>
      <c r="I156" s="3"/>
      <c r="J156" s="3"/>
      <c r="K156" s="3"/>
      <c r="L156" s="3"/>
      <c r="M156" s="3"/>
      <c r="N156" s="3"/>
      <c r="O156" s="3"/>
      <c r="P156" s="3"/>
      <c r="Q156" s="3"/>
      <c r="R156" s="3"/>
    </row>
    <row r="157" spans="1:18" x14ac:dyDescent="0.3">
      <c r="A157" s="3"/>
      <c r="B157" s="3"/>
      <c r="C157" s="3"/>
      <c r="D157" s="3"/>
      <c r="E157" s="3"/>
      <c r="F157" s="3"/>
      <c r="G157" s="3"/>
      <c r="H157" s="3"/>
      <c r="I157" s="3"/>
      <c r="J157" s="3"/>
      <c r="K157" s="3"/>
      <c r="L157" s="3"/>
      <c r="M157" s="3"/>
      <c r="N157" s="3"/>
      <c r="O157" s="3"/>
      <c r="P157" s="3"/>
      <c r="Q157" s="3"/>
      <c r="R157" s="3"/>
    </row>
    <row r="158" spans="1:18" x14ac:dyDescent="0.3">
      <c r="A158" s="3"/>
      <c r="B158" s="3"/>
      <c r="C158" s="3"/>
      <c r="D158" s="3"/>
      <c r="E158" s="3"/>
      <c r="F158" s="3"/>
      <c r="G158" s="3"/>
      <c r="H158" s="3"/>
      <c r="I158" s="3"/>
      <c r="J158" s="3"/>
      <c r="K158" s="3"/>
      <c r="L158" s="3"/>
      <c r="M158" s="3"/>
      <c r="N158" s="3"/>
      <c r="O158" s="3"/>
      <c r="P158" s="3"/>
      <c r="Q158" s="3"/>
      <c r="R158" s="3"/>
    </row>
    <row r="159" spans="1:18" x14ac:dyDescent="0.3">
      <c r="A159" s="3"/>
      <c r="B159" s="3"/>
      <c r="C159" s="3"/>
      <c r="D159" s="3"/>
      <c r="E159" s="3"/>
      <c r="F159" s="3"/>
      <c r="G159" s="3"/>
      <c r="H159" s="3"/>
      <c r="I159" s="3"/>
      <c r="J159" s="3"/>
      <c r="K159" s="3"/>
      <c r="L159" s="3"/>
      <c r="M159" s="3"/>
      <c r="N159" s="3"/>
      <c r="O159" s="3"/>
      <c r="P159" s="3"/>
      <c r="Q159" s="3"/>
      <c r="R159" s="3"/>
    </row>
    <row r="160" spans="1:18" x14ac:dyDescent="0.3">
      <c r="A160" s="3"/>
      <c r="B160" s="3"/>
      <c r="C160" s="3"/>
      <c r="D160" s="3"/>
      <c r="E160" s="3"/>
      <c r="F160" s="3"/>
      <c r="G160" s="3"/>
      <c r="H160" s="3"/>
      <c r="I160" s="3"/>
      <c r="J160" s="3"/>
      <c r="K160" s="3"/>
      <c r="L160" s="3"/>
      <c r="M160" s="3"/>
      <c r="N160" s="3"/>
      <c r="O160" s="3"/>
      <c r="P160" s="3"/>
      <c r="Q160" s="3"/>
      <c r="R160" s="3"/>
    </row>
    <row r="161" spans="1:18" x14ac:dyDescent="0.3">
      <c r="A161" s="3"/>
      <c r="B161" s="3"/>
      <c r="C161" s="3"/>
      <c r="D161" s="3"/>
      <c r="E161" s="3"/>
      <c r="F161" s="3"/>
      <c r="G161" s="3"/>
      <c r="H161" s="3"/>
      <c r="I161" s="3"/>
      <c r="J161" s="3"/>
      <c r="K161" s="3"/>
      <c r="L161" s="3"/>
      <c r="M161" s="3"/>
      <c r="N161" s="3"/>
      <c r="O161" s="3"/>
      <c r="P161" s="3"/>
      <c r="Q161" s="3"/>
      <c r="R161" s="3"/>
    </row>
    <row r="162" spans="1:18" x14ac:dyDescent="0.3">
      <c r="A162" s="3"/>
      <c r="B162" s="3"/>
      <c r="C162" s="3"/>
      <c r="D162" s="3"/>
      <c r="E162" s="3"/>
      <c r="F162" s="3"/>
      <c r="G162" s="3"/>
      <c r="H162" s="3"/>
      <c r="I162" s="3"/>
      <c r="J162" s="3"/>
      <c r="K162" s="3"/>
      <c r="L162" s="3"/>
      <c r="M162" s="3"/>
      <c r="N162" s="3"/>
      <c r="O162" s="3"/>
      <c r="P162" s="3"/>
      <c r="Q162" s="3"/>
      <c r="R162" s="3"/>
    </row>
    <row r="163" spans="1:18" x14ac:dyDescent="0.3">
      <c r="A163" s="3"/>
      <c r="B163" s="3"/>
      <c r="C163" s="3"/>
      <c r="D163" s="3"/>
      <c r="E163" s="3"/>
      <c r="F163" s="3"/>
      <c r="G163" s="3"/>
      <c r="H163" s="3"/>
      <c r="I163" s="3"/>
      <c r="J163" s="3"/>
      <c r="K163" s="3"/>
      <c r="L163" s="3"/>
      <c r="M163" s="3"/>
      <c r="N163" s="3"/>
      <c r="O163" s="3"/>
      <c r="P163" s="3"/>
      <c r="Q163" s="3"/>
      <c r="R163" s="3"/>
    </row>
    <row r="164" spans="1:18" x14ac:dyDescent="0.3">
      <c r="A164" s="3"/>
      <c r="B164" s="3"/>
      <c r="C164" s="3"/>
      <c r="D164" s="3"/>
      <c r="E164" s="3"/>
      <c r="F164" s="3"/>
      <c r="G164" s="3"/>
      <c r="H164" s="3"/>
      <c r="I164" s="3"/>
      <c r="J164" s="3"/>
      <c r="K164" s="3"/>
      <c r="L164" s="3"/>
      <c r="M164" s="3"/>
      <c r="N164" s="3"/>
      <c r="O164" s="3"/>
      <c r="P164" s="3"/>
      <c r="Q164" s="3"/>
      <c r="R164" s="3"/>
    </row>
    <row r="165" spans="1:18" x14ac:dyDescent="0.3">
      <c r="A165" s="3"/>
      <c r="B165" s="3"/>
      <c r="C165" s="3"/>
      <c r="D165" s="3"/>
      <c r="E165" s="3"/>
      <c r="F165" s="3"/>
      <c r="G165" s="3"/>
      <c r="H165" s="3"/>
      <c r="I165" s="3"/>
      <c r="J165" s="3"/>
      <c r="K165" s="3"/>
      <c r="L165" s="3"/>
      <c r="M165" s="3"/>
      <c r="N165" s="3"/>
      <c r="O165" s="3"/>
      <c r="P165" s="3"/>
      <c r="Q165" s="3"/>
      <c r="R165" s="3"/>
    </row>
    <row r="166" spans="1:18" x14ac:dyDescent="0.3">
      <c r="A166" s="3"/>
      <c r="B166" s="3"/>
      <c r="C166" s="3"/>
      <c r="D166" s="3"/>
      <c r="E166" s="3"/>
      <c r="F166" s="3"/>
      <c r="G166" s="3"/>
      <c r="H166" s="3"/>
      <c r="I166" s="3"/>
      <c r="J166" s="3"/>
      <c r="K166" s="3"/>
      <c r="L166" s="3"/>
      <c r="M166" s="3"/>
      <c r="N166" s="3"/>
      <c r="O166" s="3"/>
      <c r="P166" s="3"/>
      <c r="Q166" s="3"/>
      <c r="R166" s="3"/>
    </row>
    <row r="167" spans="1:18" x14ac:dyDescent="0.3">
      <c r="A167" s="3"/>
      <c r="B167" s="3"/>
      <c r="C167" s="3"/>
      <c r="D167" s="3"/>
      <c r="E167" s="3"/>
      <c r="F167" s="3"/>
      <c r="G167" s="3"/>
      <c r="H167" s="3"/>
      <c r="I167" s="3"/>
      <c r="J167" s="3"/>
      <c r="K167" s="3"/>
      <c r="L167" s="3"/>
      <c r="M167" s="3"/>
      <c r="N167" s="3"/>
      <c r="O167" s="3"/>
      <c r="P167" s="3"/>
      <c r="Q167" s="3"/>
      <c r="R167" s="3"/>
    </row>
    <row r="168" spans="1:18" x14ac:dyDescent="0.3">
      <c r="A168" s="3"/>
      <c r="B168" s="3"/>
      <c r="C168" s="3"/>
      <c r="D168" s="3"/>
      <c r="E168" s="3"/>
      <c r="F168" s="3"/>
      <c r="G168" s="3"/>
      <c r="H168" s="3"/>
      <c r="I168" s="3"/>
      <c r="J168" s="3"/>
      <c r="K168" s="3"/>
      <c r="L168" s="3"/>
      <c r="M168" s="3"/>
      <c r="N168" s="3"/>
      <c r="O168" s="3"/>
      <c r="P168" s="3"/>
      <c r="Q168" s="3"/>
      <c r="R168" s="3"/>
    </row>
    <row r="169" spans="1:18" x14ac:dyDescent="0.3">
      <c r="A169" s="3"/>
      <c r="B169" s="3"/>
      <c r="C169" s="3"/>
      <c r="D169" s="3"/>
      <c r="E169" s="3"/>
      <c r="F169" s="3"/>
      <c r="G169" s="3"/>
      <c r="H169" s="3"/>
      <c r="I169" s="3"/>
      <c r="J169" s="3"/>
      <c r="K169" s="3"/>
      <c r="L169" s="3"/>
      <c r="M169" s="3"/>
      <c r="N169" s="3"/>
      <c r="O169" s="3"/>
      <c r="P169" s="3"/>
      <c r="Q169" s="3"/>
      <c r="R169" s="3"/>
    </row>
    <row r="170" spans="1:18" x14ac:dyDescent="0.3">
      <c r="A170" s="3"/>
      <c r="B170" s="3"/>
      <c r="C170" s="3"/>
      <c r="D170" s="3"/>
      <c r="E170" s="3"/>
      <c r="F170" s="3"/>
      <c r="G170" s="3"/>
      <c r="H170" s="3"/>
      <c r="I170" s="3"/>
      <c r="J170" s="3"/>
      <c r="K170" s="3"/>
      <c r="L170" s="3"/>
      <c r="M170" s="3"/>
      <c r="N170" s="3"/>
      <c r="O170" s="3"/>
      <c r="P170" s="3"/>
      <c r="Q170" s="3"/>
      <c r="R170" s="3"/>
    </row>
    <row r="171" spans="1:18" x14ac:dyDescent="0.3">
      <c r="A171" s="3"/>
      <c r="B171" s="3"/>
      <c r="C171" s="3"/>
      <c r="D171" s="3"/>
      <c r="E171" s="3"/>
      <c r="F171" s="3"/>
      <c r="G171" s="3"/>
      <c r="H171" s="3"/>
      <c r="I171" s="3"/>
      <c r="J171" s="3"/>
      <c r="K171" s="3"/>
      <c r="L171" s="3"/>
      <c r="M171" s="3"/>
      <c r="N171" s="3"/>
      <c r="O171" s="3"/>
      <c r="P171" s="3"/>
      <c r="Q171" s="3"/>
      <c r="R171" s="3"/>
    </row>
    <row r="172" spans="1:18" x14ac:dyDescent="0.3">
      <c r="A172" s="3"/>
      <c r="B172" s="3"/>
      <c r="C172" s="3"/>
      <c r="D172" s="3"/>
      <c r="E172" s="3"/>
      <c r="F172" s="3"/>
      <c r="G172" s="3"/>
      <c r="H172" s="3"/>
      <c r="I172" s="3"/>
      <c r="J172" s="3"/>
      <c r="K172" s="3"/>
      <c r="L172" s="3"/>
      <c r="M172" s="3"/>
      <c r="N172" s="3"/>
      <c r="O172" s="3"/>
      <c r="P172" s="3"/>
      <c r="Q172" s="3"/>
      <c r="R172" s="3"/>
    </row>
    <row r="173" spans="1:18" x14ac:dyDescent="0.3">
      <c r="A173" s="3"/>
      <c r="B173" s="3"/>
      <c r="C173" s="3"/>
      <c r="D173" s="3"/>
      <c r="E173" s="3"/>
      <c r="F173" s="3"/>
      <c r="G173" s="3"/>
      <c r="H173" s="3"/>
      <c r="I173" s="3"/>
      <c r="J173" s="3"/>
      <c r="K173" s="3"/>
      <c r="L173" s="3"/>
      <c r="M173" s="3"/>
      <c r="N173" s="3"/>
      <c r="O173" s="3"/>
      <c r="P173" s="3"/>
      <c r="Q173" s="3"/>
      <c r="R173" s="3"/>
    </row>
    <row r="174" spans="1:18" x14ac:dyDescent="0.3">
      <c r="A174" s="3"/>
      <c r="B174" s="3"/>
      <c r="C174" s="3"/>
      <c r="D174" s="3"/>
      <c r="E174" s="3"/>
      <c r="F174" s="3"/>
      <c r="G174" s="3"/>
      <c r="H174" s="3"/>
      <c r="I174" s="3"/>
      <c r="J174" s="3"/>
      <c r="K174" s="3"/>
      <c r="L174" s="3"/>
      <c r="M174" s="3"/>
      <c r="N174" s="3"/>
      <c r="O174" s="3"/>
      <c r="P174" s="3"/>
      <c r="Q174" s="3"/>
      <c r="R174" s="3"/>
    </row>
    <row r="175" spans="1:18" x14ac:dyDescent="0.3">
      <c r="A175" s="3"/>
      <c r="B175" s="3"/>
      <c r="C175" s="3"/>
      <c r="D175" s="3"/>
      <c r="E175" s="3"/>
      <c r="F175" s="3"/>
      <c r="G175" s="3"/>
      <c r="H175" s="3"/>
      <c r="I175" s="3"/>
      <c r="J175" s="3"/>
      <c r="K175" s="3"/>
      <c r="L175" s="3"/>
      <c r="M175" s="3"/>
      <c r="N175" s="3"/>
      <c r="O175" s="3"/>
      <c r="P175" s="3"/>
      <c r="Q175" s="3"/>
      <c r="R175" s="3"/>
    </row>
    <row r="176" spans="1:18" x14ac:dyDescent="0.3">
      <c r="A176" s="3"/>
      <c r="B176" s="3"/>
      <c r="C176" s="3"/>
      <c r="D176" s="3"/>
      <c r="E176" s="3"/>
      <c r="F176" s="3"/>
      <c r="G176" s="3"/>
      <c r="H176" s="3"/>
      <c r="I176" s="3"/>
      <c r="J176" s="3"/>
      <c r="K176" s="3"/>
      <c r="L176" s="3"/>
      <c r="M176" s="3"/>
      <c r="N176" s="3"/>
      <c r="O176" s="3"/>
      <c r="P176" s="3"/>
      <c r="Q176" s="3"/>
      <c r="R176" s="3"/>
    </row>
    <row r="177" spans="1:18" x14ac:dyDescent="0.3">
      <c r="A177" s="3"/>
      <c r="B177" s="3"/>
      <c r="C177" s="3"/>
      <c r="D177" s="3"/>
      <c r="E177" s="3"/>
      <c r="F177" s="3"/>
      <c r="G177" s="3"/>
      <c r="H177" s="3"/>
      <c r="I177" s="3"/>
      <c r="J177" s="3"/>
      <c r="K177" s="3"/>
      <c r="L177" s="3"/>
      <c r="M177" s="3"/>
      <c r="N177" s="3"/>
      <c r="O177" s="3"/>
      <c r="P177" s="3"/>
      <c r="Q177" s="3"/>
      <c r="R177" s="3"/>
    </row>
    <row r="178" spans="1:18" x14ac:dyDescent="0.3">
      <c r="A178" s="3"/>
      <c r="B178" s="3"/>
      <c r="C178" s="3"/>
      <c r="D178" s="3"/>
      <c r="E178" s="3"/>
      <c r="F178" s="3"/>
      <c r="G178" s="3"/>
      <c r="H178" s="3"/>
      <c r="I178" s="3"/>
      <c r="J178" s="3"/>
      <c r="K178" s="3"/>
      <c r="L178" s="3"/>
      <c r="M178" s="3"/>
      <c r="N178" s="3"/>
      <c r="O178" s="3"/>
      <c r="P178" s="3"/>
      <c r="Q178" s="3"/>
      <c r="R178" s="3"/>
    </row>
    <row r="179" spans="1:18" x14ac:dyDescent="0.3">
      <c r="A179" s="3"/>
      <c r="B179" s="3"/>
      <c r="C179" s="3"/>
      <c r="D179" s="3"/>
      <c r="E179" s="3"/>
      <c r="F179" s="3"/>
      <c r="G179" s="3"/>
      <c r="H179" s="3"/>
      <c r="I179" s="3"/>
      <c r="J179" s="3"/>
      <c r="K179" s="3"/>
      <c r="L179" s="3"/>
      <c r="M179" s="3"/>
      <c r="N179" s="3"/>
      <c r="O179" s="3"/>
      <c r="P179" s="3"/>
      <c r="Q179" s="3"/>
      <c r="R179" s="3"/>
    </row>
    <row r="180" spans="1:18" x14ac:dyDescent="0.3">
      <c r="A180" s="3"/>
      <c r="B180" s="3"/>
      <c r="C180" s="3"/>
      <c r="D180" s="3"/>
      <c r="E180" s="3"/>
      <c r="F180" s="3"/>
      <c r="G180" s="3"/>
      <c r="H180" s="3"/>
      <c r="I180" s="3"/>
      <c r="J180" s="3"/>
      <c r="K180" s="3"/>
      <c r="L180" s="3"/>
      <c r="M180" s="3"/>
      <c r="N180" s="3"/>
      <c r="O180" s="3"/>
      <c r="P180" s="3"/>
      <c r="Q180" s="3"/>
      <c r="R180" s="3"/>
    </row>
    <row r="181" spans="1:18" x14ac:dyDescent="0.3">
      <c r="A181" s="3"/>
      <c r="B181" s="3"/>
      <c r="C181" s="3"/>
      <c r="D181" s="3"/>
      <c r="E181" s="3"/>
      <c r="F181" s="3"/>
      <c r="G181" s="3"/>
      <c r="H181" s="3"/>
      <c r="I181" s="3"/>
      <c r="J181" s="3"/>
      <c r="K181" s="3"/>
      <c r="L181" s="3"/>
      <c r="M181" s="3"/>
      <c r="N181" s="3"/>
      <c r="O181" s="3"/>
      <c r="P181" s="3"/>
      <c r="Q181" s="3"/>
      <c r="R181" s="3"/>
    </row>
    <row r="182" spans="1:18" x14ac:dyDescent="0.3">
      <c r="A182" s="3"/>
      <c r="B182" s="3"/>
      <c r="C182" s="3"/>
      <c r="D182" s="3"/>
      <c r="E182" s="3"/>
      <c r="F182" s="3"/>
      <c r="G182" s="3"/>
      <c r="H182" s="3"/>
      <c r="I182" s="3"/>
      <c r="J182" s="3"/>
      <c r="K182" s="3"/>
      <c r="L182" s="3"/>
      <c r="M182" s="3"/>
      <c r="N182" s="3"/>
      <c r="O182" s="3"/>
      <c r="P182" s="3"/>
      <c r="Q182" s="3"/>
      <c r="R182" s="3"/>
    </row>
    <row r="183" spans="1:18" x14ac:dyDescent="0.3">
      <c r="A183" s="3"/>
      <c r="B183" s="3"/>
      <c r="C183" s="3"/>
      <c r="D183" s="3"/>
      <c r="E183" s="3"/>
      <c r="F183" s="3"/>
      <c r="G183" s="3"/>
      <c r="H183" s="3"/>
      <c r="I183" s="3"/>
      <c r="J183" s="3"/>
      <c r="K183" s="3"/>
      <c r="L183" s="3"/>
      <c r="M183" s="3"/>
      <c r="N183" s="3"/>
      <c r="O183" s="3"/>
      <c r="P183" s="3"/>
      <c r="Q183" s="3"/>
      <c r="R183" s="3"/>
    </row>
    <row r="184" spans="1:18" x14ac:dyDescent="0.3">
      <c r="A184" s="3"/>
      <c r="B184" s="3"/>
      <c r="C184" s="3"/>
      <c r="D184" s="3"/>
      <c r="E184" s="3"/>
      <c r="F184" s="3"/>
      <c r="G184" s="3"/>
      <c r="H184" s="3"/>
      <c r="I184" s="3"/>
      <c r="J184" s="3"/>
      <c r="K184" s="3"/>
      <c r="L184" s="3"/>
      <c r="M184" s="3"/>
      <c r="N184" s="3"/>
      <c r="O184" s="3"/>
      <c r="P184" s="3"/>
      <c r="Q184" s="3"/>
      <c r="R184" s="3"/>
    </row>
    <row r="185" spans="1:18" x14ac:dyDescent="0.3">
      <c r="A185" s="3"/>
      <c r="B185" s="3"/>
      <c r="C185" s="3"/>
      <c r="D185" s="3"/>
      <c r="E185" s="3"/>
      <c r="F185" s="3"/>
      <c r="G185" s="3"/>
      <c r="H185" s="3"/>
      <c r="I185" s="3"/>
      <c r="J185" s="3"/>
      <c r="K185" s="3"/>
      <c r="L185" s="3"/>
      <c r="M185" s="3"/>
      <c r="N185" s="3"/>
      <c r="O185" s="3"/>
      <c r="P185" s="3"/>
      <c r="Q185" s="3"/>
      <c r="R185" s="3"/>
    </row>
    <row r="186" spans="1:18" x14ac:dyDescent="0.3">
      <c r="A186" s="3"/>
      <c r="B186" s="3"/>
      <c r="C186" s="3"/>
      <c r="D186" s="3"/>
      <c r="E186" s="3"/>
      <c r="F186" s="3"/>
      <c r="G186" s="3"/>
      <c r="H186" s="3"/>
      <c r="I186" s="3"/>
      <c r="J186" s="3"/>
      <c r="K186" s="3"/>
      <c r="L186" s="3"/>
      <c r="M186" s="3"/>
      <c r="N186" s="3"/>
      <c r="O186" s="3"/>
      <c r="P186" s="3"/>
      <c r="Q186" s="3"/>
      <c r="R186" s="3"/>
    </row>
    <row r="187" spans="1:18" x14ac:dyDescent="0.3">
      <c r="A187" s="3"/>
      <c r="B187" s="3"/>
      <c r="C187" s="3"/>
      <c r="D187" s="3"/>
      <c r="E187" s="3"/>
      <c r="F187" s="3"/>
      <c r="G187" s="3"/>
      <c r="H187" s="3"/>
      <c r="I187" s="3"/>
      <c r="J187" s="3"/>
      <c r="K187" s="3"/>
      <c r="L187" s="3"/>
      <c r="M187" s="3"/>
      <c r="N187" s="3"/>
      <c r="O187" s="3"/>
      <c r="P187" s="3"/>
      <c r="Q187" s="3"/>
      <c r="R187" s="3"/>
    </row>
    <row r="188" spans="1:18" x14ac:dyDescent="0.3">
      <c r="A188" s="3"/>
      <c r="B188" s="3"/>
      <c r="C188" s="3"/>
      <c r="D188" s="3"/>
      <c r="E188" s="3"/>
      <c r="F188" s="3"/>
      <c r="G188" s="3"/>
      <c r="H188" s="3"/>
      <c r="I188" s="3"/>
      <c r="J188" s="3"/>
      <c r="K188" s="3"/>
      <c r="L188" s="3"/>
      <c r="M188" s="3"/>
      <c r="N188" s="3"/>
      <c r="O188" s="3"/>
      <c r="P188" s="3"/>
      <c r="Q188" s="3"/>
      <c r="R188" s="3"/>
    </row>
    <row r="189" spans="1:18" x14ac:dyDescent="0.3">
      <c r="A189" s="3"/>
      <c r="B189" s="3"/>
      <c r="C189" s="3"/>
      <c r="D189" s="3"/>
      <c r="E189" s="3"/>
      <c r="F189" s="3"/>
      <c r="G189" s="3"/>
      <c r="H189" s="3"/>
      <c r="I189" s="3"/>
      <c r="J189" s="3"/>
      <c r="K189" s="3"/>
      <c r="L189" s="3"/>
      <c r="M189" s="3"/>
      <c r="N189" s="3"/>
      <c r="O189" s="3"/>
      <c r="P189" s="3"/>
      <c r="Q189" s="3"/>
      <c r="R189" s="3"/>
    </row>
    <row r="190" spans="1:18" x14ac:dyDescent="0.3">
      <c r="A190" s="3"/>
      <c r="B190" s="3"/>
      <c r="C190" s="3"/>
      <c r="D190" s="3"/>
      <c r="E190" s="3"/>
      <c r="F190" s="3"/>
      <c r="G190" s="3"/>
      <c r="H190" s="3"/>
      <c r="I190" s="3"/>
      <c r="J190" s="3"/>
      <c r="K190" s="3"/>
      <c r="L190" s="3"/>
      <c r="M190" s="3"/>
      <c r="N190" s="3"/>
      <c r="O190" s="3"/>
      <c r="P190" s="3"/>
      <c r="Q190" s="3"/>
      <c r="R190" s="3"/>
    </row>
    <row r="191" spans="1:18" x14ac:dyDescent="0.3">
      <c r="A191" s="3"/>
      <c r="B191" s="3"/>
      <c r="C191" s="3"/>
      <c r="D191" s="3"/>
      <c r="E191" s="3"/>
      <c r="F191" s="3"/>
      <c r="G191" s="3"/>
      <c r="H191" s="3"/>
      <c r="I191" s="3"/>
      <c r="J191" s="3"/>
      <c r="K191" s="3"/>
      <c r="L191" s="3"/>
      <c r="M191" s="3"/>
      <c r="N191" s="3"/>
      <c r="O191" s="3"/>
      <c r="P191" s="3"/>
      <c r="Q191" s="3"/>
      <c r="R191" s="3"/>
    </row>
    <row r="192" spans="1:18" x14ac:dyDescent="0.3">
      <c r="A192" s="3"/>
      <c r="B192" s="3"/>
      <c r="C192" s="3"/>
      <c r="D192" s="3"/>
      <c r="E192" s="3"/>
      <c r="F192" s="3"/>
      <c r="G192" s="3"/>
      <c r="H192" s="3"/>
      <c r="I192" s="3"/>
      <c r="J192" s="3"/>
      <c r="K192" s="3"/>
      <c r="L192" s="3"/>
      <c r="M192" s="3"/>
      <c r="N192" s="3"/>
      <c r="O192" s="3"/>
      <c r="P192" s="3"/>
      <c r="Q192" s="3"/>
      <c r="R192" s="3"/>
    </row>
    <row r="193" spans="1:18" x14ac:dyDescent="0.3">
      <c r="A193" s="3"/>
      <c r="B193" s="3"/>
      <c r="C193" s="3"/>
      <c r="D193" s="3"/>
      <c r="E193" s="3"/>
      <c r="F193" s="3"/>
      <c r="G193" s="3"/>
      <c r="H193" s="3"/>
      <c r="I193" s="3"/>
      <c r="J193" s="3"/>
      <c r="K193" s="3"/>
      <c r="L193" s="3"/>
      <c r="M193" s="3"/>
      <c r="N193" s="3"/>
      <c r="O193" s="3"/>
      <c r="P193" s="3"/>
      <c r="Q193" s="3"/>
      <c r="R193" s="3"/>
    </row>
    <row r="194" spans="1:18" x14ac:dyDescent="0.3">
      <c r="A194" s="3"/>
      <c r="B194" s="3"/>
      <c r="C194" s="3"/>
      <c r="D194" s="3"/>
      <c r="E194" s="3"/>
      <c r="F194" s="3"/>
      <c r="G194" s="3"/>
      <c r="H194" s="3"/>
      <c r="I194" s="3"/>
      <c r="J194" s="3"/>
      <c r="K194" s="3"/>
      <c r="L194" s="3"/>
      <c r="M194" s="3"/>
      <c r="N194" s="3"/>
      <c r="O194" s="3"/>
      <c r="P194" s="3"/>
      <c r="Q194" s="3"/>
      <c r="R194" s="3"/>
    </row>
    <row r="195" spans="1:18" x14ac:dyDescent="0.3">
      <c r="A195" s="3"/>
      <c r="B195" s="3"/>
      <c r="C195" s="3"/>
      <c r="D195" s="3"/>
      <c r="E195" s="3"/>
      <c r="F195" s="3"/>
      <c r="G195" s="3"/>
      <c r="H195" s="3"/>
      <c r="I195" s="3"/>
      <c r="J195" s="3"/>
      <c r="K195" s="3"/>
      <c r="L195" s="3"/>
      <c r="M195" s="3"/>
      <c r="N195" s="3"/>
      <c r="O195" s="3"/>
      <c r="P195" s="3"/>
      <c r="Q195" s="3"/>
      <c r="R195" s="3"/>
    </row>
    <row r="196" spans="1:18" x14ac:dyDescent="0.3">
      <c r="A196" s="3"/>
      <c r="B196" s="3"/>
      <c r="C196" s="3"/>
      <c r="D196" s="3"/>
      <c r="E196" s="3"/>
      <c r="F196" s="3"/>
      <c r="G196" s="3"/>
      <c r="H196" s="3"/>
      <c r="I196" s="3"/>
      <c r="J196" s="3"/>
      <c r="K196" s="3"/>
      <c r="L196" s="3"/>
      <c r="M196" s="3"/>
      <c r="N196" s="3"/>
      <c r="O196" s="3"/>
      <c r="P196" s="3"/>
      <c r="Q196" s="3"/>
      <c r="R196" s="3"/>
    </row>
    <row r="197" spans="1:18" x14ac:dyDescent="0.3">
      <c r="A197" s="3"/>
      <c r="B197" s="3"/>
      <c r="C197" s="3"/>
      <c r="D197" s="3"/>
      <c r="E197" s="3"/>
      <c r="F197" s="3"/>
      <c r="G197" s="3"/>
      <c r="H197" s="3"/>
      <c r="I197" s="3"/>
      <c r="J197" s="3"/>
      <c r="K197" s="3"/>
      <c r="L197" s="3"/>
      <c r="M197" s="3"/>
      <c r="N197" s="3"/>
      <c r="O197" s="3"/>
      <c r="P197" s="3"/>
      <c r="Q197" s="3"/>
      <c r="R197" s="3"/>
    </row>
    <row r="198" spans="1:18" x14ac:dyDescent="0.3">
      <c r="A198" s="3"/>
      <c r="B198" s="3"/>
      <c r="C198" s="3"/>
      <c r="D198" s="3"/>
      <c r="E198" s="3"/>
      <c r="F198" s="3"/>
      <c r="G198" s="3"/>
      <c r="H198" s="3"/>
      <c r="I198" s="3"/>
      <c r="J198" s="3"/>
      <c r="K198" s="3"/>
      <c r="L198" s="3"/>
      <c r="M198" s="3"/>
      <c r="N198" s="3"/>
      <c r="O198" s="3"/>
      <c r="P198" s="3"/>
      <c r="Q198" s="3"/>
      <c r="R198" s="3"/>
    </row>
    <row r="199" spans="1:18" x14ac:dyDescent="0.3">
      <c r="A199" s="3"/>
      <c r="B199" s="3"/>
      <c r="C199" s="3"/>
      <c r="D199" s="3"/>
      <c r="E199" s="3"/>
      <c r="F199" s="3"/>
      <c r="G199" s="3"/>
      <c r="H199" s="3"/>
      <c r="I199" s="3"/>
      <c r="J199" s="3"/>
      <c r="K199" s="3"/>
      <c r="L199" s="3"/>
      <c r="M199" s="3"/>
      <c r="N199" s="3"/>
      <c r="O199" s="3"/>
      <c r="P199" s="3"/>
      <c r="Q199" s="3"/>
      <c r="R199" s="3"/>
    </row>
    <row r="200" spans="1:18" x14ac:dyDescent="0.3">
      <c r="A200" s="3"/>
      <c r="B200" s="3"/>
      <c r="C200" s="3"/>
      <c r="D200" s="3"/>
      <c r="E200" s="3"/>
      <c r="F200" s="3"/>
      <c r="G200" s="3"/>
      <c r="H200" s="3"/>
      <c r="I200" s="3"/>
      <c r="J200" s="3"/>
      <c r="K200" s="3"/>
      <c r="L200" s="3"/>
      <c r="M200" s="3"/>
      <c r="N200" s="3"/>
      <c r="O200" s="3"/>
      <c r="P200" s="3"/>
      <c r="Q200" s="3"/>
      <c r="R200" s="3"/>
    </row>
    <row r="201" spans="1:18" x14ac:dyDescent="0.3">
      <c r="A201" s="3"/>
      <c r="B201" s="3"/>
      <c r="C201" s="3"/>
      <c r="D201" s="3"/>
      <c r="E201" s="3"/>
      <c r="F201" s="3"/>
      <c r="G201" s="3"/>
      <c r="H201" s="3"/>
      <c r="I201" s="3"/>
      <c r="J201" s="3"/>
      <c r="K201" s="3"/>
      <c r="L201" s="3"/>
      <c r="M201" s="3"/>
      <c r="N201" s="3"/>
      <c r="O201" s="3"/>
      <c r="P201" s="3"/>
      <c r="Q201" s="3"/>
      <c r="R201" s="3"/>
    </row>
    <row r="202" spans="1:18" x14ac:dyDescent="0.3">
      <c r="A202" s="3"/>
      <c r="B202" s="3"/>
      <c r="C202" s="3"/>
      <c r="D202" s="3"/>
      <c r="E202" s="3"/>
      <c r="F202" s="3"/>
      <c r="G202" s="3"/>
      <c r="H202" s="3"/>
      <c r="I202" s="3"/>
      <c r="J202" s="3"/>
      <c r="K202" s="3"/>
      <c r="L202" s="3"/>
      <c r="M202" s="3"/>
      <c r="N202" s="3"/>
      <c r="O202" s="3"/>
      <c r="P202" s="3"/>
      <c r="Q202" s="3"/>
      <c r="R202" s="3"/>
    </row>
    <row r="203" spans="1:18" x14ac:dyDescent="0.3">
      <c r="A203" s="3"/>
      <c r="B203" s="3"/>
      <c r="C203" s="3"/>
      <c r="D203" s="3"/>
      <c r="E203" s="3"/>
      <c r="F203" s="3"/>
      <c r="G203" s="3"/>
      <c r="H203" s="3"/>
      <c r="I203" s="3"/>
      <c r="J203" s="3"/>
      <c r="K203" s="3"/>
      <c r="L203" s="3"/>
      <c r="M203" s="3"/>
      <c r="N203" s="3"/>
      <c r="O203" s="3"/>
      <c r="P203" s="3"/>
      <c r="Q203" s="3"/>
      <c r="R203" s="3"/>
    </row>
    <row r="204" spans="1:18" x14ac:dyDescent="0.3">
      <c r="A204" s="3"/>
      <c r="B204" s="3"/>
      <c r="C204" s="3"/>
      <c r="D204" s="3"/>
      <c r="E204" s="3"/>
      <c r="F204" s="3"/>
      <c r="G204" s="3"/>
      <c r="H204" s="3"/>
      <c r="I204" s="3"/>
      <c r="J204" s="3"/>
      <c r="K204" s="3"/>
      <c r="L204" s="3"/>
      <c r="M204" s="3"/>
      <c r="N204" s="3"/>
      <c r="O204" s="3"/>
      <c r="P204" s="3"/>
      <c r="Q204" s="3"/>
      <c r="R204" s="3"/>
    </row>
    <row r="205" spans="1:18" x14ac:dyDescent="0.3">
      <c r="A205" s="3"/>
      <c r="B205" s="3"/>
      <c r="C205" s="3"/>
      <c r="D205" s="3"/>
      <c r="E205" s="3"/>
      <c r="F205" s="3"/>
      <c r="G205" s="3"/>
      <c r="H205" s="3"/>
      <c r="I205" s="3"/>
      <c r="J205" s="3"/>
      <c r="K205" s="3"/>
      <c r="L205" s="3"/>
      <c r="M205" s="3"/>
      <c r="N205" s="3"/>
      <c r="O205" s="3"/>
      <c r="P205" s="3"/>
      <c r="Q205" s="3"/>
      <c r="R205" s="3"/>
    </row>
    <row r="206" spans="1:18" x14ac:dyDescent="0.3">
      <c r="A206" s="3"/>
      <c r="B206" s="3"/>
      <c r="C206" s="3"/>
      <c r="D206" s="3"/>
      <c r="E206" s="3"/>
      <c r="F206" s="3"/>
      <c r="G206" s="3"/>
      <c r="H206" s="3"/>
      <c r="I206" s="3"/>
      <c r="J206" s="3"/>
      <c r="K206" s="3"/>
      <c r="L206" s="3"/>
      <c r="M206" s="3"/>
      <c r="N206" s="3"/>
      <c r="O206" s="3"/>
      <c r="P206" s="3"/>
      <c r="Q206" s="3"/>
      <c r="R206" s="3"/>
    </row>
    <row r="207" spans="1:18" x14ac:dyDescent="0.3">
      <c r="A207" s="3"/>
      <c r="B207" s="3"/>
      <c r="C207" s="3"/>
      <c r="D207" s="3"/>
      <c r="E207" s="3"/>
      <c r="F207" s="3"/>
      <c r="G207" s="3"/>
      <c r="H207" s="3"/>
      <c r="I207" s="3"/>
      <c r="J207" s="3"/>
      <c r="K207" s="3"/>
      <c r="L207" s="3"/>
      <c r="M207" s="3"/>
      <c r="N207" s="3"/>
      <c r="O207" s="3"/>
      <c r="P207" s="3"/>
      <c r="Q207" s="3"/>
      <c r="R207" s="3"/>
    </row>
    <row r="208" spans="1:18" x14ac:dyDescent="0.3">
      <c r="A208" s="3"/>
      <c r="B208" s="3"/>
      <c r="C208" s="3"/>
      <c r="D208" s="3"/>
      <c r="E208" s="3"/>
      <c r="F208" s="3"/>
      <c r="G208" s="3"/>
      <c r="H208" s="3"/>
      <c r="I208" s="3"/>
      <c r="J208" s="3"/>
      <c r="K208" s="3"/>
      <c r="L208" s="3"/>
      <c r="M208" s="3"/>
      <c r="N208" s="3"/>
      <c r="O208" s="3"/>
      <c r="P208" s="3"/>
      <c r="Q208" s="3"/>
      <c r="R208" s="3"/>
    </row>
    <row r="209" spans="1:18" x14ac:dyDescent="0.3">
      <c r="A209" s="3"/>
      <c r="B209" s="3"/>
      <c r="C209" s="3"/>
      <c r="D209" s="3"/>
      <c r="E209" s="3"/>
      <c r="F209" s="3"/>
      <c r="G209" s="3"/>
      <c r="H209" s="3"/>
      <c r="I209" s="3"/>
      <c r="J209" s="3"/>
      <c r="K209" s="3"/>
      <c r="L209" s="3"/>
      <c r="M209" s="3"/>
      <c r="N209" s="3"/>
      <c r="O209" s="3"/>
      <c r="P209" s="3"/>
      <c r="Q209" s="3"/>
      <c r="R209" s="3"/>
    </row>
    <row r="210" spans="1:18" x14ac:dyDescent="0.3">
      <c r="A210" s="3"/>
      <c r="B210" s="3"/>
      <c r="C210" s="3"/>
      <c r="D210" s="3"/>
      <c r="E210" s="3"/>
      <c r="F210" s="3"/>
      <c r="G210" s="3"/>
      <c r="H210" s="3"/>
      <c r="I210" s="3"/>
      <c r="J210" s="3"/>
      <c r="K210" s="3"/>
      <c r="L210" s="3"/>
      <c r="M210" s="3"/>
      <c r="N210" s="3"/>
      <c r="O210" s="3"/>
      <c r="P210" s="3"/>
      <c r="Q210" s="3"/>
      <c r="R210" s="3"/>
    </row>
    <row r="211" spans="1:18" x14ac:dyDescent="0.3">
      <c r="A211" s="3"/>
      <c r="B211" s="3"/>
      <c r="C211" s="3"/>
      <c r="D211" s="3"/>
      <c r="E211" s="3"/>
      <c r="F211" s="3"/>
      <c r="G211" s="3"/>
      <c r="H211" s="3"/>
      <c r="I211" s="3"/>
      <c r="J211" s="3"/>
      <c r="K211" s="3"/>
      <c r="L211" s="3"/>
      <c r="M211" s="3"/>
      <c r="N211" s="3"/>
      <c r="O211" s="3"/>
      <c r="P211" s="3"/>
      <c r="Q211" s="3"/>
      <c r="R211" s="3"/>
    </row>
    <row r="212" spans="1:18" x14ac:dyDescent="0.3">
      <c r="A212" s="3"/>
      <c r="B212" s="3"/>
      <c r="C212" s="3"/>
      <c r="D212" s="3"/>
      <c r="E212" s="3"/>
      <c r="F212" s="3"/>
      <c r="G212" s="3"/>
      <c r="H212" s="3"/>
      <c r="I212" s="3"/>
      <c r="J212" s="3"/>
      <c r="K212" s="3"/>
      <c r="L212" s="3"/>
      <c r="M212" s="3"/>
      <c r="N212" s="3"/>
      <c r="O212" s="3"/>
      <c r="P212" s="3"/>
      <c r="Q212" s="3"/>
      <c r="R212" s="3"/>
    </row>
    <row r="213" spans="1:18" x14ac:dyDescent="0.3">
      <c r="A213" s="3"/>
      <c r="B213" s="3"/>
      <c r="C213" s="3"/>
      <c r="D213" s="3"/>
      <c r="E213" s="3"/>
      <c r="F213" s="3"/>
      <c r="G213" s="3"/>
      <c r="H213" s="3"/>
      <c r="I213" s="3"/>
      <c r="J213" s="3"/>
      <c r="K213" s="3"/>
      <c r="L213" s="3"/>
      <c r="M213" s="3"/>
      <c r="N213" s="3"/>
      <c r="O213" s="3"/>
      <c r="P213" s="3"/>
      <c r="Q213" s="3"/>
      <c r="R213" s="3"/>
    </row>
    <row r="214" spans="1:18" x14ac:dyDescent="0.3">
      <c r="A214" s="3"/>
      <c r="B214" s="3"/>
      <c r="C214" s="3"/>
      <c r="D214" s="3"/>
      <c r="E214" s="3"/>
      <c r="F214" s="3"/>
      <c r="G214" s="3"/>
      <c r="H214" s="3"/>
      <c r="I214" s="3"/>
      <c r="J214" s="3"/>
      <c r="K214" s="3"/>
      <c r="L214" s="3"/>
      <c r="M214" s="3"/>
      <c r="N214" s="3"/>
      <c r="O214" s="3"/>
      <c r="P214" s="3"/>
      <c r="Q214" s="3"/>
      <c r="R214" s="3"/>
    </row>
    <row r="215" spans="1:18" x14ac:dyDescent="0.3">
      <c r="A215" s="3"/>
      <c r="B215" s="3"/>
      <c r="C215" s="3"/>
      <c r="D215" s="3"/>
      <c r="E215" s="3"/>
      <c r="F215" s="3"/>
      <c r="G215" s="3"/>
      <c r="H215" s="3"/>
      <c r="I215" s="3"/>
      <c r="J215" s="3"/>
      <c r="K215" s="3"/>
      <c r="L215" s="3"/>
      <c r="M215" s="3"/>
      <c r="N215" s="3"/>
      <c r="O215" s="3"/>
      <c r="P215" s="3"/>
      <c r="Q215" s="3"/>
      <c r="R215" s="3"/>
    </row>
    <row r="216" spans="1:18" x14ac:dyDescent="0.3">
      <c r="A216" s="3"/>
      <c r="B216" s="3"/>
      <c r="C216" s="3"/>
      <c r="D216" s="3"/>
      <c r="E216" s="3"/>
      <c r="F216" s="3"/>
      <c r="G216" s="3"/>
      <c r="H216" s="3"/>
      <c r="I216" s="3"/>
      <c r="J216" s="3"/>
      <c r="K216" s="3"/>
      <c r="L216" s="3"/>
      <c r="M216" s="3"/>
      <c r="N216" s="3"/>
      <c r="O216" s="3"/>
      <c r="P216" s="3"/>
      <c r="Q216" s="3"/>
      <c r="R216" s="3"/>
    </row>
    <row r="217" spans="1:18" x14ac:dyDescent="0.3">
      <c r="A217" s="3"/>
      <c r="B217" s="3"/>
      <c r="C217" s="3"/>
      <c r="D217" s="3"/>
      <c r="E217" s="3"/>
      <c r="F217" s="3"/>
      <c r="G217" s="3"/>
      <c r="H217" s="3"/>
      <c r="I217" s="3"/>
      <c r="J217" s="3"/>
      <c r="K217" s="3"/>
      <c r="L217" s="3"/>
      <c r="M217" s="3"/>
      <c r="N217" s="3"/>
      <c r="O217" s="3"/>
      <c r="P217" s="3"/>
      <c r="Q217" s="3"/>
      <c r="R217" s="3"/>
    </row>
    <row r="218" spans="1:18" x14ac:dyDescent="0.3">
      <c r="A218" s="3"/>
      <c r="B218" s="3"/>
      <c r="C218" s="3"/>
      <c r="D218" s="3"/>
      <c r="E218" s="3"/>
      <c r="F218" s="3"/>
      <c r="G218" s="3"/>
      <c r="H218" s="3"/>
      <c r="I218" s="3"/>
      <c r="J218" s="3"/>
      <c r="K218" s="3"/>
      <c r="L218" s="3"/>
      <c r="M218" s="3"/>
      <c r="N218" s="3"/>
      <c r="O218" s="3"/>
      <c r="P218" s="3"/>
      <c r="Q218" s="3"/>
      <c r="R218" s="3"/>
    </row>
    <row r="219" spans="1:18" x14ac:dyDescent="0.3">
      <c r="A219" s="3"/>
      <c r="B219" s="3"/>
      <c r="C219" s="3"/>
      <c r="D219" s="3"/>
      <c r="E219" s="3"/>
      <c r="F219" s="3"/>
      <c r="G219" s="3"/>
      <c r="H219" s="3"/>
      <c r="I219" s="3"/>
      <c r="J219" s="3"/>
      <c r="K219" s="3"/>
      <c r="L219" s="3"/>
      <c r="M219" s="3"/>
      <c r="N219" s="3"/>
      <c r="O219" s="3"/>
      <c r="P219" s="3"/>
      <c r="Q219" s="3"/>
      <c r="R219" s="3"/>
    </row>
    <row r="220" spans="1:18" x14ac:dyDescent="0.3">
      <c r="A220" s="3"/>
      <c r="B220" s="3"/>
      <c r="C220" s="3"/>
      <c r="D220" s="3"/>
      <c r="E220" s="3"/>
      <c r="F220" s="3"/>
      <c r="G220" s="3"/>
      <c r="H220" s="3"/>
      <c r="I220" s="3"/>
      <c r="J220" s="3"/>
      <c r="K220" s="3"/>
      <c r="L220" s="3"/>
      <c r="M220" s="3"/>
      <c r="N220" s="3"/>
      <c r="O220" s="3"/>
      <c r="P220" s="3"/>
      <c r="Q220" s="3"/>
      <c r="R220" s="3"/>
    </row>
    <row r="221" spans="1:18" x14ac:dyDescent="0.3">
      <c r="A221" s="3"/>
      <c r="B221" s="3"/>
      <c r="C221" s="3"/>
      <c r="D221" s="3"/>
      <c r="E221" s="3"/>
      <c r="F221" s="3"/>
      <c r="G221" s="3"/>
      <c r="H221" s="3"/>
      <c r="I221" s="3"/>
      <c r="J221" s="3"/>
      <c r="K221" s="3"/>
      <c r="L221" s="3"/>
      <c r="M221" s="3"/>
      <c r="N221" s="3"/>
      <c r="O221" s="3"/>
      <c r="P221" s="3"/>
      <c r="Q221" s="3"/>
      <c r="R221" s="3"/>
    </row>
    <row r="222" spans="1:18" x14ac:dyDescent="0.3">
      <c r="A222" s="3"/>
      <c r="B222" s="3"/>
      <c r="C222" s="3"/>
      <c r="D222" s="3"/>
      <c r="E222" s="3"/>
      <c r="F222" s="3"/>
      <c r="G222" s="3"/>
      <c r="H222" s="3"/>
      <c r="I222" s="3"/>
      <c r="J222" s="3"/>
      <c r="K222" s="3"/>
      <c r="L222" s="3"/>
      <c r="M222" s="3"/>
      <c r="N222" s="3"/>
      <c r="O222" s="3"/>
      <c r="P222" s="3"/>
      <c r="Q222" s="3"/>
      <c r="R222" s="3"/>
    </row>
    <row r="223" spans="1:18" x14ac:dyDescent="0.3">
      <c r="A223" s="3"/>
      <c r="B223" s="3"/>
      <c r="C223" s="3"/>
      <c r="D223" s="3"/>
      <c r="E223" s="3"/>
      <c r="F223" s="3"/>
      <c r="G223" s="3"/>
      <c r="H223" s="3"/>
      <c r="I223" s="3"/>
      <c r="J223" s="3"/>
      <c r="K223" s="3"/>
      <c r="L223" s="3"/>
      <c r="M223" s="3"/>
      <c r="N223" s="3"/>
      <c r="O223" s="3"/>
      <c r="P223" s="3"/>
      <c r="Q223" s="3"/>
      <c r="R223" s="3"/>
    </row>
    <row r="224" spans="1:18" x14ac:dyDescent="0.3">
      <c r="A224" s="3"/>
      <c r="B224" s="3"/>
      <c r="C224" s="3"/>
      <c r="D224" s="3"/>
      <c r="E224" s="3"/>
      <c r="F224" s="3"/>
      <c r="G224" s="3"/>
      <c r="H224" s="3"/>
      <c r="I224" s="3"/>
      <c r="J224" s="3"/>
      <c r="K224" s="3"/>
      <c r="L224" s="3"/>
      <c r="M224" s="3"/>
      <c r="N224" s="3"/>
      <c r="O224" s="3"/>
      <c r="P224" s="3"/>
      <c r="Q224" s="3"/>
      <c r="R224" s="3"/>
    </row>
    <row r="225" spans="1:18" x14ac:dyDescent="0.3">
      <c r="A225" s="3"/>
      <c r="B225" s="3"/>
      <c r="C225" s="3"/>
      <c r="D225" s="3"/>
      <c r="E225" s="3"/>
      <c r="F225" s="3"/>
      <c r="G225" s="3"/>
      <c r="H225" s="3"/>
      <c r="I225" s="3"/>
      <c r="J225" s="3"/>
      <c r="K225" s="3"/>
      <c r="L225" s="3"/>
      <c r="M225" s="3"/>
      <c r="N225" s="3"/>
      <c r="O225" s="3"/>
      <c r="P225" s="3"/>
      <c r="Q225" s="3"/>
      <c r="R225" s="3"/>
    </row>
    <row r="226" spans="1:18" x14ac:dyDescent="0.3">
      <c r="A226" s="3"/>
      <c r="B226" s="3"/>
      <c r="C226" s="3"/>
      <c r="D226" s="3"/>
      <c r="E226" s="3"/>
      <c r="F226" s="3"/>
      <c r="G226" s="3"/>
      <c r="H226" s="3"/>
      <c r="I226" s="3"/>
      <c r="J226" s="3"/>
      <c r="K226" s="3"/>
      <c r="L226" s="3"/>
      <c r="M226" s="3"/>
      <c r="N226" s="3"/>
      <c r="O226" s="3"/>
      <c r="P226" s="3"/>
      <c r="Q226" s="3"/>
      <c r="R226" s="3"/>
    </row>
    <row r="227" spans="1:18" x14ac:dyDescent="0.3">
      <c r="A227" s="3"/>
      <c r="B227" s="3"/>
      <c r="C227" s="3"/>
      <c r="D227" s="3"/>
      <c r="E227" s="3"/>
      <c r="F227" s="3"/>
      <c r="G227" s="3"/>
      <c r="H227" s="3"/>
      <c r="I227" s="3"/>
      <c r="J227" s="3"/>
      <c r="K227" s="3"/>
      <c r="L227" s="3"/>
      <c r="M227" s="3"/>
      <c r="N227" s="3"/>
      <c r="O227" s="3"/>
      <c r="P227" s="3"/>
      <c r="Q227" s="3"/>
      <c r="R227" s="3"/>
    </row>
    <row r="228" spans="1:18" x14ac:dyDescent="0.3">
      <c r="A228" s="3"/>
      <c r="B228" s="3"/>
      <c r="C228" s="3"/>
      <c r="D228" s="3"/>
      <c r="E228" s="3"/>
      <c r="F228" s="3"/>
      <c r="G228" s="3"/>
      <c r="H228" s="3"/>
      <c r="I228" s="3"/>
      <c r="J228" s="3"/>
      <c r="K228" s="3"/>
      <c r="L228" s="3"/>
      <c r="M228" s="3"/>
      <c r="N228" s="3"/>
      <c r="O228" s="3"/>
      <c r="P228" s="3"/>
      <c r="Q228" s="3"/>
      <c r="R228" s="3"/>
    </row>
    <row r="229" spans="1:18" x14ac:dyDescent="0.3">
      <c r="A229" s="3"/>
      <c r="B229" s="3"/>
      <c r="C229" s="3"/>
      <c r="D229" s="3"/>
      <c r="E229" s="3"/>
      <c r="F229" s="3"/>
      <c r="G229" s="3"/>
      <c r="H229" s="3"/>
      <c r="I229" s="3"/>
      <c r="J229" s="3"/>
      <c r="K229" s="3"/>
      <c r="L229" s="3"/>
      <c r="M229" s="3"/>
      <c r="N229" s="3"/>
      <c r="O229" s="3"/>
      <c r="P229" s="3"/>
      <c r="Q229" s="3"/>
      <c r="R229" s="3"/>
    </row>
    <row r="230" spans="1:18" x14ac:dyDescent="0.3">
      <c r="A230" s="3"/>
      <c r="B230" s="3"/>
      <c r="C230" s="3"/>
      <c r="D230" s="3"/>
      <c r="E230" s="3"/>
      <c r="F230" s="3"/>
      <c r="G230" s="3"/>
      <c r="H230" s="3"/>
      <c r="I230" s="3"/>
      <c r="J230" s="3"/>
      <c r="K230" s="3"/>
      <c r="L230" s="3"/>
      <c r="M230" s="3"/>
      <c r="N230" s="3"/>
      <c r="O230" s="3"/>
      <c r="P230" s="3"/>
      <c r="Q230" s="3"/>
      <c r="R230" s="3"/>
    </row>
    <row r="231" spans="1:18" x14ac:dyDescent="0.3">
      <c r="A231" s="3"/>
      <c r="B231" s="3"/>
      <c r="C231" s="3"/>
      <c r="D231" s="3"/>
      <c r="E231" s="3"/>
      <c r="F231" s="3"/>
      <c r="G231" s="3"/>
      <c r="H231" s="3"/>
      <c r="I231" s="3"/>
      <c r="J231" s="3"/>
      <c r="K231" s="3"/>
      <c r="L231" s="3"/>
      <c r="M231" s="3"/>
      <c r="N231" s="3"/>
      <c r="O231" s="3"/>
      <c r="P231" s="3"/>
      <c r="Q231" s="3"/>
      <c r="R231" s="3"/>
    </row>
    <row r="232" spans="1:18" x14ac:dyDescent="0.3">
      <c r="A232" s="3"/>
      <c r="B232" s="3"/>
      <c r="C232" s="3"/>
      <c r="D232" s="3"/>
      <c r="E232" s="3"/>
      <c r="F232" s="3"/>
      <c r="G232" s="3"/>
      <c r="H232" s="3"/>
      <c r="I232" s="3"/>
      <c r="J232" s="3"/>
      <c r="K232" s="3"/>
      <c r="L232" s="3"/>
      <c r="M232" s="3"/>
      <c r="N232" s="3"/>
      <c r="O232" s="3"/>
      <c r="P232" s="3"/>
      <c r="Q232" s="3"/>
      <c r="R232" s="3"/>
    </row>
    <row r="233" spans="1:18" x14ac:dyDescent="0.3">
      <c r="A233" s="3"/>
      <c r="B233" s="3"/>
      <c r="C233" s="3"/>
      <c r="D233" s="3"/>
      <c r="E233" s="3"/>
      <c r="F233" s="3"/>
      <c r="G233" s="3"/>
      <c r="H233" s="3"/>
      <c r="I233" s="3"/>
      <c r="J233" s="3"/>
      <c r="K233" s="3"/>
      <c r="L233" s="3"/>
      <c r="M233" s="3"/>
      <c r="N233" s="3"/>
      <c r="O233" s="3"/>
      <c r="P233" s="3"/>
      <c r="Q233" s="3"/>
      <c r="R233" s="3"/>
    </row>
    <row r="234" spans="1:18" x14ac:dyDescent="0.3">
      <c r="A234" s="3"/>
      <c r="B234" s="3"/>
      <c r="C234" s="3"/>
      <c r="D234" s="3"/>
      <c r="E234" s="3"/>
      <c r="F234" s="3"/>
      <c r="G234" s="3"/>
      <c r="H234" s="3"/>
      <c r="I234" s="3"/>
      <c r="J234" s="3"/>
      <c r="K234" s="3"/>
      <c r="L234" s="3"/>
      <c r="M234" s="3"/>
      <c r="N234" s="3"/>
      <c r="O234" s="3"/>
      <c r="P234" s="3"/>
      <c r="Q234" s="3"/>
      <c r="R234" s="3"/>
    </row>
    <row r="235" spans="1:18" x14ac:dyDescent="0.3">
      <c r="A235" s="3"/>
      <c r="B235" s="3"/>
      <c r="C235" s="3"/>
      <c r="D235" s="3"/>
      <c r="E235" s="3"/>
      <c r="F235" s="3"/>
      <c r="G235" s="3"/>
      <c r="H235" s="3"/>
      <c r="I235" s="3"/>
      <c r="J235" s="3"/>
      <c r="K235" s="3"/>
      <c r="L235" s="3"/>
      <c r="M235" s="3"/>
      <c r="N235" s="3"/>
      <c r="O235" s="3"/>
      <c r="P235" s="3"/>
      <c r="Q235" s="3"/>
      <c r="R235" s="3"/>
    </row>
    <row r="236" spans="1:18" x14ac:dyDescent="0.3">
      <c r="A236" s="3"/>
      <c r="B236" s="3"/>
      <c r="C236" s="3"/>
      <c r="D236" s="3"/>
      <c r="E236" s="3"/>
      <c r="F236" s="3"/>
      <c r="G236" s="3"/>
      <c r="H236" s="3"/>
      <c r="I236" s="3"/>
      <c r="J236" s="3"/>
      <c r="K236" s="3"/>
      <c r="L236" s="3"/>
      <c r="M236" s="3"/>
      <c r="N236" s="3"/>
      <c r="O236" s="3"/>
      <c r="P236" s="3"/>
      <c r="Q236" s="3"/>
      <c r="R236" s="3"/>
    </row>
    <row r="237" spans="1:18" x14ac:dyDescent="0.3">
      <c r="A237" s="3"/>
      <c r="B237" s="3"/>
      <c r="C237" s="3"/>
      <c r="D237" s="3"/>
      <c r="E237" s="3"/>
      <c r="F237" s="3"/>
      <c r="G237" s="3"/>
      <c r="H237" s="3"/>
      <c r="I237" s="3"/>
      <c r="J237" s="3"/>
      <c r="K237" s="3"/>
      <c r="L237" s="3"/>
      <c r="M237" s="3"/>
      <c r="N237" s="3"/>
      <c r="O237" s="3"/>
      <c r="P237" s="3"/>
      <c r="Q237" s="3"/>
      <c r="R237" s="3"/>
    </row>
    <row r="238" spans="1:18" x14ac:dyDescent="0.3">
      <c r="A238" s="3"/>
      <c r="B238" s="3"/>
      <c r="C238" s="3"/>
      <c r="D238" s="3"/>
      <c r="E238" s="3"/>
      <c r="F238" s="3"/>
      <c r="G238" s="3"/>
      <c r="H238" s="3"/>
      <c r="I238" s="3"/>
      <c r="J238" s="3"/>
      <c r="K238" s="3"/>
      <c r="L238" s="3"/>
      <c r="M238" s="3"/>
      <c r="N238" s="3"/>
      <c r="O238" s="3"/>
      <c r="P238" s="3"/>
      <c r="Q238" s="3"/>
      <c r="R238" s="3"/>
    </row>
    <row r="239" spans="1:18" x14ac:dyDescent="0.3">
      <c r="A239" s="3"/>
      <c r="B239" s="3"/>
      <c r="C239" s="3"/>
      <c r="D239" s="3"/>
      <c r="E239" s="3"/>
      <c r="F239" s="3"/>
      <c r="G239" s="3"/>
      <c r="H239" s="3"/>
      <c r="I239" s="3"/>
      <c r="J239" s="3"/>
      <c r="K239" s="3"/>
      <c r="L239" s="3"/>
      <c r="M239" s="3"/>
      <c r="N239" s="3"/>
      <c r="O239" s="3"/>
      <c r="P239" s="3"/>
      <c r="Q239" s="3"/>
      <c r="R239" s="3"/>
    </row>
    <row r="240" spans="1:18" x14ac:dyDescent="0.3">
      <c r="A240" s="3"/>
      <c r="B240" s="3"/>
      <c r="C240" s="3"/>
      <c r="D240" s="3"/>
      <c r="E240" s="3"/>
      <c r="F240" s="3"/>
      <c r="G240" s="3"/>
      <c r="H240" s="3"/>
      <c r="I240" s="3"/>
      <c r="J240" s="3"/>
      <c r="K240" s="3"/>
      <c r="L240" s="3"/>
      <c r="M240" s="3"/>
      <c r="N240" s="3"/>
      <c r="O240" s="3"/>
      <c r="P240" s="3"/>
      <c r="Q240" s="3"/>
      <c r="R240" s="3"/>
    </row>
    <row r="241" spans="1:18" x14ac:dyDescent="0.3">
      <c r="A241" s="3"/>
      <c r="B241" s="3"/>
      <c r="C241" s="3"/>
      <c r="D241" s="3"/>
      <c r="E241" s="3"/>
      <c r="F241" s="3"/>
      <c r="G241" s="3"/>
      <c r="H241" s="3"/>
      <c r="I241" s="3"/>
      <c r="J241" s="3"/>
      <c r="K241" s="3"/>
      <c r="L241" s="3"/>
      <c r="M241" s="3"/>
      <c r="N241" s="3"/>
      <c r="O241" s="3"/>
      <c r="P241" s="3"/>
      <c r="Q241" s="3"/>
      <c r="R241" s="3"/>
    </row>
    <row r="242" spans="1:18" x14ac:dyDescent="0.3">
      <c r="A242" s="3"/>
      <c r="B242" s="3"/>
      <c r="C242" s="3"/>
      <c r="D242" s="3"/>
      <c r="E242" s="3"/>
      <c r="F242" s="3"/>
      <c r="G242" s="3"/>
      <c r="H242" s="3"/>
      <c r="I242" s="3"/>
      <c r="J242" s="3"/>
      <c r="K242" s="3"/>
      <c r="L242" s="3"/>
      <c r="M242" s="3"/>
      <c r="N242" s="3"/>
      <c r="O242" s="3"/>
      <c r="P242" s="3"/>
      <c r="Q242" s="3"/>
      <c r="R242" s="3"/>
    </row>
    <row r="243" spans="1:18" x14ac:dyDescent="0.3">
      <c r="A243" s="3"/>
      <c r="B243" s="3"/>
      <c r="C243" s="3"/>
      <c r="D243" s="3"/>
      <c r="E243" s="3"/>
      <c r="F243" s="3"/>
      <c r="G243" s="3"/>
      <c r="H243" s="3"/>
      <c r="I243" s="3"/>
      <c r="J243" s="3"/>
      <c r="K243" s="3"/>
      <c r="L243" s="3"/>
      <c r="M243" s="3"/>
      <c r="N243" s="3"/>
      <c r="O243" s="3"/>
      <c r="P243" s="3"/>
      <c r="Q243" s="3"/>
      <c r="R243" s="3"/>
    </row>
    <row r="244" spans="1:18" x14ac:dyDescent="0.3">
      <c r="A244" s="3"/>
      <c r="B244" s="3"/>
      <c r="C244" s="3"/>
      <c r="D244" s="3"/>
      <c r="E244" s="3"/>
      <c r="F244" s="3"/>
      <c r="G244" s="3"/>
      <c r="H244" s="3"/>
      <c r="I244" s="3"/>
      <c r="J244" s="3"/>
      <c r="K244" s="3"/>
      <c r="L244" s="3"/>
      <c r="M244" s="3"/>
      <c r="N244" s="3"/>
      <c r="O244" s="3"/>
      <c r="P244" s="3"/>
      <c r="Q244" s="3"/>
      <c r="R244" s="3"/>
    </row>
    <row r="245" spans="1:18" x14ac:dyDescent="0.3">
      <c r="A245" s="3"/>
      <c r="B245" s="3"/>
      <c r="C245" s="3"/>
      <c r="D245" s="3"/>
      <c r="E245" s="3"/>
      <c r="F245" s="3"/>
      <c r="G245" s="3"/>
      <c r="H245" s="3"/>
      <c r="I245" s="3"/>
      <c r="J245" s="3"/>
      <c r="K245" s="3"/>
      <c r="L245" s="3"/>
      <c r="M245" s="3"/>
      <c r="N245" s="3"/>
      <c r="O245" s="3"/>
      <c r="P245" s="3"/>
      <c r="Q245" s="3"/>
      <c r="R245" s="3"/>
    </row>
    <row r="246" spans="1:18" x14ac:dyDescent="0.3">
      <c r="A246" s="3"/>
      <c r="B246" s="3"/>
      <c r="C246" s="3"/>
      <c r="D246" s="3"/>
      <c r="E246" s="3"/>
      <c r="F246" s="3"/>
      <c r="G246" s="3"/>
      <c r="H246" s="3"/>
      <c r="I246" s="3"/>
      <c r="J246" s="3"/>
      <c r="K246" s="3"/>
      <c r="L246" s="3"/>
      <c r="M246" s="3"/>
      <c r="N246" s="3"/>
      <c r="O246" s="3"/>
      <c r="P246" s="3"/>
      <c r="Q246" s="3"/>
      <c r="R246" s="3"/>
    </row>
    <row r="247" spans="1:18" x14ac:dyDescent="0.3">
      <c r="A247" s="3"/>
      <c r="B247" s="3"/>
      <c r="C247" s="3"/>
      <c r="D247" s="3"/>
      <c r="E247" s="3"/>
      <c r="F247" s="3"/>
      <c r="G247" s="3"/>
      <c r="H247" s="3"/>
      <c r="I247" s="3"/>
      <c r="J247" s="3"/>
      <c r="K247" s="3"/>
      <c r="L247" s="3"/>
      <c r="M247" s="3"/>
      <c r="N247" s="3"/>
      <c r="O247" s="3"/>
      <c r="P247" s="3"/>
      <c r="Q247" s="3"/>
      <c r="R247" s="3"/>
    </row>
    <row r="248" spans="1:18" x14ac:dyDescent="0.3">
      <c r="A248" s="3"/>
      <c r="B248" s="3"/>
      <c r="C248" s="3"/>
      <c r="D248" s="3"/>
      <c r="E248" s="3"/>
      <c r="F248" s="3"/>
      <c r="G248" s="3"/>
      <c r="H248" s="3"/>
      <c r="I248" s="3"/>
      <c r="J248" s="3"/>
      <c r="K248" s="3"/>
      <c r="L248" s="3"/>
      <c r="M248" s="3"/>
      <c r="N248" s="3"/>
      <c r="O248" s="3"/>
      <c r="P248" s="3"/>
      <c r="Q248" s="3"/>
      <c r="R248" s="3"/>
    </row>
    <row r="249" spans="1:18" x14ac:dyDescent="0.3">
      <c r="A249" s="3"/>
      <c r="B249" s="3"/>
      <c r="C249" s="3"/>
      <c r="D249" s="3"/>
      <c r="E249" s="3"/>
      <c r="F249" s="3"/>
      <c r="G249" s="3"/>
      <c r="H249" s="3"/>
      <c r="I249" s="3"/>
      <c r="J249" s="3"/>
      <c r="K249" s="3"/>
      <c r="L249" s="3"/>
      <c r="M249" s="3"/>
      <c r="N249" s="3"/>
      <c r="O249" s="3"/>
      <c r="P249" s="3"/>
      <c r="Q249" s="3"/>
      <c r="R249" s="3"/>
    </row>
    <row r="250" spans="1:18" x14ac:dyDescent="0.3">
      <c r="A250" s="3"/>
      <c r="B250" s="3"/>
      <c r="C250" s="3"/>
      <c r="D250" s="3"/>
      <c r="E250" s="3"/>
      <c r="F250" s="3"/>
      <c r="G250" s="3"/>
      <c r="H250" s="3"/>
      <c r="I250" s="3"/>
      <c r="J250" s="3"/>
      <c r="K250" s="3"/>
      <c r="L250" s="3"/>
      <c r="M250" s="3"/>
      <c r="N250" s="3"/>
      <c r="O250" s="3"/>
      <c r="P250" s="3"/>
      <c r="Q250" s="3"/>
      <c r="R250" s="3"/>
    </row>
    <row r="251" spans="1:18" x14ac:dyDescent="0.3">
      <c r="A251" s="3"/>
      <c r="B251" s="3"/>
      <c r="C251" s="3"/>
      <c r="D251" s="3"/>
      <c r="E251" s="3"/>
      <c r="F251" s="3"/>
      <c r="G251" s="3"/>
      <c r="H251" s="3"/>
      <c r="I251" s="3"/>
      <c r="J251" s="3"/>
      <c r="K251" s="3"/>
      <c r="L251" s="3"/>
      <c r="M251" s="3"/>
      <c r="N251" s="3"/>
      <c r="O251" s="3"/>
      <c r="P251" s="3"/>
      <c r="Q251" s="3"/>
      <c r="R251" s="3"/>
    </row>
    <row r="252" spans="1:18" x14ac:dyDescent="0.3">
      <c r="A252" s="3"/>
      <c r="B252" s="3"/>
      <c r="C252" s="3"/>
      <c r="D252" s="3"/>
      <c r="E252" s="3"/>
      <c r="F252" s="3"/>
      <c r="G252" s="3"/>
      <c r="H252" s="3"/>
      <c r="I252" s="3"/>
      <c r="J252" s="3"/>
      <c r="K252" s="3"/>
      <c r="L252" s="3"/>
      <c r="M252" s="3"/>
      <c r="N252" s="3"/>
      <c r="O252" s="3"/>
      <c r="P252" s="3"/>
      <c r="Q252" s="3"/>
      <c r="R252" s="3"/>
    </row>
    <row r="253" spans="1:18" x14ac:dyDescent="0.3">
      <c r="A253" s="3"/>
      <c r="B253" s="3"/>
      <c r="C253" s="3"/>
      <c r="D253" s="3"/>
      <c r="E253" s="3"/>
      <c r="F253" s="3"/>
      <c r="G253" s="3"/>
      <c r="H253" s="3"/>
      <c r="I253" s="3"/>
      <c r="J253" s="3"/>
      <c r="K253" s="3"/>
      <c r="L253" s="3"/>
      <c r="M253" s="3"/>
      <c r="N253" s="3"/>
      <c r="O253" s="3"/>
      <c r="P253" s="3"/>
      <c r="Q253" s="3"/>
      <c r="R253" s="3"/>
    </row>
    <row r="254" spans="1:18" x14ac:dyDescent="0.3">
      <c r="A254" s="3"/>
      <c r="B254" s="3"/>
      <c r="C254" s="3"/>
      <c r="D254" s="3"/>
      <c r="E254" s="3"/>
      <c r="F254" s="3"/>
      <c r="G254" s="3"/>
      <c r="H254" s="3"/>
      <c r="I254" s="3"/>
      <c r="J254" s="3"/>
      <c r="K254" s="3"/>
      <c r="L254" s="3"/>
      <c r="M254" s="3"/>
      <c r="N254" s="3"/>
      <c r="O254" s="3"/>
      <c r="P254" s="3"/>
      <c r="Q254" s="3"/>
      <c r="R254" s="3"/>
    </row>
    <row r="255" spans="1:18" x14ac:dyDescent="0.3">
      <c r="A255" s="3"/>
      <c r="B255" s="3"/>
      <c r="C255" s="3"/>
      <c r="D255" s="3"/>
      <c r="E255" s="3"/>
      <c r="F255" s="3"/>
      <c r="G255" s="3"/>
      <c r="H255" s="3"/>
      <c r="I255" s="3"/>
      <c r="J255" s="3"/>
      <c r="K255" s="3"/>
      <c r="L255" s="3"/>
      <c r="M255" s="3"/>
      <c r="N255" s="3"/>
      <c r="O255" s="3"/>
      <c r="P255" s="3"/>
      <c r="Q255" s="3"/>
      <c r="R255" s="3"/>
    </row>
    <row r="256" spans="1:18" x14ac:dyDescent="0.3">
      <c r="A256" s="3"/>
      <c r="B256" s="3"/>
      <c r="C256" s="3"/>
      <c r="D256" s="3"/>
      <c r="E256" s="3"/>
      <c r="F256" s="3"/>
      <c r="G256" s="3"/>
      <c r="H256" s="3"/>
      <c r="I256" s="3"/>
      <c r="J256" s="3"/>
      <c r="K256" s="3"/>
      <c r="L256" s="3"/>
      <c r="M256" s="3"/>
      <c r="N256" s="3"/>
      <c r="O256" s="3"/>
      <c r="P256" s="3"/>
      <c r="Q256" s="3"/>
      <c r="R256" s="3"/>
    </row>
    <row r="257" spans="1:18" x14ac:dyDescent="0.3">
      <c r="A257" s="3"/>
      <c r="B257" s="3"/>
      <c r="C257" s="3"/>
      <c r="D257" s="3"/>
      <c r="E257" s="3"/>
      <c r="F257" s="3"/>
      <c r="G257" s="3"/>
      <c r="H257" s="3"/>
      <c r="I257" s="3"/>
      <c r="J257" s="3"/>
      <c r="K257" s="3"/>
      <c r="L257" s="3"/>
      <c r="M257" s="3"/>
      <c r="N257" s="3"/>
      <c r="O257" s="3"/>
      <c r="P257" s="3"/>
      <c r="Q257" s="3"/>
      <c r="R257" s="3"/>
    </row>
    <row r="258" spans="1:18" x14ac:dyDescent="0.3">
      <c r="A258" s="3"/>
      <c r="B258" s="3"/>
      <c r="C258" s="3"/>
      <c r="D258" s="3"/>
      <c r="E258" s="3"/>
      <c r="F258" s="3"/>
      <c r="G258" s="3"/>
      <c r="H258" s="3"/>
      <c r="I258" s="3"/>
      <c r="J258" s="3"/>
      <c r="K258" s="3"/>
      <c r="L258" s="3"/>
      <c r="M258" s="3"/>
      <c r="N258" s="3"/>
      <c r="O258" s="3"/>
      <c r="P258" s="3"/>
      <c r="Q258" s="3"/>
      <c r="R258" s="3"/>
    </row>
    <row r="259" spans="1:18" x14ac:dyDescent="0.3">
      <c r="A259" s="3"/>
      <c r="B259" s="3"/>
      <c r="C259" s="3"/>
      <c r="D259" s="3"/>
      <c r="E259" s="3"/>
      <c r="F259" s="3"/>
      <c r="G259" s="3"/>
      <c r="H259" s="3"/>
      <c r="I259" s="3"/>
      <c r="J259" s="3"/>
      <c r="K259" s="3"/>
      <c r="L259" s="3"/>
      <c r="M259" s="3"/>
      <c r="N259" s="3"/>
      <c r="O259" s="3"/>
      <c r="P259" s="3"/>
      <c r="Q259" s="3"/>
      <c r="R259" s="3"/>
    </row>
    <row r="260" spans="1:18" x14ac:dyDescent="0.3">
      <c r="A260" s="3"/>
      <c r="B260" s="3"/>
      <c r="C260" s="3"/>
      <c r="D260" s="3"/>
      <c r="E260" s="3"/>
      <c r="F260" s="3"/>
      <c r="G260" s="3"/>
      <c r="H260" s="3"/>
      <c r="I260" s="3"/>
      <c r="J260" s="3"/>
      <c r="K260" s="3"/>
      <c r="L260" s="3"/>
      <c r="M260" s="3"/>
      <c r="N260" s="3"/>
      <c r="O260" s="3"/>
      <c r="P260" s="3"/>
      <c r="Q260" s="3"/>
      <c r="R260" s="3"/>
    </row>
    <row r="261" spans="1:18" x14ac:dyDescent="0.3">
      <c r="A261" s="3"/>
      <c r="B261" s="3"/>
      <c r="C261" s="3"/>
      <c r="D261" s="3"/>
      <c r="E261" s="3"/>
      <c r="F261" s="3"/>
      <c r="G261" s="3"/>
      <c r="H261" s="3"/>
      <c r="I261" s="3"/>
      <c r="J261" s="3"/>
      <c r="K261" s="3"/>
      <c r="L261" s="3"/>
      <c r="M261" s="3"/>
      <c r="N261" s="3"/>
      <c r="O261" s="3"/>
      <c r="P261" s="3"/>
      <c r="Q261" s="3"/>
      <c r="R261" s="3"/>
    </row>
    <row r="262" spans="1:18" x14ac:dyDescent="0.3">
      <c r="A262" s="3"/>
      <c r="B262" s="3"/>
      <c r="C262" s="3"/>
      <c r="D262" s="3"/>
      <c r="E262" s="3"/>
      <c r="F262" s="3"/>
      <c r="G262" s="3"/>
      <c r="H262" s="3"/>
      <c r="I262" s="3"/>
      <c r="J262" s="3"/>
      <c r="K262" s="3"/>
      <c r="L262" s="3"/>
      <c r="M262" s="3"/>
      <c r="N262" s="3"/>
      <c r="O262" s="3"/>
      <c r="P262" s="3"/>
      <c r="Q262" s="3"/>
      <c r="R262" s="3"/>
    </row>
    <row r="263" spans="1:18" x14ac:dyDescent="0.3">
      <c r="A263" s="3"/>
      <c r="B263" s="3"/>
      <c r="C263" s="3"/>
      <c r="D263" s="3"/>
      <c r="E263" s="3"/>
      <c r="F263" s="3"/>
      <c r="G263" s="3"/>
      <c r="H263" s="3"/>
      <c r="I263" s="3"/>
      <c r="J263" s="3"/>
      <c r="K263" s="3"/>
      <c r="L263" s="3"/>
      <c r="M263" s="3"/>
      <c r="N263" s="3"/>
      <c r="O263" s="3"/>
      <c r="P263" s="3"/>
      <c r="Q263" s="3"/>
      <c r="R263" s="3"/>
    </row>
    <row r="264" spans="1:18" x14ac:dyDescent="0.3">
      <c r="A264" s="3"/>
      <c r="B264" s="3"/>
      <c r="C264" s="3"/>
      <c r="D264" s="3"/>
      <c r="E264" s="3"/>
      <c r="F264" s="3"/>
      <c r="G264" s="3"/>
      <c r="H264" s="3"/>
      <c r="I264" s="3"/>
      <c r="J264" s="3"/>
      <c r="K264" s="3"/>
      <c r="L264" s="3"/>
      <c r="M264" s="3"/>
      <c r="N264" s="3"/>
      <c r="O264" s="3"/>
      <c r="P264" s="3"/>
      <c r="Q264" s="3"/>
      <c r="R264" s="3"/>
    </row>
    <row r="265" spans="1:18" x14ac:dyDescent="0.3">
      <c r="A265" s="3"/>
      <c r="B265" s="3"/>
      <c r="C265" s="3"/>
      <c r="D265" s="3"/>
      <c r="E265" s="3"/>
      <c r="F265" s="3"/>
      <c r="G265" s="3"/>
      <c r="H265" s="3"/>
      <c r="I265" s="3"/>
      <c r="J265" s="3"/>
      <c r="K265" s="3"/>
      <c r="L265" s="3"/>
      <c r="M265" s="3"/>
      <c r="N265" s="3"/>
      <c r="O265" s="3"/>
      <c r="P265" s="3"/>
      <c r="Q265" s="3"/>
      <c r="R265" s="3"/>
    </row>
    <row r="266" spans="1:18" x14ac:dyDescent="0.3">
      <c r="A266" s="3"/>
      <c r="B266" s="3"/>
      <c r="C266" s="3"/>
      <c r="D266" s="3"/>
      <c r="E266" s="3"/>
      <c r="F266" s="3"/>
      <c r="G266" s="3"/>
      <c r="H266" s="3"/>
      <c r="I266" s="3"/>
      <c r="J266" s="3"/>
      <c r="K266" s="3"/>
      <c r="L266" s="3"/>
      <c r="M266" s="3"/>
      <c r="N266" s="3"/>
      <c r="O266" s="3"/>
      <c r="P266" s="3"/>
      <c r="Q266" s="3"/>
      <c r="R266" s="3"/>
    </row>
    <row r="267" spans="1:18" x14ac:dyDescent="0.3">
      <c r="A267" s="3"/>
      <c r="B267" s="3"/>
      <c r="C267" s="3"/>
      <c r="D267" s="3"/>
      <c r="E267" s="3"/>
      <c r="F267" s="3"/>
      <c r="G267" s="3"/>
      <c r="H267" s="3"/>
      <c r="I267" s="3"/>
      <c r="J267" s="3"/>
      <c r="K267" s="3"/>
      <c r="L267" s="3"/>
      <c r="M267" s="3"/>
      <c r="N267" s="3"/>
      <c r="O267" s="3"/>
      <c r="P267" s="3"/>
      <c r="Q267" s="3"/>
      <c r="R267" s="3"/>
    </row>
    <row r="268" spans="1:18" x14ac:dyDescent="0.3">
      <c r="A268" s="3"/>
      <c r="B268" s="3"/>
      <c r="C268" s="3"/>
      <c r="D268" s="3"/>
      <c r="E268" s="3"/>
      <c r="F268" s="3"/>
      <c r="G268" s="3"/>
      <c r="H268" s="3"/>
      <c r="I268" s="3"/>
      <c r="J268" s="3"/>
      <c r="K268" s="3"/>
      <c r="L268" s="3"/>
      <c r="M268" s="3"/>
      <c r="N268" s="3"/>
      <c r="O268" s="3"/>
      <c r="P268" s="3"/>
      <c r="Q268" s="3"/>
      <c r="R268" s="3"/>
    </row>
    <row r="269" spans="1:18" x14ac:dyDescent="0.3">
      <c r="A269" s="3"/>
      <c r="B269" s="3"/>
      <c r="C269" s="3"/>
      <c r="D269" s="3"/>
      <c r="E269" s="3"/>
      <c r="F269" s="3"/>
      <c r="G269" s="3"/>
      <c r="H269" s="3"/>
      <c r="I269" s="3"/>
      <c r="J269" s="3"/>
      <c r="K269" s="3"/>
      <c r="L269" s="3"/>
      <c r="M269" s="3"/>
      <c r="N269" s="3"/>
      <c r="O269" s="3"/>
      <c r="P269" s="3"/>
      <c r="Q269" s="3"/>
      <c r="R269" s="3"/>
    </row>
    <row r="270" spans="1:18" x14ac:dyDescent="0.3">
      <c r="A270" s="3"/>
      <c r="B270" s="3"/>
      <c r="C270" s="3"/>
      <c r="D270" s="3"/>
      <c r="E270" s="3"/>
      <c r="F270" s="3"/>
      <c r="G270" s="3"/>
      <c r="H270" s="3"/>
      <c r="I270" s="3"/>
      <c r="J270" s="3"/>
      <c r="K270" s="3"/>
      <c r="L270" s="3"/>
      <c r="M270" s="3"/>
      <c r="N270" s="3"/>
      <c r="O270" s="3"/>
      <c r="P270" s="3"/>
      <c r="Q270" s="3"/>
      <c r="R270" s="3"/>
    </row>
    <row r="271" spans="1:18" x14ac:dyDescent="0.3">
      <c r="A271" s="3"/>
      <c r="B271" s="3"/>
      <c r="C271" s="3"/>
      <c r="D271" s="3"/>
      <c r="E271" s="3"/>
      <c r="F271" s="3"/>
      <c r="G271" s="3"/>
      <c r="H271" s="3"/>
      <c r="I271" s="3"/>
      <c r="J271" s="3"/>
      <c r="K271" s="3"/>
      <c r="L271" s="3"/>
      <c r="M271" s="3"/>
      <c r="N271" s="3"/>
      <c r="O271" s="3"/>
      <c r="P271" s="3"/>
      <c r="Q271" s="3"/>
      <c r="R271" s="3"/>
    </row>
    <row r="272" spans="1:18" x14ac:dyDescent="0.3">
      <c r="A272" s="3"/>
      <c r="B272" s="3"/>
      <c r="C272" s="3"/>
      <c r="D272" s="3"/>
      <c r="E272" s="3"/>
      <c r="F272" s="3"/>
      <c r="G272" s="3"/>
      <c r="H272" s="3"/>
      <c r="I272" s="3"/>
      <c r="J272" s="3"/>
      <c r="K272" s="3"/>
      <c r="L272" s="3"/>
      <c r="M272" s="3"/>
      <c r="N272" s="3"/>
      <c r="O272" s="3"/>
      <c r="P272" s="3"/>
      <c r="Q272" s="3"/>
      <c r="R272" s="3"/>
    </row>
    <row r="273" spans="1:18" x14ac:dyDescent="0.3">
      <c r="A273" s="3"/>
      <c r="B273" s="3"/>
      <c r="C273" s="3"/>
      <c r="D273" s="3"/>
      <c r="E273" s="3"/>
      <c r="F273" s="3"/>
      <c r="G273" s="3"/>
      <c r="H273" s="3"/>
      <c r="I273" s="3"/>
      <c r="J273" s="3"/>
      <c r="K273" s="3"/>
      <c r="L273" s="3"/>
      <c r="M273" s="3"/>
      <c r="N273" s="3"/>
      <c r="O273" s="3"/>
      <c r="P273" s="3"/>
      <c r="Q273" s="3"/>
      <c r="R273" s="3"/>
    </row>
    <row r="274" spans="1:18" x14ac:dyDescent="0.3">
      <c r="A274" s="3"/>
      <c r="B274" s="3"/>
      <c r="C274" s="3"/>
      <c r="D274" s="3"/>
      <c r="E274" s="3"/>
      <c r="F274" s="3"/>
      <c r="G274" s="3"/>
      <c r="H274" s="3"/>
      <c r="I274" s="3"/>
      <c r="J274" s="3"/>
      <c r="K274" s="3"/>
      <c r="L274" s="3"/>
      <c r="M274" s="3"/>
      <c r="N274" s="3"/>
      <c r="O274" s="3"/>
      <c r="P274" s="3"/>
      <c r="Q274" s="3"/>
      <c r="R274" s="3"/>
    </row>
    <row r="275" spans="1:18" x14ac:dyDescent="0.3">
      <c r="A275" s="3"/>
      <c r="B275" s="3"/>
      <c r="C275" s="3"/>
      <c r="D275" s="3"/>
      <c r="E275" s="3"/>
      <c r="F275" s="3"/>
      <c r="G275" s="3"/>
      <c r="H275" s="3"/>
      <c r="I275" s="3"/>
      <c r="J275" s="3"/>
      <c r="K275" s="3"/>
      <c r="L275" s="3"/>
      <c r="M275" s="3"/>
      <c r="N275" s="3"/>
      <c r="O275" s="3"/>
      <c r="P275" s="3"/>
      <c r="Q275" s="3"/>
      <c r="R275" s="3"/>
    </row>
    <row r="276" spans="1:18" x14ac:dyDescent="0.3">
      <c r="A276" s="3"/>
      <c r="B276" s="3"/>
      <c r="C276" s="3"/>
      <c r="D276" s="3"/>
      <c r="E276" s="3"/>
      <c r="F276" s="3"/>
      <c r="G276" s="3"/>
      <c r="H276" s="3"/>
      <c r="I276" s="3"/>
      <c r="J276" s="3"/>
      <c r="K276" s="3"/>
      <c r="L276" s="3"/>
      <c r="M276" s="3"/>
      <c r="N276" s="3"/>
      <c r="O276" s="3"/>
      <c r="P276" s="3"/>
      <c r="Q276" s="3"/>
      <c r="R276" s="3"/>
    </row>
    <row r="277" spans="1:18" x14ac:dyDescent="0.3">
      <c r="A277" s="3"/>
      <c r="B277" s="3"/>
      <c r="C277" s="3"/>
      <c r="D277" s="3"/>
      <c r="E277" s="3"/>
      <c r="F277" s="3"/>
      <c r="G277" s="3"/>
      <c r="H277" s="3"/>
      <c r="I277" s="3"/>
      <c r="J277" s="3"/>
      <c r="K277" s="3"/>
      <c r="L277" s="3"/>
      <c r="M277" s="3"/>
      <c r="N277" s="3"/>
      <c r="O277" s="3"/>
      <c r="P277" s="3"/>
      <c r="Q277" s="3"/>
      <c r="R277" s="3"/>
    </row>
    <row r="278" spans="1:18" x14ac:dyDescent="0.3">
      <c r="A278" s="3"/>
      <c r="B278" s="3"/>
      <c r="C278" s="3"/>
      <c r="D278" s="3"/>
      <c r="E278" s="3"/>
      <c r="F278" s="3"/>
      <c r="G278" s="3"/>
      <c r="H278" s="3"/>
      <c r="I278" s="3"/>
      <c r="J278" s="3"/>
      <c r="K278" s="3"/>
      <c r="L278" s="3"/>
      <c r="M278" s="3"/>
      <c r="N278" s="3"/>
      <c r="O278" s="3"/>
      <c r="P278" s="3"/>
      <c r="Q278" s="3"/>
      <c r="R278" s="3"/>
    </row>
    <row r="279" spans="1:18" x14ac:dyDescent="0.3">
      <c r="A279" s="3"/>
      <c r="B279" s="3"/>
      <c r="C279" s="3"/>
      <c r="D279" s="3"/>
      <c r="E279" s="3"/>
      <c r="F279" s="3"/>
      <c r="G279" s="3"/>
      <c r="H279" s="3"/>
      <c r="I279" s="3"/>
      <c r="J279" s="3"/>
      <c r="K279" s="3"/>
      <c r="L279" s="3"/>
      <c r="M279" s="3"/>
      <c r="N279" s="3"/>
      <c r="O279" s="3"/>
      <c r="P279" s="3"/>
      <c r="Q279" s="3"/>
      <c r="R279" s="3"/>
    </row>
    <row r="280" spans="1:18" x14ac:dyDescent="0.3">
      <c r="A280" s="3"/>
      <c r="B280" s="3"/>
      <c r="C280" s="3"/>
      <c r="D280" s="3"/>
      <c r="E280" s="3"/>
      <c r="F280" s="3"/>
      <c r="G280" s="3"/>
      <c r="H280" s="3"/>
      <c r="I280" s="3"/>
      <c r="J280" s="3"/>
      <c r="K280" s="3"/>
      <c r="L280" s="3"/>
      <c r="M280" s="3"/>
      <c r="N280" s="3"/>
      <c r="O280" s="3"/>
      <c r="P280" s="3"/>
      <c r="Q280" s="3"/>
      <c r="R280" s="3"/>
    </row>
    <row r="281" spans="1:18" x14ac:dyDescent="0.3">
      <c r="A281" s="3"/>
      <c r="B281" s="3"/>
      <c r="C281" s="3"/>
      <c r="D281" s="3"/>
      <c r="E281" s="3"/>
      <c r="F281" s="3"/>
      <c r="G281" s="3"/>
      <c r="H281" s="3"/>
      <c r="I281" s="3"/>
      <c r="J281" s="3"/>
      <c r="K281" s="3"/>
      <c r="L281" s="3"/>
      <c r="M281" s="3"/>
      <c r="N281" s="3"/>
      <c r="O281" s="3"/>
      <c r="P281" s="3"/>
      <c r="Q281" s="3"/>
      <c r="R281" s="3"/>
    </row>
    <row r="282" spans="1:18" x14ac:dyDescent="0.3">
      <c r="A282" s="3"/>
      <c r="B282" s="3"/>
      <c r="C282" s="3"/>
      <c r="D282" s="3"/>
      <c r="E282" s="3"/>
      <c r="F282" s="3"/>
      <c r="G282" s="3"/>
      <c r="H282" s="3"/>
      <c r="I282" s="3"/>
      <c r="J282" s="3"/>
      <c r="K282" s="3"/>
      <c r="L282" s="3"/>
      <c r="M282" s="3"/>
      <c r="N282" s="3"/>
      <c r="O282" s="3"/>
      <c r="P282" s="3"/>
      <c r="Q282" s="3"/>
      <c r="R282" s="3"/>
    </row>
    <row r="283" spans="1:18" x14ac:dyDescent="0.3">
      <c r="A283" s="3"/>
      <c r="B283" s="3"/>
      <c r="C283" s="3"/>
      <c r="D283" s="3"/>
      <c r="E283" s="3"/>
      <c r="F283" s="3"/>
      <c r="G283" s="3"/>
      <c r="H283" s="3"/>
      <c r="I283" s="3"/>
      <c r="J283" s="3"/>
      <c r="K283" s="3"/>
      <c r="L283" s="3"/>
      <c r="M283" s="3"/>
      <c r="N283" s="3"/>
      <c r="O283" s="3"/>
      <c r="P283" s="3"/>
      <c r="Q283" s="3"/>
      <c r="R283" s="3"/>
    </row>
    <row r="284" spans="1:18" x14ac:dyDescent="0.3">
      <c r="A284" s="3"/>
      <c r="B284" s="3"/>
      <c r="C284" s="3"/>
      <c r="D284" s="3"/>
      <c r="E284" s="3"/>
      <c r="F284" s="3"/>
      <c r="G284" s="3"/>
      <c r="H284" s="3"/>
      <c r="I284" s="3"/>
      <c r="J284" s="3"/>
      <c r="K284" s="3"/>
      <c r="L284" s="3"/>
      <c r="M284" s="3"/>
      <c r="N284" s="3"/>
      <c r="O284" s="3"/>
      <c r="P284" s="3"/>
      <c r="Q284" s="3"/>
      <c r="R284" s="3"/>
    </row>
    <row r="285" spans="1:18" x14ac:dyDescent="0.3">
      <c r="A285" s="3"/>
      <c r="B285" s="3"/>
      <c r="C285" s="3"/>
      <c r="D285" s="3"/>
      <c r="E285" s="3"/>
      <c r="F285" s="3"/>
      <c r="G285" s="3"/>
      <c r="H285" s="3"/>
      <c r="I285" s="3"/>
      <c r="J285" s="3"/>
      <c r="K285" s="3"/>
      <c r="L285" s="3"/>
      <c r="M285" s="3"/>
      <c r="N285" s="3"/>
      <c r="O285" s="3"/>
      <c r="P285" s="3"/>
      <c r="Q285" s="3"/>
      <c r="R285" s="3"/>
    </row>
    <row r="286" spans="1:18" x14ac:dyDescent="0.3">
      <c r="A286" s="3"/>
      <c r="B286" s="3"/>
      <c r="C286" s="3"/>
      <c r="D286" s="3"/>
      <c r="E286" s="3"/>
      <c r="F286" s="3"/>
      <c r="G286" s="3"/>
      <c r="H286" s="3"/>
      <c r="I286" s="3"/>
      <c r="J286" s="3"/>
      <c r="K286" s="3"/>
      <c r="L286" s="3"/>
      <c r="M286" s="3"/>
      <c r="N286" s="3"/>
      <c r="O286" s="3"/>
      <c r="P286" s="3"/>
      <c r="Q286" s="3"/>
      <c r="R286" s="3"/>
    </row>
    <row r="287" spans="1:18" x14ac:dyDescent="0.3">
      <c r="A287" s="3"/>
      <c r="B287" s="3"/>
      <c r="C287" s="3"/>
      <c r="D287" s="3"/>
      <c r="E287" s="3"/>
      <c r="F287" s="3"/>
      <c r="G287" s="3"/>
      <c r="H287" s="3"/>
      <c r="I287" s="3"/>
      <c r="J287" s="3"/>
      <c r="K287" s="3"/>
      <c r="L287" s="3"/>
      <c r="M287" s="3"/>
      <c r="N287" s="3"/>
      <c r="O287" s="3"/>
      <c r="P287" s="3"/>
      <c r="Q287" s="3"/>
      <c r="R287" s="3"/>
    </row>
    <row r="288" spans="1:18" x14ac:dyDescent="0.3">
      <c r="A288" s="3"/>
      <c r="B288" s="3"/>
      <c r="C288" s="3"/>
      <c r="D288" s="3"/>
      <c r="E288" s="3"/>
      <c r="F288" s="3"/>
      <c r="G288" s="3"/>
      <c r="H288" s="3"/>
      <c r="I288" s="3"/>
      <c r="J288" s="3"/>
      <c r="K288" s="3"/>
      <c r="L288" s="3"/>
      <c r="M288" s="3"/>
      <c r="N288" s="3"/>
      <c r="O288" s="3"/>
      <c r="P288" s="3"/>
      <c r="Q288" s="3"/>
      <c r="R288" s="3"/>
    </row>
    <row r="289" spans="1:18" x14ac:dyDescent="0.3">
      <c r="A289" s="3"/>
      <c r="B289" s="3"/>
      <c r="C289" s="3"/>
      <c r="D289" s="3"/>
      <c r="E289" s="3"/>
      <c r="F289" s="3"/>
      <c r="G289" s="3"/>
      <c r="H289" s="3"/>
      <c r="I289" s="3"/>
      <c r="J289" s="3"/>
      <c r="K289" s="3"/>
      <c r="L289" s="3"/>
      <c r="M289" s="3"/>
      <c r="N289" s="3"/>
      <c r="O289" s="3"/>
      <c r="P289" s="3"/>
      <c r="Q289" s="3"/>
      <c r="R289" s="3"/>
    </row>
    <row r="290" spans="1:18" x14ac:dyDescent="0.3">
      <c r="A290" s="3"/>
      <c r="B290" s="3"/>
      <c r="C290" s="3"/>
      <c r="D290" s="3"/>
      <c r="E290" s="3"/>
      <c r="F290" s="3"/>
      <c r="G290" s="3"/>
      <c r="H290" s="3"/>
      <c r="I290" s="3"/>
      <c r="J290" s="3"/>
      <c r="K290" s="3"/>
      <c r="L290" s="3"/>
      <c r="M290" s="3"/>
      <c r="N290" s="3"/>
      <c r="O290" s="3"/>
      <c r="P290" s="3"/>
      <c r="Q290" s="3"/>
      <c r="R290" s="3"/>
    </row>
    <row r="291" spans="1:18" x14ac:dyDescent="0.3">
      <c r="A291" s="3"/>
      <c r="B291" s="3"/>
      <c r="C291" s="3"/>
      <c r="D291" s="3"/>
      <c r="E291" s="3"/>
      <c r="F291" s="3"/>
      <c r="G291" s="3"/>
      <c r="H291" s="3"/>
      <c r="I291" s="3"/>
      <c r="J291" s="3"/>
      <c r="K291" s="3"/>
      <c r="L291" s="3"/>
      <c r="M291" s="3"/>
      <c r="N291" s="3"/>
      <c r="O291" s="3"/>
      <c r="P291" s="3"/>
      <c r="Q291" s="3"/>
      <c r="R291" s="3"/>
    </row>
    <row r="292" spans="1:18" x14ac:dyDescent="0.3">
      <c r="A292" s="3"/>
      <c r="B292" s="3"/>
      <c r="C292" s="3"/>
      <c r="D292" s="3"/>
      <c r="E292" s="3"/>
      <c r="F292" s="3"/>
      <c r="G292" s="3"/>
      <c r="H292" s="3"/>
      <c r="I292" s="3"/>
      <c r="J292" s="3"/>
      <c r="K292" s="3"/>
      <c r="L292" s="3"/>
      <c r="M292" s="3"/>
      <c r="N292" s="3"/>
      <c r="O292" s="3"/>
      <c r="P292" s="3"/>
      <c r="Q292" s="3"/>
      <c r="R292" s="3"/>
    </row>
    <row r="293" spans="1:18" x14ac:dyDescent="0.3">
      <c r="A293" s="3"/>
      <c r="B293" s="3"/>
      <c r="C293" s="3"/>
      <c r="D293" s="3"/>
      <c r="E293" s="3"/>
      <c r="F293" s="3"/>
      <c r="G293" s="3"/>
      <c r="H293" s="3"/>
      <c r="I293" s="3"/>
      <c r="J293" s="3"/>
      <c r="K293" s="3"/>
      <c r="L293" s="3"/>
      <c r="M293" s="3"/>
      <c r="N293" s="3"/>
      <c r="O293" s="3"/>
      <c r="P293" s="3"/>
      <c r="Q293" s="3"/>
      <c r="R293" s="3"/>
    </row>
    <row r="294" spans="1:18" x14ac:dyDescent="0.3">
      <c r="A294" s="3"/>
      <c r="B294" s="3"/>
      <c r="C294" s="3"/>
      <c r="D294" s="3"/>
      <c r="E294" s="3"/>
      <c r="F294" s="3"/>
      <c r="G294" s="3"/>
      <c r="H294" s="3"/>
      <c r="I294" s="3"/>
      <c r="J294" s="3"/>
      <c r="K294" s="3"/>
      <c r="L294" s="3"/>
      <c r="M294" s="3"/>
      <c r="N294" s="3"/>
      <c r="O294" s="3"/>
      <c r="P294" s="3"/>
      <c r="Q294" s="3"/>
      <c r="R294" s="3"/>
    </row>
    <row r="295" spans="1:18" x14ac:dyDescent="0.3">
      <c r="A295" s="3"/>
      <c r="B295" s="3"/>
      <c r="C295" s="3"/>
      <c r="D295" s="3"/>
      <c r="E295" s="3"/>
      <c r="F295" s="3"/>
      <c r="G295" s="3"/>
      <c r="H295" s="3"/>
      <c r="I295" s="3"/>
      <c r="J295" s="3"/>
      <c r="K295" s="3"/>
      <c r="L295" s="3"/>
      <c r="M295" s="3"/>
      <c r="N295" s="3"/>
      <c r="O295" s="3"/>
      <c r="P295" s="3"/>
      <c r="Q295" s="3"/>
      <c r="R295" s="3"/>
    </row>
    <row r="296" spans="1:18" x14ac:dyDescent="0.3">
      <c r="A296" s="3"/>
      <c r="B296" s="3"/>
      <c r="C296" s="3"/>
      <c r="D296" s="3"/>
      <c r="E296" s="3"/>
      <c r="F296" s="3"/>
      <c r="G296" s="3"/>
      <c r="H296" s="3"/>
      <c r="I296" s="3"/>
      <c r="J296" s="3"/>
      <c r="K296" s="3"/>
      <c r="L296" s="3"/>
      <c r="M296" s="3"/>
      <c r="N296" s="3"/>
      <c r="O296" s="3"/>
      <c r="P296" s="3"/>
      <c r="Q296" s="3"/>
      <c r="R296" s="3"/>
    </row>
    <row r="297" spans="1:18" x14ac:dyDescent="0.3">
      <c r="A297" s="3"/>
      <c r="B297" s="3"/>
      <c r="C297" s="3"/>
      <c r="D297" s="3"/>
      <c r="E297" s="3"/>
      <c r="F297" s="3"/>
      <c r="G297" s="3"/>
      <c r="H297" s="3"/>
      <c r="I297" s="3"/>
      <c r="J297" s="3"/>
      <c r="K297" s="3"/>
      <c r="L297" s="3"/>
      <c r="M297" s="3"/>
      <c r="N297" s="3"/>
      <c r="O297" s="3"/>
      <c r="P297" s="3"/>
      <c r="Q297" s="3"/>
      <c r="R297" s="3"/>
    </row>
    <row r="298" spans="1:18" x14ac:dyDescent="0.3">
      <c r="A298" s="3"/>
      <c r="B298" s="3"/>
      <c r="C298" s="3"/>
      <c r="D298" s="3"/>
      <c r="E298" s="3"/>
      <c r="F298" s="3"/>
      <c r="G298" s="3"/>
      <c r="H298" s="3"/>
      <c r="I298" s="3"/>
      <c r="J298" s="3"/>
      <c r="K298" s="3"/>
      <c r="L298" s="3"/>
      <c r="M298" s="3"/>
      <c r="N298" s="3"/>
      <c r="O298" s="3"/>
      <c r="P298" s="3"/>
      <c r="Q298" s="3"/>
      <c r="R298" s="3"/>
    </row>
    <row r="299" spans="1:18" x14ac:dyDescent="0.3">
      <c r="A299" s="3"/>
      <c r="B299" s="3"/>
      <c r="C299" s="3"/>
      <c r="D299" s="3"/>
      <c r="E299" s="3"/>
      <c r="F299" s="3"/>
      <c r="G299" s="3"/>
      <c r="H299" s="3"/>
      <c r="I299" s="3"/>
      <c r="J299" s="3"/>
      <c r="K299" s="3"/>
      <c r="L299" s="3"/>
      <c r="M299" s="3"/>
      <c r="N299" s="3"/>
      <c r="O299" s="3"/>
      <c r="P299" s="3"/>
      <c r="Q299" s="3"/>
      <c r="R299" s="3"/>
    </row>
    <row r="300" spans="1:18" x14ac:dyDescent="0.3">
      <c r="A300" s="3"/>
      <c r="B300" s="3"/>
      <c r="C300" s="3"/>
      <c r="D300" s="3"/>
      <c r="E300" s="3"/>
      <c r="F300" s="3"/>
      <c r="G300" s="3"/>
      <c r="H300" s="3"/>
      <c r="I300" s="3"/>
      <c r="J300" s="3"/>
      <c r="K300" s="3"/>
      <c r="L300" s="3"/>
      <c r="M300" s="3"/>
      <c r="N300" s="3"/>
      <c r="O300" s="3"/>
      <c r="P300" s="3"/>
      <c r="Q300" s="3"/>
      <c r="R300" s="3"/>
    </row>
    <row r="301" spans="1:18" x14ac:dyDescent="0.3">
      <c r="A301" s="3"/>
      <c r="B301" s="3"/>
      <c r="C301" s="3"/>
      <c r="D301" s="3"/>
      <c r="E301" s="3"/>
      <c r="F301" s="3"/>
      <c r="G301" s="3"/>
      <c r="H301" s="3"/>
      <c r="I301" s="3"/>
      <c r="J301" s="3"/>
      <c r="K301" s="3"/>
      <c r="L301" s="3"/>
      <c r="M301" s="3"/>
      <c r="N301" s="3"/>
      <c r="O301" s="3"/>
      <c r="P301" s="3"/>
      <c r="Q301" s="3"/>
      <c r="R301" s="3"/>
    </row>
    <row r="302" spans="1:18" x14ac:dyDescent="0.3">
      <c r="A302" s="3"/>
      <c r="B302" s="3"/>
      <c r="C302" s="3"/>
      <c r="D302" s="3"/>
      <c r="E302" s="3"/>
      <c r="F302" s="3"/>
      <c r="G302" s="3"/>
      <c r="H302" s="3"/>
      <c r="I302" s="3"/>
      <c r="J302" s="3"/>
      <c r="K302" s="3"/>
      <c r="L302" s="3"/>
      <c r="M302" s="3"/>
      <c r="N302" s="3"/>
      <c r="O302" s="3"/>
      <c r="P302" s="3"/>
      <c r="Q302" s="3"/>
      <c r="R302" s="3"/>
    </row>
    <row r="303" spans="1:18" x14ac:dyDescent="0.3">
      <c r="A303" s="3"/>
      <c r="B303" s="3"/>
      <c r="C303" s="3"/>
      <c r="D303" s="3"/>
      <c r="E303" s="3"/>
      <c r="F303" s="3"/>
      <c r="G303" s="3"/>
      <c r="H303" s="3"/>
      <c r="I303" s="3"/>
      <c r="J303" s="3"/>
      <c r="K303" s="3"/>
      <c r="L303" s="3"/>
      <c r="M303" s="3"/>
      <c r="N303" s="3"/>
      <c r="O303" s="3"/>
      <c r="P303" s="3"/>
      <c r="Q303" s="3"/>
      <c r="R303" s="3"/>
    </row>
    <row r="304" spans="1:18" x14ac:dyDescent="0.3">
      <c r="A304" s="3"/>
      <c r="B304" s="3"/>
      <c r="C304" s="3"/>
      <c r="D304" s="3"/>
      <c r="E304" s="3"/>
      <c r="F304" s="3"/>
      <c r="G304" s="3"/>
      <c r="H304" s="3"/>
      <c r="I304" s="3"/>
      <c r="J304" s="3"/>
      <c r="K304" s="3"/>
      <c r="L304" s="3"/>
      <c r="M304" s="3"/>
      <c r="N304" s="3"/>
      <c r="O304" s="3"/>
      <c r="P304" s="3"/>
      <c r="Q304" s="3"/>
      <c r="R304" s="3"/>
    </row>
    <row r="305" spans="1:18" x14ac:dyDescent="0.3">
      <c r="A305" s="3"/>
      <c r="B305" s="3"/>
      <c r="C305" s="3"/>
      <c r="D305" s="3"/>
      <c r="E305" s="3"/>
      <c r="F305" s="3"/>
      <c r="G305" s="3"/>
      <c r="H305" s="3"/>
      <c r="I305" s="3"/>
      <c r="J305" s="3"/>
      <c r="K305" s="3"/>
      <c r="L305" s="3"/>
      <c r="M305" s="3"/>
      <c r="N305" s="3"/>
      <c r="O305" s="3"/>
      <c r="P305" s="3"/>
      <c r="Q305" s="3"/>
      <c r="R305" s="3"/>
    </row>
    <row r="306" spans="1:18" x14ac:dyDescent="0.3">
      <c r="A306" s="3"/>
      <c r="B306" s="3"/>
      <c r="C306" s="3"/>
      <c r="D306" s="3"/>
      <c r="E306" s="3"/>
      <c r="F306" s="3"/>
      <c r="G306" s="3"/>
      <c r="H306" s="3"/>
      <c r="I306" s="3"/>
      <c r="J306" s="3"/>
      <c r="K306" s="3"/>
      <c r="L306" s="3"/>
      <c r="M306" s="3"/>
      <c r="N306" s="3"/>
      <c r="O306" s="3"/>
      <c r="P306" s="3"/>
      <c r="Q306" s="3"/>
      <c r="R306" s="3"/>
    </row>
    <row r="307" spans="1:18" x14ac:dyDescent="0.3">
      <c r="A307" s="3"/>
      <c r="B307" s="3"/>
      <c r="C307" s="3"/>
      <c r="D307" s="3"/>
      <c r="E307" s="3"/>
      <c r="F307" s="3"/>
      <c r="G307" s="3"/>
      <c r="H307" s="3"/>
      <c r="I307" s="3"/>
      <c r="J307" s="3"/>
      <c r="K307" s="3"/>
      <c r="L307" s="3"/>
      <c r="M307" s="3"/>
      <c r="N307" s="3"/>
      <c r="O307" s="3"/>
      <c r="P307" s="3"/>
      <c r="Q307" s="3"/>
      <c r="R307" s="3"/>
    </row>
    <row r="308" spans="1:18" x14ac:dyDescent="0.3">
      <c r="A308" s="3"/>
      <c r="B308" s="3"/>
      <c r="C308" s="3"/>
      <c r="D308" s="3"/>
      <c r="E308" s="3"/>
      <c r="F308" s="3"/>
      <c r="G308" s="3"/>
      <c r="H308" s="3"/>
      <c r="I308" s="3"/>
      <c r="J308" s="3"/>
      <c r="K308" s="3"/>
      <c r="L308" s="3"/>
      <c r="M308" s="3"/>
      <c r="N308" s="3"/>
      <c r="O308" s="3"/>
      <c r="P308" s="3"/>
      <c r="Q308" s="3"/>
      <c r="R308" s="3"/>
    </row>
    <row r="309" spans="1:18" x14ac:dyDescent="0.3">
      <c r="A309" s="3"/>
      <c r="B309" s="3"/>
      <c r="C309" s="3"/>
      <c r="D309" s="3"/>
      <c r="E309" s="3"/>
      <c r="F309" s="3"/>
      <c r="G309" s="3"/>
      <c r="H309" s="3"/>
      <c r="I309" s="3"/>
      <c r="J309" s="3"/>
      <c r="K309" s="3"/>
      <c r="L309" s="3"/>
      <c r="M309" s="3"/>
      <c r="N309" s="3"/>
      <c r="O309" s="3"/>
      <c r="P309" s="3"/>
      <c r="Q309" s="3"/>
      <c r="R309" s="3"/>
    </row>
    <row r="310" spans="1:18" x14ac:dyDescent="0.3">
      <c r="A310" s="3"/>
      <c r="B310" s="3"/>
      <c r="C310" s="3"/>
      <c r="D310" s="3"/>
      <c r="E310" s="3"/>
      <c r="F310" s="3"/>
      <c r="G310" s="3"/>
      <c r="H310" s="3"/>
      <c r="I310" s="3"/>
      <c r="J310" s="3"/>
      <c r="K310" s="3"/>
      <c r="L310" s="3"/>
      <c r="M310" s="3"/>
      <c r="N310" s="3"/>
      <c r="O310" s="3"/>
      <c r="P310" s="3"/>
      <c r="Q310" s="3"/>
      <c r="R310" s="3"/>
    </row>
    <row r="311" spans="1:18" x14ac:dyDescent="0.3">
      <c r="A311" s="3"/>
      <c r="B311" s="3"/>
      <c r="C311" s="3"/>
      <c r="D311" s="3"/>
      <c r="E311" s="3"/>
      <c r="F311" s="3"/>
      <c r="G311" s="3"/>
      <c r="H311" s="3"/>
      <c r="I311" s="3"/>
      <c r="J311" s="3"/>
      <c r="K311" s="3"/>
      <c r="L311" s="3"/>
      <c r="M311" s="3"/>
      <c r="N311" s="3"/>
      <c r="O311" s="3"/>
      <c r="P311" s="3"/>
      <c r="Q311" s="3"/>
      <c r="R311" s="3"/>
    </row>
    <row r="312" spans="1:18" x14ac:dyDescent="0.3">
      <c r="A312" s="3"/>
      <c r="B312" s="3"/>
      <c r="C312" s="3"/>
      <c r="D312" s="3"/>
      <c r="E312" s="3"/>
      <c r="F312" s="3"/>
      <c r="G312" s="3"/>
      <c r="H312" s="3"/>
      <c r="I312" s="3"/>
      <c r="J312" s="3"/>
      <c r="K312" s="3"/>
      <c r="L312" s="3"/>
      <c r="M312" s="3"/>
      <c r="N312" s="3"/>
      <c r="O312" s="3"/>
      <c r="P312" s="3"/>
      <c r="Q312" s="3"/>
      <c r="R312" s="3"/>
    </row>
    <row r="313" spans="1:18" x14ac:dyDescent="0.3">
      <c r="A313" s="3"/>
      <c r="B313" s="3"/>
      <c r="C313" s="3"/>
      <c r="D313" s="3"/>
      <c r="E313" s="3"/>
      <c r="F313" s="3"/>
      <c r="G313" s="3"/>
      <c r="H313" s="3"/>
      <c r="I313" s="3"/>
      <c r="J313" s="3"/>
      <c r="K313" s="3"/>
      <c r="L313" s="3"/>
      <c r="M313" s="3"/>
      <c r="N313" s="3"/>
      <c r="O313" s="3"/>
      <c r="P313" s="3"/>
      <c r="Q313" s="3"/>
      <c r="R313" s="3"/>
    </row>
    <row r="314" spans="1:18" x14ac:dyDescent="0.3">
      <c r="A314" s="3"/>
      <c r="B314" s="3"/>
      <c r="C314" s="3"/>
      <c r="D314" s="3"/>
      <c r="E314" s="3"/>
      <c r="F314" s="3"/>
      <c r="G314" s="3"/>
      <c r="H314" s="3"/>
      <c r="I314" s="3"/>
      <c r="J314" s="3"/>
      <c r="K314" s="3"/>
      <c r="L314" s="3"/>
      <c r="M314" s="3"/>
      <c r="N314" s="3"/>
      <c r="O314" s="3"/>
      <c r="P314" s="3"/>
      <c r="Q314" s="3"/>
      <c r="R314" s="3"/>
    </row>
    <row r="315" spans="1:18" x14ac:dyDescent="0.3">
      <c r="A315" s="3"/>
      <c r="B315" s="3"/>
      <c r="C315" s="3"/>
      <c r="D315" s="3"/>
      <c r="E315" s="3"/>
      <c r="F315" s="3"/>
      <c r="G315" s="3"/>
      <c r="H315" s="3"/>
      <c r="I315" s="3"/>
      <c r="J315" s="3"/>
      <c r="K315" s="3"/>
      <c r="L315" s="3"/>
      <c r="M315" s="3"/>
      <c r="N315" s="3"/>
      <c r="O315" s="3"/>
      <c r="P315" s="3"/>
      <c r="Q315" s="3"/>
      <c r="R315" s="3"/>
    </row>
    <row r="316" spans="1:18" x14ac:dyDescent="0.3">
      <c r="A316" s="3"/>
      <c r="B316" s="3"/>
      <c r="C316" s="3"/>
      <c r="D316" s="3"/>
      <c r="E316" s="3"/>
      <c r="F316" s="3"/>
      <c r="G316" s="3"/>
      <c r="H316" s="3"/>
      <c r="I316" s="3"/>
      <c r="J316" s="3"/>
      <c r="K316" s="3"/>
      <c r="L316" s="3"/>
      <c r="M316" s="3"/>
      <c r="N316" s="3"/>
      <c r="O316" s="3"/>
      <c r="P316" s="3"/>
      <c r="Q316" s="3"/>
      <c r="R316" s="3"/>
    </row>
    <row r="317" spans="1:18" x14ac:dyDescent="0.3">
      <c r="A317" s="3"/>
      <c r="B317" s="3"/>
      <c r="C317" s="3"/>
      <c r="D317" s="3"/>
      <c r="E317" s="3"/>
      <c r="F317" s="3"/>
      <c r="G317" s="3"/>
      <c r="H317" s="3"/>
      <c r="I317" s="3"/>
      <c r="J317" s="3"/>
      <c r="K317" s="3"/>
      <c r="L317" s="3"/>
      <c r="M317" s="3"/>
      <c r="N317" s="3"/>
      <c r="O317" s="3"/>
      <c r="P317" s="3"/>
      <c r="Q317" s="3"/>
      <c r="R317" s="3"/>
    </row>
    <row r="318" spans="1:18" x14ac:dyDescent="0.3">
      <c r="A318" s="3"/>
      <c r="B318" s="3"/>
      <c r="C318" s="3"/>
      <c r="D318" s="3"/>
      <c r="E318" s="3"/>
      <c r="F318" s="3"/>
      <c r="G318" s="3"/>
      <c r="H318" s="3"/>
      <c r="I318" s="3"/>
      <c r="J318" s="3"/>
      <c r="K318" s="3"/>
      <c r="L318" s="3"/>
      <c r="M318" s="3"/>
      <c r="N318" s="3"/>
      <c r="O318" s="3"/>
      <c r="P318" s="3"/>
      <c r="Q318" s="3"/>
      <c r="R318" s="3"/>
    </row>
    <row r="319" spans="1:18" x14ac:dyDescent="0.3">
      <c r="A319" s="3"/>
      <c r="B319" s="3"/>
      <c r="C319" s="3"/>
      <c r="D319" s="3"/>
      <c r="E319" s="3"/>
      <c r="F319" s="3"/>
      <c r="G319" s="3"/>
      <c r="H319" s="3"/>
      <c r="I319" s="3"/>
      <c r="J319" s="3"/>
      <c r="K319" s="3"/>
      <c r="L319" s="3"/>
      <c r="M319" s="3"/>
      <c r="N319" s="3"/>
      <c r="O319" s="3"/>
      <c r="P319" s="3"/>
      <c r="Q319" s="3"/>
      <c r="R319" s="3"/>
    </row>
    <row r="320" spans="1:18" x14ac:dyDescent="0.3">
      <c r="A320" s="3"/>
      <c r="B320" s="3"/>
      <c r="C320" s="3"/>
      <c r="D320" s="3"/>
      <c r="E320" s="3"/>
      <c r="F320" s="3"/>
      <c r="G320" s="3"/>
      <c r="H320" s="3"/>
      <c r="I320" s="3"/>
      <c r="J320" s="3"/>
      <c r="K320" s="3"/>
      <c r="L320" s="3"/>
      <c r="M320" s="3"/>
      <c r="N320" s="3"/>
      <c r="O320" s="3"/>
      <c r="P320" s="3"/>
      <c r="Q320" s="3"/>
      <c r="R320" s="3"/>
    </row>
    <row r="321" spans="1:18" x14ac:dyDescent="0.3">
      <c r="A321" s="3"/>
      <c r="B321" s="3"/>
      <c r="C321" s="3"/>
      <c r="D321" s="3"/>
      <c r="E321" s="3"/>
      <c r="F321" s="3"/>
      <c r="G321" s="3"/>
      <c r="H321" s="3"/>
      <c r="I321" s="3"/>
      <c r="J321" s="3"/>
      <c r="K321" s="3"/>
      <c r="L321" s="3"/>
      <c r="M321" s="3"/>
      <c r="N321" s="3"/>
      <c r="O321" s="3"/>
      <c r="P321" s="3"/>
      <c r="Q321" s="3"/>
      <c r="R321" s="3"/>
    </row>
    <row r="322" spans="1:18" x14ac:dyDescent="0.3">
      <c r="A322" s="3"/>
      <c r="B322" s="3"/>
      <c r="C322" s="3"/>
      <c r="D322" s="3"/>
      <c r="E322" s="3"/>
      <c r="F322" s="3"/>
      <c r="G322" s="3"/>
      <c r="H322" s="3"/>
      <c r="I322" s="3"/>
      <c r="J322" s="3"/>
      <c r="K322" s="3"/>
      <c r="L322" s="3"/>
      <c r="M322" s="3"/>
      <c r="N322" s="3"/>
      <c r="O322" s="3"/>
      <c r="P322" s="3"/>
      <c r="Q322" s="3"/>
      <c r="R322" s="3"/>
    </row>
    <row r="323" spans="1:18" x14ac:dyDescent="0.3">
      <c r="A323" s="3"/>
      <c r="B323" s="3"/>
      <c r="C323" s="3"/>
      <c r="D323" s="3"/>
      <c r="E323" s="3"/>
      <c r="F323" s="3"/>
      <c r="G323" s="3"/>
      <c r="H323" s="3"/>
      <c r="I323" s="3"/>
      <c r="J323" s="3"/>
      <c r="K323" s="3"/>
      <c r="L323" s="3"/>
      <c r="M323" s="3"/>
      <c r="N323" s="3"/>
      <c r="O323" s="3"/>
      <c r="P323" s="3"/>
      <c r="Q323" s="3"/>
      <c r="R323" s="3"/>
    </row>
    <row r="324" spans="1:18" x14ac:dyDescent="0.3">
      <c r="A324" s="3"/>
      <c r="B324" s="3"/>
      <c r="C324" s="3"/>
      <c r="D324" s="3"/>
      <c r="E324" s="3"/>
      <c r="F324" s="3"/>
      <c r="G324" s="3"/>
      <c r="H324" s="3"/>
      <c r="I324" s="3"/>
      <c r="J324" s="3"/>
      <c r="K324" s="3"/>
      <c r="L324" s="3"/>
      <c r="M324" s="3"/>
      <c r="N324" s="3"/>
      <c r="O324" s="3"/>
      <c r="P324" s="3"/>
      <c r="Q324" s="3"/>
      <c r="R324" s="3"/>
    </row>
    <row r="325" spans="1:18" x14ac:dyDescent="0.3">
      <c r="A325" s="3"/>
      <c r="B325" s="3"/>
      <c r="C325" s="3"/>
      <c r="D325" s="3"/>
      <c r="E325" s="3"/>
      <c r="F325" s="3"/>
      <c r="G325" s="3"/>
      <c r="H325" s="3"/>
      <c r="I325" s="3"/>
      <c r="J325" s="3"/>
      <c r="K325" s="3"/>
      <c r="L325" s="3"/>
      <c r="M325" s="3"/>
      <c r="N325" s="3"/>
      <c r="O325" s="3"/>
      <c r="P325" s="3"/>
      <c r="Q325" s="3"/>
      <c r="R325" s="3"/>
    </row>
    <row r="326" spans="1:18" x14ac:dyDescent="0.3">
      <c r="A326" s="3"/>
      <c r="B326" s="3"/>
      <c r="C326" s="3"/>
      <c r="D326" s="3"/>
      <c r="E326" s="3"/>
      <c r="F326" s="3"/>
      <c r="G326" s="3"/>
      <c r="H326" s="3"/>
      <c r="I326" s="3"/>
      <c r="J326" s="3"/>
      <c r="K326" s="3"/>
      <c r="L326" s="3"/>
      <c r="M326" s="3"/>
      <c r="N326" s="3"/>
      <c r="O326" s="3"/>
      <c r="P326" s="3"/>
      <c r="Q326" s="3"/>
      <c r="R326" s="3"/>
    </row>
    <row r="327" spans="1:18" x14ac:dyDescent="0.3">
      <c r="A327" s="3"/>
      <c r="B327" s="3"/>
      <c r="C327" s="3"/>
      <c r="D327" s="3"/>
      <c r="E327" s="3"/>
      <c r="F327" s="3"/>
      <c r="G327" s="3"/>
      <c r="H327" s="3"/>
      <c r="I327" s="3"/>
      <c r="J327" s="3"/>
      <c r="K327" s="3"/>
      <c r="L327" s="3"/>
      <c r="M327" s="3"/>
      <c r="N327" s="3"/>
      <c r="O327" s="3"/>
      <c r="P327" s="3"/>
      <c r="Q327" s="3"/>
      <c r="R327" s="3"/>
    </row>
    <row r="328" spans="1:18" x14ac:dyDescent="0.3">
      <c r="A328" s="3"/>
      <c r="B328" s="3"/>
      <c r="C328" s="3"/>
      <c r="D328" s="3"/>
      <c r="E328" s="3"/>
      <c r="F328" s="3"/>
      <c r="G328" s="3"/>
      <c r="H328" s="3"/>
      <c r="I328" s="3"/>
      <c r="J328" s="3"/>
      <c r="K328" s="3"/>
      <c r="L328" s="3"/>
      <c r="M328" s="3"/>
      <c r="N328" s="3"/>
      <c r="O328" s="3"/>
      <c r="P328" s="3"/>
      <c r="Q328" s="3"/>
      <c r="R328" s="3"/>
    </row>
    <row r="329" spans="1:18" x14ac:dyDescent="0.3">
      <c r="A329" s="3"/>
      <c r="B329" s="3"/>
      <c r="C329" s="3"/>
      <c r="D329" s="3"/>
      <c r="E329" s="3"/>
      <c r="F329" s="3"/>
      <c r="G329" s="3"/>
      <c r="H329" s="3"/>
      <c r="I329" s="3"/>
      <c r="J329" s="3"/>
      <c r="K329" s="3"/>
      <c r="L329" s="3"/>
      <c r="M329" s="3"/>
      <c r="N329" s="3"/>
      <c r="O329" s="3"/>
      <c r="P329" s="3"/>
      <c r="Q329" s="3"/>
      <c r="R329" s="3"/>
    </row>
    <row r="330" spans="1:18" x14ac:dyDescent="0.3">
      <c r="A330" s="3"/>
      <c r="B330" s="3"/>
      <c r="C330" s="3"/>
      <c r="D330" s="3"/>
      <c r="E330" s="3"/>
      <c r="F330" s="3"/>
      <c r="G330" s="3"/>
      <c r="H330" s="3"/>
      <c r="I330" s="3"/>
      <c r="J330" s="3"/>
      <c r="K330" s="3"/>
      <c r="L330" s="3"/>
      <c r="M330" s="3"/>
      <c r="N330" s="3"/>
      <c r="O330" s="3"/>
      <c r="P330" s="3"/>
      <c r="Q330" s="3"/>
      <c r="R330" s="3"/>
    </row>
    <row r="331" spans="1:18" x14ac:dyDescent="0.3">
      <c r="A331" s="3"/>
      <c r="B331" s="3"/>
      <c r="C331" s="3"/>
      <c r="D331" s="3"/>
      <c r="E331" s="3"/>
      <c r="F331" s="3"/>
      <c r="G331" s="3"/>
      <c r="H331" s="3"/>
      <c r="I331" s="3"/>
      <c r="J331" s="3"/>
      <c r="K331" s="3"/>
      <c r="L331" s="3"/>
      <c r="M331" s="3"/>
      <c r="N331" s="3"/>
      <c r="O331" s="3"/>
      <c r="P331" s="3"/>
      <c r="Q331" s="3"/>
      <c r="R331" s="3"/>
    </row>
    <row r="332" spans="1:18" x14ac:dyDescent="0.3">
      <c r="A332" s="3"/>
      <c r="B332" s="3"/>
      <c r="C332" s="3"/>
      <c r="D332" s="3"/>
      <c r="E332" s="3"/>
      <c r="F332" s="3"/>
      <c r="G332" s="3"/>
      <c r="H332" s="3"/>
      <c r="I332" s="3"/>
      <c r="J332" s="3"/>
      <c r="K332" s="3"/>
      <c r="L332" s="3"/>
      <c r="M332" s="3"/>
      <c r="N332" s="3"/>
      <c r="O332" s="3"/>
      <c r="P332" s="3"/>
      <c r="Q332" s="3"/>
      <c r="R332" s="3"/>
    </row>
    <row r="333" spans="1:18" x14ac:dyDescent="0.3">
      <c r="A333" s="3"/>
      <c r="B333" s="3"/>
      <c r="C333" s="3"/>
      <c r="D333" s="3"/>
      <c r="E333" s="3"/>
      <c r="F333" s="3"/>
      <c r="G333" s="3"/>
      <c r="H333" s="3"/>
      <c r="I333" s="3"/>
      <c r="J333" s="3"/>
      <c r="K333" s="3"/>
      <c r="L333" s="3"/>
      <c r="M333" s="3"/>
      <c r="N333" s="3"/>
      <c r="O333" s="3"/>
      <c r="P333" s="3"/>
      <c r="Q333" s="3"/>
      <c r="R333" s="3"/>
    </row>
    <row r="334" spans="1:18" x14ac:dyDescent="0.3">
      <c r="A334" s="3"/>
      <c r="B334" s="3"/>
      <c r="C334" s="3"/>
      <c r="D334" s="3"/>
      <c r="E334" s="3"/>
      <c r="F334" s="3"/>
      <c r="G334" s="3"/>
      <c r="H334" s="3"/>
      <c r="I334" s="3"/>
      <c r="J334" s="3"/>
      <c r="K334" s="3"/>
      <c r="L334" s="3"/>
      <c r="M334" s="3"/>
      <c r="N334" s="3"/>
      <c r="O334" s="3"/>
      <c r="P334" s="3"/>
      <c r="Q334" s="3"/>
      <c r="R334" s="3"/>
    </row>
    <row r="335" spans="1:18" x14ac:dyDescent="0.3">
      <c r="A335" s="3"/>
      <c r="B335" s="3"/>
      <c r="C335" s="3"/>
      <c r="D335" s="3"/>
      <c r="E335" s="3"/>
      <c r="F335" s="3"/>
      <c r="G335" s="3"/>
      <c r="H335" s="3"/>
      <c r="I335" s="3"/>
      <c r="J335" s="3"/>
      <c r="K335" s="3"/>
      <c r="L335" s="3"/>
      <c r="M335" s="3"/>
      <c r="N335" s="3"/>
      <c r="O335" s="3"/>
      <c r="P335" s="3"/>
      <c r="Q335" s="3"/>
      <c r="R335" s="3"/>
    </row>
    <row r="336" spans="1:18" x14ac:dyDescent="0.3">
      <c r="A336" s="3"/>
      <c r="B336" s="3"/>
      <c r="C336" s="3"/>
      <c r="D336" s="3"/>
      <c r="E336" s="3"/>
      <c r="F336" s="3"/>
      <c r="G336" s="3"/>
      <c r="H336" s="3"/>
      <c r="I336" s="3"/>
      <c r="J336" s="3"/>
      <c r="K336" s="3"/>
      <c r="L336" s="3"/>
      <c r="M336" s="3"/>
      <c r="N336" s="3"/>
      <c r="O336" s="3"/>
      <c r="P336" s="3"/>
      <c r="Q336" s="3"/>
      <c r="R336" s="3"/>
    </row>
    <row r="337" spans="1:18" x14ac:dyDescent="0.3">
      <c r="A337" s="3"/>
      <c r="B337" s="3"/>
      <c r="C337" s="3"/>
      <c r="D337" s="3"/>
      <c r="E337" s="3"/>
      <c r="F337" s="3"/>
      <c r="G337" s="3"/>
      <c r="H337" s="3"/>
      <c r="I337" s="3"/>
      <c r="J337" s="3"/>
      <c r="K337" s="3"/>
      <c r="L337" s="3"/>
      <c r="M337" s="3"/>
      <c r="N337" s="3"/>
      <c r="O337" s="3"/>
      <c r="P337" s="3"/>
      <c r="Q337" s="3"/>
      <c r="R337" s="3"/>
    </row>
    <row r="338" spans="1:18" x14ac:dyDescent="0.3">
      <c r="A338" s="3"/>
      <c r="B338" s="3"/>
      <c r="C338" s="3"/>
      <c r="D338" s="3"/>
      <c r="E338" s="3"/>
      <c r="F338" s="3"/>
      <c r="G338" s="3"/>
      <c r="H338" s="3"/>
      <c r="I338" s="3"/>
      <c r="J338" s="3"/>
      <c r="K338" s="3"/>
      <c r="L338" s="3"/>
      <c r="M338" s="3"/>
      <c r="N338" s="3"/>
      <c r="O338" s="3"/>
      <c r="P338" s="3"/>
      <c r="Q338" s="3"/>
      <c r="R338" s="3"/>
    </row>
    <row r="339" spans="1:18" x14ac:dyDescent="0.3">
      <c r="A339" s="3"/>
      <c r="B339" s="3"/>
      <c r="C339" s="3"/>
      <c r="D339" s="3"/>
      <c r="E339" s="3"/>
      <c r="F339" s="3"/>
      <c r="G339" s="3"/>
      <c r="H339" s="3"/>
      <c r="I339" s="3"/>
      <c r="J339" s="3"/>
      <c r="K339" s="3"/>
      <c r="L339" s="3"/>
      <c r="M339" s="3"/>
      <c r="N339" s="3"/>
      <c r="O339" s="3"/>
      <c r="P339" s="3"/>
      <c r="Q339" s="3"/>
      <c r="R339" s="3"/>
    </row>
    <row r="340" spans="1:18" x14ac:dyDescent="0.3">
      <c r="A340" s="3"/>
      <c r="B340" s="3"/>
      <c r="C340" s="3"/>
      <c r="D340" s="3"/>
      <c r="E340" s="3"/>
      <c r="F340" s="3"/>
      <c r="G340" s="3"/>
      <c r="H340" s="3"/>
      <c r="I340" s="3"/>
      <c r="J340" s="3"/>
      <c r="K340" s="3"/>
      <c r="L340" s="3"/>
      <c r="M340" s="3"/>
      <c r="N340" s="3"/>
      <c r="O340" s="3"/>
      <c r="P340" s="3"/>
      <c r="Q340" s="3"/>
      <c r="R340" s="3"/>
    </row>
    <row r="341" spans="1:18" x14ac:dyDescent="0.3">
      <c r="A341" s="3"/>
      <c r="B341" s="3"/>
      <c r="C341" s="3"/>
      <c r="D341" s="3"/>
      <c r="E341" s="3"/>
      <c r="F341" s="3"/>
      <c r="G341" s="3"/>
      <c r="H341" s="3"/>
      <c r="I341" s="3"/>
      <c r="J341" s="3"/>
      <c r="K341" s="3"/>
      <c r="L341" s="3"/>
      <c r="M341" s="3"/>
      <c r="N341" s="3"/>
      <c r="O341" s="3"/>
      <c r="P341" s="3"/>
      <c r="Q341" s="3"/>
      <c r="R341" s="3"/>
    </row>
    <row r="342" spans="1:18" x14ac:dyDescent="0.3">
      <c r="A342" s="3"/>
      <c r="B342" s="3"/>
      <c r="C342" s="3"/>
      <c r="D342" s="3"/>
      <c r="E342" s="3"/>
      <c r="F342" s="3"/>
      <c r="G342" s="3"/>
      <c r="H342" s="3"/>
      <c r="I342" s="3"/>
      <c r="J342" s="3"/>
      <c r="K342" s="3"/>
      <c r="L342" s="3"/>
      <c r="M342" s="3"/>
      <c r="N342" s="3"/>
      <c r="O342" s="3"/>
      <c r="P342" s="3"/>
      <c r="Q342" s="3"/>
      <c r="R342" s="3"/>
    </row>
    <row r="343" spans="1:18" x14ac:dyDescent="0.3">
      <c r="A343" s="3"/>
      <c r="B343" s="3"/>
      <c r="C343" s="3"/>
      <c r="D343" s="3"/>
      <c r="E343" s="3"/>
      <c r="F343" s="3"/>
      <c r="G343" s="3"/>
      <c r="H343" s="3"/>
      <c r="I343" s="3"/>
      <c r="J343" s="3"/>
      <c r="K343" s="3"/>
      <c r="L343" s="3"/>
      <c r="M343" s="3"/>
      <c r="N343" s="3"/>
      <c r="O343" s="3"/>
      <c r="P343" s="3"/>
      <c r="Q343" s="3"/>
      <c r="R343" s="3"/>
    </row>
    <row r="344" spans="1:18" x14ac:dyDescent="0.3">
      <c r="A344" s="3"/>
      <c r="B344" s="3"/>
      <c r="C344" s="3"/>
      <c r="D344" s="3"/>
      <c r="E344" s="3"/>
      <c r="F344" s="3"/>
      <c r="G344" s="3"/>
      <c r="H344" s="3"/>
      <c r="I344" s="3"/>
      <c r="J344" s="3"/>
      <c r="K344" s="3"/>
      <c r="L344" s="3"/>
      <c r="M344" s="3"/>
      <c r="N344" s="3"/>
      <c r="O344" s="3"/>
      <c r="P344" s="3"/>
      <c r="Q344" s="3"/>
      <c r="R344" s="3"/>
    </row>
    <row r="345" spans="1:18" x14ac:dyDescent="0.3">
      <c r="A345" s="3"/>
      <c r="B345" s="3"/>
      <c r="C345" s="3"/>
      <c r="D345" s="3"/>
      <c r="E345" s="3"/>
      <c r="F345" s="3"/>
      <c r="G345" s="3"/>
      <c r="H345" s="3"/>
      <c r="I345" s="3"/>
      <c r="J345" s="3"/>
      <c r="K345" s="3"/>
      <c r="L345" s="3"/>
      <c r="M345" s="3"/>
      <c r="N345" s="3"/>
      <c r="O345" s="3"/>
      <c r="P345" s="3"/>
      <c r="Q345" s="3"/>
      <c r="R345" s="3"/>
    </row>
    <row r="346" spans="1:18" x14ac:dyDescent="0.3">
      <c r="A346" s="3"/>
      <c r="B346" s="3"/>
      <c r="C346" s="3"/>
      <c r="D346" s="3"/>
      <c r="E346" s="3"/>
      <c r="F346" s="3"/>
      <c r="G346" s="3"/>
      <c r="H346" s="3"/>
      <c r="I346" s="3"/>
      <c r="J346" s="3"/>
      <c r="K346" s="3"/>
      <c r="L346" s="3"/>
      <c r="M346" s="3"/>
      <c r="N346" s="3"/>
      <c r="O346" s="3"/>
      <c r="P346" s="3"/>
      <c r="Q346" s="3"/>
      <c r="R346" s="3"/>
    </row>
    <row r="347" spans="1:18" x14ac:dyDescent="0.3">
      <c r="A347" s="3"/>
      <c r="B347" s="3"/>
      <c r="C347" s="3"/>
      <c r="D347" s="3"/>
      <c r="E347" s="3"/>
      <c r="F347" s="3"/>
      <c r="G347" s="3"/>
      <c r="H347" s="3"/>
      <c r="I347" s="3"/>
      <c r="J347" s="3"/>
      <c r="K347" s="3"/>
      <c r="L347" s="3"/>
      <c r="M347" s="3"/>
      <c r="N347" s="3"/>
      <c r="O347" s="3"/>
      <c r="P347" s="3"/>
      <c r="Q347" s="3"/>
      <c r="R347" s="3"/>
    </row>
    <row r="348" spans="1:18" x14ac:dyDescent="0.3">
      <c r="A348" s="3"/>
      <c r="B348" s="3"/>
      <c r="C348" s="3"/>
      <c r="D348" s="3"/>
      <c r="E348" s="3"/>
      <c r="F348" s="3"/>
      <c r="G348" s="3"/>
      <c r="H348" s="3"/>
      <c r="I348" s="3"/>
      <c r="J348" s="3"/>
      <c r="K348" s="3"/>
      <c r="L348" s="3"/>
      <c r="M348" s="3"/>
      <c r="N348" s="3"/>
      <c r="O348" s="3"/>
      <c r="P348" s="3"/>
      <c r="Q348" s="3"/>
      <c r="R348" s="3"/>
    </row>
    <row r="349" spans="1:18" x14ac:dyDescent="0.3">
      <c r="A349" s="3"/>
      <c r="B349" s="3"/>
      <c r="C349" s="3"/>
      <c r="D349" s="3"/>
      <c r="E349" s="3"/>
      <c r="F349" s="3"/>
      <c r="G349" s="3"/>
      <c r="H349" s="3"/>
      <c r="I349" s="3"/>
      <c r="J349" s="3"/>
      <c r="K349" s="3"/>
      <c r="L349" s="3"/>
      <c r="M349" s="3"/>
      <c r="N349" s="3"/>
      <c r="O349" s="3"/>
      <c r="P349" s="3"/>
      <c r="Q349" s="3"/>
      <c r="R349" s="3"/>
    </row>
    <row r="350" spans="1:18" x14ac:dyDescent="0.3">
      <c r="A350" s="3"/>
      <c r="B350" s="3"/>
      <c r="C350" s="3"/>
      <c r="D350" s="3"/>
      <c r="E350" s="3"/>
      <c r="F350" s="3"/>
      <c r="G350" s="3"/>
      <c r="H350" s="3"/>
      <c r="I350" s="3"/>
      <c r="J350" s="3"/>
      <c r="K350" s="3"/>
      <c r="L350" s="3"/>
      <c r="M350" s="3"/>
      <c r="N350" s="3"/>
      <c r="O350" s="3"/>
      <c r="P350" s="3"/>
      <c r="Q350" s="3"/>
      <c r="R350" s="3"/>
    </row>
    <row r="351" spans="1:18" x14ac:dyDescent="0.3">
      <c r="A351" s="3"/>
      <c r="B351" s="3"/>
      <c r="C351" s="3"/>
      <c r="D351" s="3"/>
      <c r="E351" s="3"/>
      <c r="F351" s="3"/>
      <c r="G351" s="3"/>
      <c r="H351" s="3"/>
      <c r="I351" s="3"/>
      <c r="J351" s="3"/>
      <c r="K351" s="3"/>
      <c r="L351" s="3"/>
      <c r="M351" s="3"/>
      <c r="N351" s="3"/>
      <c r="O351" s="3"/>
      <c r="P351" s="3"/>
      <c r="Q351" s="3"/>
      <c r="R351" s="3"/>
    </row>
    <row r="352" spans="1:18" x14ac:dyDescent="0.3">
      <c r="A352" s="3"/>
      <c r="B352" s="3"/>
      <c r="C352" s="3"/>
      <c r="D352" s="3"/>
      <c r="E352" s="3"/>
      <c r="F352" s="3"/>
      <c r="G352" s="3"/>
      <c r="H352" s="3"/>
      <c r="I352" s="3"/>
      <c r="J352" s="3"/>
      <c r="K352" s="3"/>
      <c r="L352" s="3"/>
      <c r="M352" s="3"/>
      <c r="N352" s="3"/>
      <c r="O352" s="3"/>
      <c r="P352" s="3"/>
      <c r="Q352" s="3"/>
      <c r="R352" s="3"/>
    </row>
    <row r="353" spans="1:18" x14ac:dyDescent="0.3">
      <c r="A353" s="3"/>
      <c r="B353" s="3"/>
      <c r="C353" s="3"/>
      <c r="D353" s="3"/>
      <c r="E353" s="3"/>
      <c r="F353" s="3"/>
      <c r="G353" s="3"/>
      <c r="H353" s="3"/>
      <c r="I353" s="3"/>
      <c r="J353" s="3"/>
      <c r="K353" s="3"/>
      <c r="L353" s="3"/>
      <c r="M353" s="3"/>
      <c r="N353" s="3"/>
      <c r="O353" s="3"/>
      <c r="P353" s="3"/>
      <c r="Q353" s="3"/>
      <c r="R353" s="3"/>
    </row>
    <row r="354" spans="1:18" x14ac:dyDescent="0.3">
      <c r="A354" s="3"/>
      <c r="B354" s="3"/>
      <c r="C354" s="3"/>
      <c r="D354" s="3"/>
      <c r="E354" s="3"/>
      <c r="F354" s="3"/>
      <c r="G354" s="3"/>
      <c r="H354" s="3"/>
      <c r="I354" s="3"/>
      <c r="J354" s="3"/>
      <c r="K354" s="3"/>
      <c r="L354" s="3"/>
      <c r="M354" s="3"/>
      <c r="N354" s="3"/>
      <c r="O354" s="3"/>
      <c r="P354" s="3"/>
      <c r="Q354" s="3"/>
      <c r="R354" s="3"/>
    </row>
    <row r="355" spans="1:18" x14ac:dyDescent="0.3">
      <c r="A355" s="3"/>
      <c r="B355" s="3"/>
      <c r="C355" s="3"/>
      <c r="D355" s="3"/>
      <c r="E355" s="3"/>
      <c r="F355" s="3"/>
      <c r="G355" s="3"/>
      <c r="H355" s="3"/>
      <c r="I355" s="3"/>
      <c r="J355" s="3"/>
      <c r="K355" s="3"/>
      <c r="L355" s="3"/>
      <c r="M355" s="3"/>
      <c r="N355" s="3"/>
      <c r="O355" s="3"/>
      <c r="P355" s="3"/>
      <c r="Q355" s="3"/>
      <c r="R355" s="3"/>
    </row>
    <row r="356" spans="1:18" x14ac:dyDescent="0.3">
      <c r="A356" s="3"/>
      <c r="B356" s="3"/>
      <c r="C356" s="3"/>
      <c r="D356" s="3"/>
      <c r="E356" s="3"/>
      <c r="F356" s="3"/>
      <c r="G356" s="3"/>
      <c r="H356" s="3"/>
      <c r="I356" s="3"/>
      <c r="J356" s="3"/>
      <c r="K356" s="3"/>
      <c r="L356" s="3"/>
      <c r="M356" s="3"/>
      <c r="N356" s="3"/>
      <c r="O356" s="3"/>
      <c r="P356" s="3"/>
      <c r="Q356" s="3"/>
      <c r="R356" s="3"/>
    </row>
    <row r="357" spans="1:18" x14ac:dyDescent="0.3">
      <c r="A357" s="3"/>
      <c r="B357" s="3"/>
      <c r="C357" s="3"/>
      <c r="D357" s="3"/>
      <c r="E357" s="3"/>
      <c r="F357" s="3"/>
      <c r="G357" s="3"/>
      <c r="H357" s="3"/>
      <c r="I357" s="3"/>
      <c r="J357" s="3"/>
      <c r="K357" s="3"/>
      <c r="L357" s="3"/>
      <c r="M357" s="3"/>
      <c r="N357" s="3"/>
      <c r="O357" s="3"/>
      <c r="P357" s="3"/>
      <c r="Q357" s="3"/>
      <c r="R357" s="3"/>
    </row>
    <row r="358" spans="1:18" x14ac:dyDescent="0.3">
      <c r="A358" s="3"/>
      <c r="B358" s="3"/>
      <c r="C358" s="3"/>
      <c r="D358" s="3"/>
      <c r="E358" s="3"/>
      <c r="F358" s="3"/>
      <c r="G358" s="3"/>
      <c r="H358" s="3"/>
      <c r="I358" s="3"/>
      <c r="J358" s="3"/>
      <c r="K358" s="3"/>
      <c r="L358" s="3"/>
      <c r="M358" s="3"/>
      <c r="N358" s="3"/>
      <c r="O358" s="3"/>
      <c r="P358" s="3"/>
      <c r="Q358" s="3"/>
      <c r="R358" s="3"/>
    </row>
    <row r="359" spans="1:18" x14ac:dyDescent="0.3">
      <c r="A359" s="3"/>
      <c r="B359" s="3"/>
      <c r="C359" s="3"/>
      <c r="D359" s="3"/>
      <c r="E359" s="3"/>
      <c r="F359" s="3"/>
      <c r="G359" s="3"/>
      <c r="H359" s="3"/>
      <c r="I359" s="3"/>
      <c r="J359" s="3"/>
      <c r="K359" s="3"/>
      <c r="L359" s="3"/>
      <c r="M359" s="3"/>
      <c r="N359" s="3"/>
      <c r="O359" s="3"/>
      <c r="P359" s="3"/>
      <c r="Q359" s="3"/>
      <c r="R359" s="3"/>
    </row>
    <row r="360" spans="1:18" x14ac:dyDescent="0.3">
      <c r="A360" s="3"/>
      <c r="B360" s="3"/>
      <c r="C360" s="3"/>
      <c r="D360" s="3"/>
      <c r="E360" s="3"/>
      <c r="F360" s="3"/>
      <c r="G360" s="3"/>
      <c r="H360" s="3"/>
      <c r="I360" s="3"/>
      <c r="J360" s="3"/>
      <c r="K360" s="3"/>
      <c r="L360" s="3"/>
      <c r="M360" s="3"/>
      <c r="N360" s="3"/>
      <c r="O360" s="3"/>
      <c r="P360" s="3"/>
      <c r="Q360" s="3"/>
      <c r="R360" s="3"/>
    </row>
    <row r="361" spans="1:18" x14ac:dyDescent="0.3">
      <c r="A361" s="3"/>
      <c r="B361" s="3"/>
      <c r="C361" s="3"/>
      <c r="D361" s="3"/>
      <c r="E361" s="3"/>
      <c r="F361" s="3"/>
      <c r="G361" s="3"/>
      <c r="H361" s="3"/>
      <c r="I361" s="3"/>
      <c r="J361" s="3"/>
      <c r="K361" s="3"/>
      <c r="L361" s="3"/>
      <c r="M361" s="3"/>
      <c r="N361" s="3"/>
      <c r="O361" s="3"/>
      <c r="P361" s="3"/>
      <c r="Q361" s="3"/>
      <c r="R361" s="3"/>
    </row>
    <row r="362" spans="1:18" x14ac:dyDescent="0.3">
      <c r="A362" s="3"/>
      <c r="B362" s="3"/>
      <c r="C362" s="3"/>
      <c r="D362" s="3"/>
      <c r="E362" s="3"/>
      <c r="F362" s="3"/>
      <c r="G362" s="3"/>
      <c r="H362" s="3"/>
      <c r="I362" s="3"/>
      <c r="J362" s="3"/>
      <c r="K362" s="3"/>
      <c r="L362" s="3"/>
      <c r="M362" s="3"/>
      <c r="N362" s="3"/>
      <c r="O362" s="3"/>
      <c r="P362" s="3"/>
      <c r="Q362" s="3"/>
      <c r="R362" s="3"/>
    </row>
    <row r="363" spans="1:18" x14ac:dyDescent="0.3">
      <c r="A363" s="3"/>
      <c r="B363" s="3"/>
      <c r="C363" s="3"/>
      <c r="D363" s="3"/>
      <c r="E363" s="3"/>
      <c r="F363" s="3"/>
      <c r="G363" s="3"/>
      <c r="H363" s="3"/>
      <c r="I363" s="3"/>
      <c r="J363" s="3"/>
      <c r="K363" s="3"/>
      <c r="L363" s="3"/>
      <c r="M363" s="3"/>
      <c r="N363" s="3"/>
      <c r="O363" s="3"/>
      <c r="P363" s="3"/>
      <c r="Q363" s="3"/>
      <c r="R363" s="3"/>
    </row>
    <row r="364" spans="1:18" x14ac:dyDescent="0.3">
      <c r="A364" s="3"/>
      <c r="B364" s="3"/>
      <c r="C364" s="3"/>
      <c r="D364" s="3"/>
      <c r="E364" s="3"/>
      <c r="F364" s="3"/>
      <c r="G364" s="3"/>
      <c r="H364" s="3"/>
      <c r="I364" s="3"/>
      <c r="J364" s="3"/>
      <c r="K364" s="3"/>
      <c r="L364" s="3"/>
      <c r="M364" s="3"/>
      <c r="N364" s="3"/>
      <c r="O364" s="3"/>
      <c r="P364" s="3"/>
      <c r="Q364" s="3"/>
      <c r="R364" s="3"/>
    </row>
    <row r="365" spans="1:18" x14ac:dyDescent="0.3">
      <c r="A365" s="3"/>
      <c r="B365" s="3"/>
      <c r="C365" s="3"/>
      <c r="D365" s="3"/>
      <c r="E365" s="3"/>
      <c r="F365" s="3"/>
      <c r="G365" s="3"/>
      <c r="H365" s="3"/>
      <c r="I365" s="3"/>
      <c r="J365" s="3"/>
      <c r="K365" s="3"/>
      <c r="L365" s="3"/>
      <c r="M365" s="3"/>
      <c r="N365" s="3"/>
      <c r="O365" s="3"/>
      <c r="P365" s="3"/>
      <c r="Q365" s="3"/>
      <c r="R365" s="3"/>
    </row>
    <row r="366" spans="1:18" x14ac:dyDescent="0.3">
      <c r="A366" s="3"/>
      <c r="B366" s="3"/>
      <c r="C366" s="3"/>
      <c r="D366" s="3"/>
      <c r="E366" s="3"/>
      <c r="F366" s="3"/>
      <c r="G366" s="3"/>
      <c r="H366" s="3"/>
      <c r="I366" s="3"/>
      <c r="J366" s="3"/>
      <c r="K366" s="3"/>
      <c r="L366" s="3"/>
      <c r="M366" s="3"/>
      <c r="N366" s="3"/>
      <c r="O366" s="3"/>
      <c r="P366" s="3"/>
      <c r="Q366" s="3"/>
      <c r="R366" s="3"/>
    </row>
    <row r="367" spans="1:18" x14ac:dyDescent="0.3">
      <c r="A367" s="3"/>
      <c r="B367" s="3"/>
      <c r="C367" s="3"/>
      <c r="D367" s="3"/>
      <c r="E367" s="3"/>
      <c r="F367" s="3"/>
      <c r="G367" s="3"/>
      <c r="H367" s="3"/>
      <c r="I367" s="3"/>
      <c r="J367" s="3"/>
      <c r="K367" s="3"/>
      <c r="L367" s="3"/>
      <c r="M367" s="3"/>
      <c r="N367" s="3"/>
      <c r="O367" s="3"/>
      <c r="P367" s="3"/>
      <c r="Q367" s="3"/>
      <c r="R367" s="3"/>
    </row>
    <row r="368" spans="1:18" x14ac:dyDescent="0.3">
      <c r="A368" s="3"/>
      <c r="B368" s="3"/>
      <c r="C368" s="3"/>
      <c r="D368" s="3"/>
      <c r="E368" s="3"/>
      <c r="F368" s="3"/>
      <c r="G368" s="3"/>
      <c r="H368" s="3"/>
      <c r="I368" s="3"/>
      <c r="J368" s="3"/>
      <c r="K368" s="3"/>
      <c r="L368" s="3"/>
      <c r="M368" s="3"/>
      <c r="N368" s="3"/>
      <c r="O368" s="3"/>
      <c r="P368" s="3"/>
      <c r="Q368" s="3"/>
      <c r="R368" s="3"/>
    </row>
    <row r="369" spans="1:18" x14ac:dyDescent="0.3">
      <c r="A369" s="3"/>
      <c r="B369" s="3"/>
      <c r="C369" s="3"/>
      <c r="D369" s="3"/>
      <c r="E369" s="3"/>
      <c r="F369" s="3"/>
      <c r="G369" s="3"/>
      <c r="H369" s="3"/>
      <c r="I369" s="3"/>
      <c r="J369" s="3"/>
      <c r="K369" s="3"/>
      <c r="L369" s="3"/>
      <c r="M369" s="3"/>
      <c r="N369" s="3"/>
      <c r="O369" s="3"/>
      <c r="P369" s="3"/>
      <c r="Q369" s="3"/>
      <c r="R369" s="3"/>
    </row>
    <row r="370" spans="1:18" x14ac:dyDescent="0.3">
      <c r="A370" s="3"/>
      <c r="B370" s="3"/>
      <c r="C370" s="3"/>
      <c r="D370" s="3"/>
      <c r="E370" s="3"/>
      <c r="F370" s="3"/>
      <c r="G370" s="3"/>
      <c r="H370" s="3"/>
      <c r="I370" s="3"/>
      <c r="J370" s="3"/>
      <c r="K370" s="3"/>
      <c r="L370" s="3"/>
      <c r="M370" s="3"/>
      <c r="N370" s="3"/>
      <c r="O370" s="3"/>
      <c r="P370" s="3"/>
      <c r="Q370" s="3"/>
      <c r="R370" s="3"/>
    </row>
    <row r="371" spans="1:18" x14ac:dyDescent="0.3">
      <c r="A371" s="3"/>
      <c r="B371" s="3"/>
      <c r="C371" s="3"/>
      <c r="D371" s="3"/>
      <c r="E371" s="3"/>
      <c r="F371" s="3"/>
      <c r="G371" s="3"/>
      <c r="H371" s="3"/>
      <c r="I371" s="3"/>
      <c r="J371" s="3"/>
      <c r="K371" s="3"/>
      <c r="L371" s="3"/>
      <c r="M371" s="3"/>
      <c r="N371" s="3"/>
      <c r="O371" s="3"/>
      <c r="P371" s="3"/>
      <c r="Q371" s="3"/>
      <c r="R371" s="3"/>
    </row>
    <row r="372" spans="1:18" x14ac:dyDescent="0.3">
      <c r="A372" s="3"/>
      <c r="B372" s="3"/>
      <c r="C372" s="3"/>
      <c r="D372" s="3"/>
      <c r="E372" s="3"/>
      <c r="F372" s="3"/>
      <c r="G372" s="3"/>
      <c r="H372" s="3"/>
      <c r="I372" s="3"/>
      <c r="J372" s="3"/>
      <c r="K372" s="3"/>
      <c r="L372" s="3"/>
      <c r="M372" s="3"/>
      <c r="N372" s="3"/>
      <c r="O372" s="3"/>
      <c r="P372" s="3"/>
      <c r="Q372" s="3"/>
      <c r="R372" s="3"/>
    </row>
    <row r="373" spans="1:18" x14ac:dyDescent="0.3">
      <c r="A373" s="3"/>
      <c r="B373" s="3"/>
      <c r="C373" s="3"/>
      <c r="D373" s="3"/>
      <c r="E373" s="3"/>
      <c r="F373" s="3"/>
      <c r="G373" s="3"/>
      <c r="H373" s="3"/>
      <c r="I373" s="3"/>
      <c r="J373" s="3"/>
      <c r="K373" s="3"/>
      <c r="L373" s="3"/>
      <c r="M373" s="3"/>
      <c r="N373" s="3"/>
      <c r="O373" s="3"/>
      <c r="P373" s="3"/>
      <c r="Q373" s="3"/>
      <c r="R373" s="3"/>
    </row>
    <row r="374" spans="1:18" x14ac:dyDescent="0.3">
      <c r="A374" s="3"/>
      <c r="B374" s="3"/>
      <c r="C374" s="3"/>
      <c r="D374" s="3"/>
      <c r="E374" s="3"/>
      <c r="F374" s="3"/>
      <c r="G374" s="3"/>
      <c r="H374" s="3"/>
      <c r="I374" s="3"/>
      <c r="J374" s="3"/>
      <c r="K374" s="3"/>
      <c r="L374" s="3"/>
      <c r="M374" s="3"/>
      <c r="N374" s="3"/>
      <c r="O374" s="3"/>
      <c r="P374" s="3"/>
      <c r="Q374" s="3"/>
      <c r="R374" s="3"/>
    </row>
    <row r="375" spans="1:18" x14ac:dyDescent="0.3">
      <c r="A375" s="3"/>
      <c r="B375" s="3"/>
      <c r="C375" s="3"/>
      <c r="D375" s="3"/>
      <c r="E375" s="3"/>
      <c r="F375" s="3"/>
      <c r="G375" s="3"/>
      <c r="H375" s="3"/>
      <c r="I375" s="3"/>
      <c r="J375" s="3"/>
      <c r="K375" s="3"/>
      <c r="L375" s="3"/>
      <c r="M375" s="3"/>
      <c r="N375" s="3"/>
      <c r="O375" s="3"/>
      <c r="P375" s="3"/>
      <c r="Q375" s="3"/>
      <c r="R375" s="3"/>
    </row>
    <row r="376" spans="1:18" x14ac:dyDescent="0.3">
      <c r="A376" s="3"/>
      <c r="B376" s="3"/>
      <c r="C376" s="3"/>
      <c r="D376" s="3"/>
      <c r="E376" s="3"/>
      <c r="F376" s="3"/>
      <c r="G376" s="3"/>
      <c r="H376" s="3"/>
      <c r="I376" s="3"/>
      <c r="J376" s="3"/>
      <c r="K376" s="3"/>
      <c r="L376" s="3"/>
      <c r="M376" s="3"/>
      <c r="N376" s="3"/>
      <c r="O376" s="3"/>
      <c r="P376" s="3"/>
      <c r="Q376" s="3"/>
      <c r="R376" s="3"/>
    </row>
    <row r="377" spans="1:18" x14ac:dyDescent="0.3">
      <c r="A377" s="3"/>
      <c r="B377" s="3"/>
      <c r="C377" s="3"/>
      <c r="D377" s="3"/>
      <c r="E377" s="3"/>
      <c r="F377" s="3"/>
      <c r="G377" s="3"/>
      <c r="H377" s="3"/>
      <c r="I377" s="3"/>
      <c r="J377" s="3"/>
      <c r="K377" s="3"/>
      <c r="L377" s="3"/>
      <c r="M377" s="3"/>
      <c r="N377" s="3"/>
      <c r="O377" s="3"/>
      <c r="P377" s="3"/>
      <c r="Q377" s="3"/>
      <c r="R377" s="3"/>
    </row>
    <row r="378" spans="1:18" x14ac:dyDescent="0.3">
      <c r="A378" s="3"/>
      <c r="B378" s="3"/>
      <c r="C378" s="3"/>
      <c r="D378" s="3"/>
      <c r="E378" s="3"/>
      <c r="F378" s="3"/>
      <c r="G378" s="3"/>
      <c r="H378" s="3"/>
      <c r="I378" s="3"/>
      <c r="J378" s="3"/>
      <c r="K378" s="3"/>
      <c r="L378" s="3"/>
      <c r="M378" s="3"/>
      <c r="N378" s="3"/>
      <c r="O378" s="3"/>
      <c r="P378" s="3"/>
      <c r="Q378" s="3"/>
      <c r="R378" s="3"/>
    </row>
    <row r="379" spans="1:18" x14ac:dyDescent="0.3">
      <c r="A379" s="3"/>
      <c r="B379" s="3"/>
      <c r="C379" s="3"/>
      <c r="D379" s="3"/>
      <c r="E379" s="3"/>
      <c r="F379" s="3"/>
      <c r="G379" s="3"/>
      <c r="H379" s="3"/>
      <c r="I379" s="3"/>
      <c r="J379" s="3"/>
      <c r="K379" s="3"/>
      <c r="L379" s="3"/>
      <c r="M379" s="3"/>
      <c r="N379" s="3"/>
      <c r="O379" s="3"/>
      <c r="P379" s="3"/>
      <c r="Q379" s="3"/>
      <c r="R379" s="3"/>
    </row>
    <row r="380" spans="1:18" x14ac:dyDescent="0.3">
      <c r="A380" s="3"/>
      <c r="B380" s="3"/>
      <c r="C380" s="3"/>
      <c r="D380" s="3"/>
      <c r="E380" s="3"/>
      <c r="F380" s="3"/>
      <c r="G380" s="3"/>
      <c r="H380" s="3"/>
      <c r="I380" s="3"/>
      <c r="J380" s="3"/>
      <c r="K380" s="3"/>
      <c r="L380" s="3"/>
      <c r="M380" s="3"/>
      <c r="N380" s="3"/>
      <c r="O380" s="3"/>
      <c r="P380" s="3"/>
      <c r="Q380" s="3"/>
      <c r="R380" s="3"/>
    </row>
    <row r="381" spans="1:18" x14ac:dyDescent="0.3">
      <c r="A381" s="3"/>
      <c r="B381" s="3"/>
      <c r="C381" s="3"/>
      <c r="D381" s="3"/>
      <c r="E381" s="3"/>
      <c r="F381" s="3"/>
      <c r="G381" s="3"/>
      <c r="H381" s="3"/>
      <c r="I381" s="3"/>
      <c r="J381" s="3"/>
      <c r="K381" s="3"/>
      <c r="L381" s="3"/>
      <c r="M381" s="3"/>
      <c r="N381" s="3"/>
      <c r="O381" s="3"/>
      <c r="P381" s="3"/>
      <c r="Q381" s="3"/>
      <c r="R381" s="3"/>
    </row>
    <row r="382" spans="1:18" x14ac:dyDescent="0.3">
      <c r="A382" s="3"/>
      <c r="B382" s="3"/>
      <c r="C382" s="3"/>
      <c r="D382" s="3"/>
      <c r="E382" s="3"/>
      <c r="F382" s="3"/>
      <c r="G382" s="3"/>
      <c r="H382" s="3"/>
      <c r="I382" s="3"/>
      <c r="J382" s="3"/>
      <c r="K382" s="3"/>
      <c r="L382" s="3"/>
      <c r="M382" s="3"/>
      <c r="N382" s="3"/>
      <c r="O382" s="3"/>
      <c r="P382" s="3"/>
      <c r="Q382" s="3"/>
      <c r="R382" s="3"/>
    </row>
    <row r="383" spans="1:18" x14ac:dyDescent="0.3">
      <c r="A383" s="3"/>
      <c r="B383" s="3"/>
      <c r="C383" s="3"/>
      <c r="D383" s="3"/>
      <c r="E383" s="3"/>
      <c r="F383" s="3"/>
      <c r="G383" s="3"/>
      <c r="H383" s="3"/>
      <c r="I383" s="3"/>
      <c r="J383" s="3"/>
      <c r="K383" s="3"/>
      <c r="L383" s="3"/>
      <c r="M383" s="3"/>
      <c r="N383" s="3"/>
      <c r="O383" s="3"/>
      <c r="P383" s="3"/>
      <c r="Q383" s="3"/>
      <c r="R383" s="3"/>
    </row>
    <row r="384" spans="1:18" x14ac:dyDescent="0.3">
      <c r="A384" s="3"/>
      <c r="B384" s="3"/>
      <c r="C384" s="3"/>
      <c r="D384" s="3"/>
      <c r="E384" s="3"/>
      <c r="F384" s="3"/>
      <c r="G384" s="3"/>
      <c r="H384" s="3"/>
      <c r="I384" s="3"/>
      <c r="J384" s="3"/>
      <c r="K384" s="3"/>
      <c r="L384" s="3"/>
      <c r="M384" s="3"/>
      <c r="N384" s="3"/>
      <c r="O384" s="3"/>
      <c r="P384" s="3"/>
      <c r="Q384" s="3"/>
      <c r="R384" s="3"/>
    </row>
    <row r="385" spans="1:18" x14ac:dyDescent="0.3">
      <c r="A385" s="3"/>
      <c r="B385" s="3"/>
      <c r="C385" s="3"/>
      <c r="D385" s="3"/>
      <c r="E385" s="3"/>
      <c r="F385" s="3"/>
      <c r="G385" s="3"/>
      <c r="H385" s="3"/>
      <c r="I385" s="3"/>
      <c r="J385" s="3"/>
      <c r="K385" s="3"/>
      <c r="L385" s="3"/>
      <c r="M385" s="3"/>
      <c r="N385" s="3"/>
      <c r="O385" s="3"/>
      <c r="P385" s="3"/>
      <c r="Q385" s="3"/>
      <c r="R385" s="3"/>
    </row>
    <row r="386" spans="1:18" x14ac:dyDescent="0.3">
      <c r="A386" s="3"/>
      <c r="B386" s="3"/>
      <c r="C386" s="3"/>
      <c r="D386" s="3"/>
      <c r="E386" s="3"/>
      <c r="F386" s="3"/>
      <c r="G386" s="3"/>
      <c r="H386" s="3"/>
      <c r="I386" s="3"/>
      <c r="J386" s="3"/>
      <c r="K386" s="3"/>
      <c r="L386" s="3"/>
      <c r="M386" s="3"/>
      <c r="N386" s="3"/>
      <c r="O386" s="3"/>
      <c r="P386" s="3"/>
      <c r="Q386" s="3"/>
      <c r="R386" s="3"/>
    </row>
    <row r="387" spans="1:18" x14ac:dyDescent="0.3">
      <c r="A387" s="3"/>
      <c r="B387" s="3"/>
      <c r="C387" s="3"/>
      <c r="D387" s="3"/>
      <c r="E387" s="3"/>
      <c r="F387" s="3"/>
      <c r="G387" s="3"/>
      <c r="H387" s="3"/>
      <c r="I387" s="3"/>
      <c r="J387" s="3"/>
      <c r="K387" s="3"/>
      <c r="L387" s="3"/>
      <c r="M387" s="3"/>
      <c r="N387" s="3"/>
      <c r="O387" s="3"/>
      <c r="P387" s="3"/>
      <c r="Q387" s="3"/>
      <c r="R387" s="3"/>
    </row>
    <row r="388" spans="1:18" x14ac:dyDescent="0.3">
      <c r="A388" s="3"/>
      <c r="B388" s="3"/>
      <c r="C388" s="3"/>
      <c r="D388" s="3"/>
      <c r="E388" s="3"/>
      <c r="F388" s="3"/>
      <c r="G388" s="3"/>
      <c r="H388" s="3"/>
      <c r="I388" s="3"/>
      <c r="J388" s="3"/>
      <c r="K388" s="3"/>
      <c r="L388" s="3"/>
      <c r="M388" s="3"/>
      <c r="N388" s="3"/>
      <c r="O388" s="3"/>
      <c r="P388" s="3"/>
      <c r="Q388" s="3"/>
      <c r="R388" s="3"/>
    </row>
    <row r="389" spans="1:18" x14ac:dyDescent="0.3">
      <c r="A389" s="3"/>
      <c r="B389" s="3"/>
      <c r="C389" s="3"/>
      <c r="D389" s="3"/>
      <c r="E389" s="3"/>
      <c r="F389" s="3"/>
      <c r="G389" s="3"/>
      <c r="H389" s="3"/>
      <c r="I389" s="3"/>
      <c r="J389" s="3"/>
      <c r="K389" s="3"/>
      <c r="L389" s="3"/>
      <c r="M389" s="3"/>
      <c r="N389" s="3"/>
      <c r="O389" s="3"/>
      <c r="P389" s="3"/>
      <c r="Q389" s="3"/>
      <c r="R389" s="3"/>
    </row>
    <row r="390" spans="1:18" x14ac:dyDescent="0.3">
      <c r="A390" s="3"/>
      <c r="B390" s="3"/>
      <c r="C390" s="3"/>
      <c r="D390" s="3"/>
      <c r="E390" s="3"/>
      <c r="F390" s="3"/>
      <c r="G390" s="3"/>
      <c r="H390" s="3"/>
      <c r="I390" s="3"/>
      <c r="J390" s="3"/>
      <c r="K390" s="3"/>
      <c r="L390" s="3"/>
      <c r="M390" s="3"/>
      <c r="N390" s="3"/>
      <c r="O390" s="3"/>
      <c r="P390" s="3"/>
      <c r="Q390" s="3"/>
      <c r="R390" s="3"/>
    </row>
    <row r="391" spans="1:18" x14ac:dyDescent="0.3">
      <c r="A391" s="3"/>
      <c r="B391" s="3"/>
      <c r="C391" s="3"/>
      <c r="D391" s="3"/>
      <c r="E391" s="3"/>
      <c r="F391" s="3"/>
      <c r="G391" s="3"/>
      <c r="H391" s="3"/>
      <c r="I391" s="3"/>
      <c r="J391" s="3"/>
      <c r="K391" s="3"/>
      <c r="L391" s="3"/>
      <c r="M391" s="3"/>
      <c r="N391" s="3"/>
      <c r="O391" s="3"/>
      <c r="P391" s="3"/>
      <c r="Q391" s="3"/>
      <c r="R391" s="3"/>
    </row>
    <row r="392" spans="1:18" x14ac:dyDescent="0.3">
      <c r="A392" s="3"/>
      <c r="B392" s="3"/>
      <c r="C392" s="3"/>
      <c r="D392" s="3"/>
      <c r="E392" s="3"/>
      <c r="F392" s="3"/>
      <c r="G392" s="3"/>
      <c r="H392" s="3"/>
      <c r="I392" s="3"/>
      <c r="J392" s="3"/>
      <c r="K392" s="3"/>
      <c r="L392" s="3"/>
      <c r="M392" s="3"/>
      <c r="N392" s="3"/>
      <c r="O392" s="3"/>
      <c r="P392" s="3"/>
      <c r="Q392" s="3"/>
      <c r="R392" s="3"/>
    </row>
    <row r="393" spans="1:18" x14ac:dyDescent="0.3">
      <c r="A393" s="3"/>
      <c r="B393" s="3"/>
      <c r="C393" s="3"/>
      <c r="D393" s="3"/>
      <c r="E393" s="3"/>
      <c r="F393" s="3"/>
      <c r="G393" s="3"/>
      <c r="H393" s="3"/>
      <c r="I393" s="3"/>
      <c r="J393" s="3"/>
      <c r="K393" s="3"/>
      <c r="L393" s="3"/>
      <c r="M393" s="3"/>
      <c r="N393" s="3"/>
      <c r="O393" s="3"/>
      <c r="P393" s="3"/>
      <c r="Q393" s="3"/>
      <c r="R393" s="3"/>
    </row>
    <row r="394" spans="1:18" x14ac:dyDescent="0.3">
      <c r="A394" s="3"/>
      <c r="B394" s="3"/>
      <c r="C394" s="3"/>
      <c r="D394" s="3"/>
      <c r="E394" s="3"/>
      <c r="F394" s="3"/>
      <c r="G394" s="3"/>
      <c r="H394" s="3"/>
      <c r="I394" s="3"/>
      <c r="J394" s="3"/>
      <c r="K394" s="3"/>
      <c r="L394" s="3"/>
      <c r="M394" s="3"/>
      <c r="N394" s="3"/>
      <c r="O394" s="3"/>
      <c r="P394" s="3"/>
      <c r="Q394" s="3"/>
      <c r="R394" s="3"/>
    </row>
    <row r="395" spans="1:18" x14ac:dyDescent="0.3">
      <c r="A395" s="3"/>
      <c r="B395" s="3"/>
      <c r="C395" s="3"/>
      <c r="D395" s="3"/>
      <c r="E395" s="3"/>
      <c r="F395" s="3"/>
      <c r="G395" s="3"/>
      <c r="H395" s="3"/>
      <c r="I395" s="3"/>
      <c r="J395" s="3"/>
      <c r="K395" s="3"/>
      <c r="L395" s="3"/>
      <c r="M395" s="3"/>
      <c r="N395" s="3"/>
      <c r="O395" s="3"/>
      <c r="P395" s="3"/>
      <c r="Q395" s="3"/>
      <c r="R395" s="3"/>
    </row>
    <row r="396" spans="1:18" x14ac:dyDescent="0.3">
      <c r="A396" s="3"/>
      <c r="B396" s="3"/>
      <c r="C396" s="3"/>
      <c r="D396" s="3"/>
      <c r="E396" s="3"/>
      <c r="F396" s="3"/>
      <c r="G396" s="3"/>
      <c r="H396" s="3"/>
      <c r="I396" s="3"/>
      <c r="J396" s="3"/>
      <c r="K396" s="3"/>
      <c r="L396" s="3"/>
      <c r="M396" s="3"/>
      <c r="N396" s="3"/>
      <c r="O396" s="3"/>
      <c r="P396" s="3"/>
      <c r="Q396" s="3"/>
      <c r="R396" s="3"/>
    </row>
    <row r="397" spans="1:18" x14ac:dyDescent="0.3">
      <c r="A397" s="3"/>
      <c r="B397" s="3"/>
      <c r="C397" s="3"/>
      <c r="D397" s="3"/>
      <c r="E397" s="3"/>
      <c r="F397" s="3"/>
      <c r="G397" s="3"/>
      <c r="H397" s="3"/>
      <c r="I397" s="3"/>
      <c r="J397" s="3"/>
      <c r="K397" s="3"/>
      <c r="L397" s="3"/>
      <c r="M397" s="3"/>
      <c r="N397" s="3"/>
      <c r="O397" s="3"/>
      <c r="P397" s="3"/>
      <c r="Q397" s="3"/>
      <c r="R397" s="3"/>
    </row>
    <row r="398" spans="1:18" x14ac:dyDescent="0.3">
      <c r="A398" s="3"/>
      <c r="B398" s="3"/>
      <c r="C398" s="3"/>
      <c r="D398" s="3"/>
      <c r="E398" s="3"/>
      <c r="F398" s="3"/>
      <c r="G398" s="3"/>
      <c r="H398" s="3"/>
      <c r="I398" s="3"/>
      <c r="J398" s="3"/>
      <c r="K398" s="3"/>
      <c r="L398" s="3"/>
      <c r="M398" s="3"/>
      <c r="N398" s="3"/>
      <c r="O398" s="3"/>
      <c r="P398" s="3"/>
      <c r="Q398" s="3"/>
      <c r="R398" s="3"/>
    </row>
    <row r="399" spans="1:18" x14ac:dyDescent="0.3">
      <c r="A399" s="3"/>
      <c r="B399" s="3"/>
      <c r="C399" s="3"/>
      <c r="D399" s="3"/>
      <c r="E399" s="3"/>
      <c r="F399" s="3"/>
      <c r="G399" s="3"/>
      <c r="H399" s="3"/>
      <c r="I399" s="3"/>
      <c r="J399" s="3"/>
      <c r="K399" s="3"/>
      <c r="L399" s="3"/>
      <c r="M399" s="3"/>
      <c r="N399" s="3"/>
      <c r="O399" s="3"/>
      <c r="P399" s="3"/>
      <c r="Q399" s="3"/>
      <c r="R399" s="3"/>
    </row>
    <row r="400" spans="1:18" x14ac:dyDescent="0.3">
      <c r="A400" s="3"/>
      <c r="B400" s="3"/>
      <c r="C400" s="3"/>
      <c r="D400" s="3"/>
      <c r="E400" s="3"/>
      <c r="F400" s="3"/>
      <c r="G400" s="3"/>
      <c r="H400" s="3"/>
      <c r="I400" s="3"/>
      <c r="J400" s="3"/>
      <c r="K400" s="3"/>
      <c r="L400" s="3"/>
      <c r="M400" s="3"/>
      <c r="N400" s="3"/>
      <c r="O400" s="3"/>
      <c r="P400" s="3"/>
      <c r="Q400" s="3"/>
      <c r="R400" s="3"/>
    </row>
    <row r="401" spans="1:18" x14ac:dyDescent="0.3">
      <c r="A401" s="3"/>
      <c r="B401" s="3"/>
      <c r="C401" s="3"/>
      <c r="D401" s="3"/>
      <c r="E401" s="3"/>
      <c r="F401" s="3"/>
      <c r="G401" s="3"/>
      <c r="H401" s="3"/>
      <c r="I401" s="3"/>
      <c r="J401" s="3"/>
      <c r="K401" s="3"/>
      <c r="L401" s="3"/>
      <c r="M401" s="3"/>
      <c r="N401" s="3"/>
      <c r="O401" s="3"/>
      <c r="P401" s="3"/>
      <c r="Q401" s="3"/>
      <c r="R401" s="3"/>
    </row>
    <row r="402" spans="1:18" x14ac:dyDescent="0.3">
      <c r="A402" s="3"/>
      <c r="B402" s="3"/>
      <c r="C402" s="3"/>
      <c r="D402" s="3"/>
      <c r="E402" s="3"/>
      <c r="F402" s="3"/>
      <c r="G402" s="3"/>
      <c r="H402" s="3"/>
      <c r="I402" s="3"/>
      <c r="J402" s="3"/>
      <c r="K402" s="3"/>
      <c r="L402" s="3"/>
      <c r="M402" s="3"/>
      <c r="N402" s="3"/>
      <c r="O402" s="3"/>
      <c r="P402" s="3"/>
      <c r="Q402" s="3"/>
      <c r="R402" s="3"/>
    </row>
    <row r="403" spans="1:18" x14ac:dyDescent="0.3">
      <c r="A403" s="3"/>
      <c r="B403" s="3"/>
      <c r="C403" s="3"/>
      <c r="D403" s="3"/>
      <c r="E403" s="3"/>
      <c r="F403" s="3"/>
      <c r="G403" s="3"/>
      <c r="H403" s="3"/>
      <c r="I403" s="3"/>
      <c r="J403" s="3"/>
      <c r="K403" s="3"/>
      <c r="L403" s="3"/>
      <c r="M403" s="3"/>
      <c r="N403" s="3"/>
      <c r="O403" s="3"/>
      <c r="P403" s="3"/>
      <c r="Q403" s="3"/>
      <c r="R403" s="3"/>
    </row>
    <row r="404" spans="1:18" x14ac:dyDescent="0.3">
      <c r="A404" s="3"/>
      <c r="B404" s="3"/>
      <c r="C404" s="3"/>
      <c r="D404" s="3"/>
      <c r="E404" s="3"/>
      <c r="F404" s="3"/>
      <c r="G404" s="3"/>
      <c r="H404" s="3"/>
      <c r="I404" s="3"/>
      <c r="J404" s="3"/>
      <c r="K404" s="3"/>
      <c r="L404" s="3"/>
      <c r="M404" s="3"/>
      <c r="N404" s="3"/>
      <c r="O404" s="3"/>
      <c r="P404" s="3"/>
      <c r="Q404" s="3"/>
      <c r="R404" s="3"/>
    </row>
    <row r="405" spans="1:18" x14ac:dyDescent="0.3">
      <c r="A405" s="3"/>
      <c r="B405" s="3"/>
      <c r="C405" s="3"/>
      <c r="D405" s="3"/>
      <c r="E405" s="3"/>
      <c r="F405" s="3"/>
      <c r="G405" s="3"/>
      <c r="H405" s="3"/>
      <c r="I405" s="3"/>
      <c r="J405" s="3"/>
      <c r="K405" s="3"/>
      <c r="L405" s="3"/>
      <c r="M405" s="3"/>
      <c r="N405" s="3"/>
      <c r="O405" s="3"/>
      <c r="P405" s="3"/>
      <c r="Q405" s="3"/>
      <c r="R405" s="3"/>
    </row>
    <row r="406" spans="1:18" x14ac:dyDescent="0.3">
      <c r="A406" s="3"/>
      <c r="B406" s="3"/>
      <c r="C406" s="3"/>
      <c r="D406" s="3"/>
      <c r="E406" s="3"/>
      <c r="F406" s="3"/>
      <c r="G406" s="3"/>
      <c r="H406" s="3"/>
      <c r="I406" s="3"/>
      <c r="J406" s="3"/>
      <c r="K406" s="3"/>
      <c r="L406" s="3"/>
      <c r="M406" s="3"/>
      <c r="N406" s="3"/>
      <c r="O406" s="3"/>
      <c r="P406" s="3"/>
      <c r="Q406" s="3"/>
      <c r="R406" s="3"/>
    </row>
    <row r="407" spans="1:18" x14ac:dyDescent="0.3">
      <c r="A407" s="3"/>
      <c r="B407" s="3"/>
      <c r="C407" s="3"/>
      <c r="D407" s="3"/>
      <c r="E407" s="3"/>
      <c r="F407" s="3"/>
      <c r="G407" s="3"/>
      <c r="H407" s="3"/>
      <c r="I407" s="3"/>
      <c r="J407" s="3"/>
      <c r="K407" s="3"/>
      <c r="L407" s="3"/>
      <c r="M407" s="3"/>
      <c r="N407" s="3"/>
      <c r="O407" s="3"/>
      <c r="P407" s="3"/>
      <c r="Q407" s="3"/>
      <c r="R407" s="3"/>
    </row>
    <row r="408" spans="1:18" x14ac:dyDescent="0.3">
      <c r="A408" s="3"/>
      <c r="B408" s="3"/>
      <c r="C408" s="3"/>
      <c r="D408" s="3"/>
      <c r="E408" s="3"/>
      <c r="F408" s="3"/>
      <c r="G408" s="3"/>
      <c r="H408" s="3"/>
      <c r="I408" s="3"/>
      <c r="J408" s="3"/>
      <c r="K408" s="3"/>
      <c r="L408" s="3"/>
      <c r="M408" s="3"/>
      <c r="N408" s="3"/>
      <c r="O408" s="3"/>
      <c r="P408" s="3"/>
      <c r="Q408" s="3"/>
      <c r="R408" s="3"/>
    </row>
    <row r="409" spans="1:18" x14ac:dyDescent="0.3">
      <c r="A409" s="3"/>
      <c r="B409" s="3"/>
      <c r="C409" s="3"/>
      <c r="D409" s="3"/>
      <c r="E409" s="3"/>
      <c r="F409" s="3"/>
      <c r="G409" s="3"/>
      <c r="H409" s="3"/>
      <c r="I409" s="3"/>
      <c r="J409" s="3"/>
      <c r="K409" s="3"/>
      <c r="L409" s="3"/>
      <c r="M409" s="3"/>
      <c r="N409" s="3"/>
      <c r="O409" s="3"/>
      <c r="P409" s="3"/>
      <c r="Q409" s="3"/>
      <c r="R409" s="3"/>
    </row>
    <row r="410" spans="1:18" x14ac:dyDescent="0.3">
      <c r="A410" s="3"/>
      <c r="B410" s="3"/>
      <c r="C410" s="3"/>
      <c r="D410" s="3"/>
      <c r="E410" s="3"/>
      <c r="F410" s="3"/>
      <c r="G410" s="3"/>
      <c r="H410" s="3"/>
      <c r="I410" s="3"/>
      <c r="J410" s="3"/>
      <c r="K410" s="3"/>
      <c r="L410" s="3"/>
      <c r="M410" s="3"/>
      <c r="N410" s="3"/>
      <c r="O410" s="3"/>
      <c r="P410" s="3"/>
      <c r="Q410" s="3"/>
      <c r="R410" s="3"/>
    </row>
    <row r="411" spans="1:18" x14ac:dyDescent="0.3">
      <c r="A411" s="3"/>
      <c r="B411" s="3"/>
      <c r="C411" s="3"/>
      <c r="D411" s="3"/>
      <c r="E411" s="3"/>
      <c r="F411" s="3"/>
      <c r="G411" s="3"/>
      <c r="H411" s="3"/>
      <c r="I411" s="3"/>
      <c r="J411" s="3"/>
      <c r="K411" s="3"/>
      <c r="L411" s="3"/>
      <c r="M411" s="3"/>
      <c r="N411" s="3"/>
      <c r="O411" s="3"/>
      <c r="P411" s="3"/>
      <c r="Q411" s="3"/>
      <c r="R411" s="3"/>
    </row>
    <row r="412" spans="1:18" x14ac:dyDescent="0.3">
      <c r="A412" s="3"/>
      <c r="B412" s="3"/>
      <c r="C412" s="3"/>
      <c r="D412" s="3"/>
      <c r="E412" s="3"/>
      <c r="F412" s="3"/>
      <c r="G412" s="3"/>
      <c r="H412" s="3"/>
      <c r="I412" s="3"/>
      <c r="J412" s="3"/>
      <c r="K412" s="3"/>
      <c r="L412" s="3"/>
      <c r="M412" s="3"/>
      <c r="N412" s="3"/>
      <c r="O412" s="3"/>
      <c r="P412" s="3"/>
      <c r="Q412" s="3"/>
      <c r="R412" s="3"/>
    </row>
    <row r="413" spans="1:18" x14ac:dyDescent="0.3">
      <c r="A413" s="3"/>
      <c r="B413" s="3"/>
      <c r="C413" s="3"/>
      <c r="D413" s="3"/>
      <c r="E413" s="3"/>
      <c r="F413" s="3"/>
      <c r="G413" s="3"/>
      <c r="H413" s="3"/>
      <c r="I413" s="3"/>
      <c r="J413" s="3"/>
      <c r="K413" s="3"/>
      <c r="L413" s="3"/>
      <c r="M413" s="3"/>
      <c r="N413" s="3"/>
      <c r="O413" s="3"/>
      <c r="P413" s="3"/>
      <c r="Q413" s="3"/>
      <c r="R413" s="3"/>
    </row>
    <row r="414" spans="1:18" x14ac:dyDescent="0.3">
      <c r="A414" s="3"/>
      <c r="B414" s="3"/>
      <c r="C414" s="3"/>
      <c r="D414" s="3"/>
      <c r="E414" s="3"/>
      <c r="F414" s="3"/>
      <c r="G414" s="3"/>
      <c r="H414" s="3"/>
      <c r="I414" s="3"/>
      <c r="J414" s="3"/>
      <c r="K414" s="3"/>
      <c r="L414" s="3"/>
      <c r="M414" s="3"/>
      <c r="N414" s="3"/>
      <c r="O414" s="3"/>
      <c r="P414" s="3"/>
      <c r="Q414" s="3"/>
      <c r="R414" s="3"/>
    </row>
    <row r="415" spans="1:18" x14ac:dyDescent="0.3">
      <c r="A415" s="3"/>
      <c r="B415" s="3"/>
      <c r="C415" s="3"/>
      <c r="D415" s="3"/>
      <c r="E415" s="3"/>
      <c r="F415" s="3"/>
      <c r="G415" s="3"/>
      <c r="H415" s="3"/>
      <c r="I415" s="3"/>
      <c r="J415" s="3"/>
      <c r="K415" s="3"/>
      <c r="L415" s="3"/>
      <c r="M415" s="3"/>
      <c r="N415" s="3"/>
      <c r="O415" s="3"/>
      <c r="P415" s="3"/>
      <c r="Q415" s="3"/>
      <c r="R415" s="3"/>
    </row>
    <row r="416" spans="1:18" x14ac:dyDescent="0.3">
      <c r="A416" s="3"/>
      <c r="B416" s="3"/>
      <c r="C416" s="3"/>
      <c r="D416" s="3"/>
      <c r="E416" s="3"/>
      <c r="F416" s="3"/>
      <c r="G416" s="3"/>
      <c r="H416" s="3"/>
      <c r="I416" s="3"/>
      <c r="J416" s="3"/>
      <c r="K416" s="3"/>
      <c r="L416" s="3"/>
      <c r="M416" s="3"/>
      <c r="N416" s="3"/>
      <c r="O416" s="3"/>
      <c r="P416" s="3"/>
      <c r="Q416" s="3"/>
      <c r="R416" s="3"/>
    </row>
    <row r="417" spans="1:18" x14ac:dyDescent="0.3">
      <c r="A417" s="3"/>
      <c r="B417" s="3"/>
      <c r="C417" s="3"/>
      <c r="D417" s="3"/>
      <c r="E417" s="3"/>
      <c r="F417" s="3"/>
      <c r="G417" s="3"/>
      <c r="H417" s="3"/>
      <c r="I417" s="3"/>
      <c r="J417" s="3"/>
      <c r="K417" s="3"/>
      <c r="L417" s="3"/>
      <c r="M417" s="3"/>
      <c r="N417" s="3"/>
      <c r="O417" s="3"/>
      <c r="P417" s="3"/>
      <c r="Q417" s="3"/>
      <c r="R417" s="3"/>
    </row>
    <row r="418" spans="1:18" x14ac:dyDescent="0.3">
      <c r="A418" s="3"/>
      <c r="B418" s="3"/>
      <c r="C418" s="3"/>
      <c r="D418" s="3"/>
      <c r="E418" s="3"/>
      <c r="F418" s="3"/>
      <c r="G418" s="3"/>
      <c r="H418" s="3"/>
      <c r="I418" s="3"/>
      <c r="J418" s="3"/>
      <c r="K418" s="3"/>
      <c r="L418" s="3"/>
      <c r="M418" s="3"/>
      <c r="N418" s="3"/>
      <c r="O418" s="3"/>
      <c r="P418" s="3"/>
      <c r="Q418" s="3"/>
      <c r="R418" s="3"/>
    </row>
    <row r="419" spans="1:18" x14ac:dyDescent="0.3">
      <c r="A419" s="3"/>
      <c r="B419" s="3"/>
      <c r="C419" s="3"/>
      <c r="D419" s="3"/>
      <c r="E419" s="3"/>
      <c r="F419" s="3"/>
      <c r="G419" s="3"/>
      <c r="H419" s="3"/>
      <c r="I419" s="3"/>
      <c r="J419" s="3"/>
      <c r="K419" s="3"/>
      <c r="L419" s="3"/>
      <c r="M419" s="3"/>
      <c r="N419" s="3"/>
      <c r="O419" s="3"/>
      <c r="P419" s="3"/>
      <c r="Q419" s="3"/>
      <c r="R419" s="3"/>
    </row>
    <row r="420" spans="1:18" x14ac:dyDescent="0.3">
      <c r="A420" s="3"/>
      <c r="B420" s="3"/>
      <c r="C420" s="3"/>
      <c r="D420" s="3"/>
      <c r="E420" s="3"/>
      <c r="F420" s="3"/>
      <c r="G420" s="3"/>
      <c r="H420" s="3"/>
      <c r="I420" s="3"/>
      <c r="J420" s="3"/>
      <c r="K420" s="3"/>
      <c r="L420" s="3"/>
      <c r="M420" s="3"/>
      <c r="N420" s="3"/>
      <c r="O420" s="3"/>
      <c r="P420" s="3"/>
      <c r="Q420" s="3"/>
      <c r="R420" s="3"/>
    </row>
    <row r="421" spans="1:18" x14ac:dyDescent="0.3">
      <c r="A421" s="3"/>
      <c r="B421" s="3"/>
      <c r="C421" s="3"/>
      <c r="D421" s="3"/>
      <c r="E421" s="3"/>
      <c r="F421" s="3"/>
      <c r="G421" s="3"/>
      <c r="H421" s="3"/>
      <c r="I421" s="3"/>
      <c r="J421" s="3"/>
      <c r="K421" s="3"/>
      <c r="L421" s="3"/>
      <c r="M421" s="3"/>
      <c r="N421" s="3"/>
      <c r="O421" s="3"/>
      <c r="P421" s="3"/>
      <c r="Q421" s="3"/>
      <c r="R421" s="3"/>
    </row>
    <row r="422" spans="1:18" x14ac:dyDescent="0.3">
      <c r="A422" s="3"/>
      <c r="B422" s="3"/>
      <c r="C422" s="3"/>
      <c r="D422" s="3"/>
      <c r="E422" s="3"/>
      <c r="F422" s="3"/>
      <c r="G422" s="3"/>
      <c r="H422" s="3"/>
      <c r="I422" s="3"/>
      <c r="J422" s="3"/>
      <c r="K422" s="3"/>
      <c r="L422" s="3"/>
      <c r="M422" s="3"/>
      <c r="N422" s="3"/>
      <c r="O422" s="3"/>
      <c r="P422" s="3"/>
      <c r="Q422" s="3"/>
      <c r="R422" s="3"/>
    </row>
    <row r="423" spans="1:18" x14ac:dyDescent="0.3">
      <c r="A423" s="3"/>
      <c r="B423" s="3"/>
      <c r="C423" s="3"/>
      <c r="D423" s="3"/>
      <c r="E423" s="3"/>
      <c r="F423" s="3"/>
      <c r="G423" s="3"/>
      <c r="H423" s="3"/>
      <c r="I423" s="3"/>
      <c r="J423" s="3"/>
      <c r="K423" s="3"/>
      <c r="L423" s="3"/>
      <c r="M423" s="3"/>
      <c r="N423" s="3"/>
      <c r="O423" s="3"/>
      <c r="P423" s="3"/>
      <c r="Q423" s="3"/>
      <c r="R423" s="3"/>
    </row>
    <row r="424" spans="1:18" x14ac:dyDescent="0.3">
      <c r="A424" s="3"/>
      <c r="B424" s="3"/>
      <c r="C424" s="3"/>
      <c r="D424" s="3"/>
      <c r="E424" s="3"/>
      <c r="F424" s="3"/>
      <c r="G424" s="3"/>
      <c r="H424" s="3"/>
      <c r="I424" s="3"/>
      <c r="J424" s="3"/>
      <c r="K424" s="3"/>
      <c r="L424" s="3"/>
      <c r="M424" s="3"/>
      <c r="N424" s="3"/>
      <c r="O424" s="3"/>
      <c r="P424" s="3"/>
      <c r="Q424" s="3"/>
      <c r="R424" s="3"/>
    </row>
    <row r="425" spans="1:18" x14ac:dyDescent="0.3">
      <c r="A425" s="3"/>
      <c r="B425" s="3"/>
      <c r="C425" s="3"/>
      <c r="D425" s="3"/>
      <c r="E425" s="3"/>
      <c r="F425" s="3"/>
      <c r="G425" s="3"/>
      <c r="H425" s="3"/>
      <c r="I425" s="3"/>
      <c r="J425" s="3"/>
      <c r="K425" s="3"/>
      <c r="L425" s="3"/>
      <c r="M425" s="3"/>
      <c r="N425" s="3"/>
      <c r="O425" s="3"/>
      <c r="P425" s="3"/>
      <c r="Q425" s="3"/>
      <c r="R425" s="3"/>
    </row>
    <row r="426" spans="1:18" x14ac:dyDescent="0.3">
      <c r="A426" s="3"/>
      <c r="B426" s="3"/>
      <c r="C426" s="3"/>
      <c r="D426" s="3"/>
      <c r="E426" s="3"/>
      <c r="F426" s="3"/>
      <c r="G426" s="3"/>
      <c r="H426" s="3"/>
      <c r="I426" s="3"/>
      <c r="J426" s="3"/>
      <c r="K426" s="3"/>
      <c r="L426" s="3"/>
      <c r="M426" s="3"/>
      <c r="N426" s="3"/>
      <c r="O426" s="3"/>
      <c r="P426" s="3"/>
      <c r="Q426" s="3"/>
      <c r="R426" s="3"/>
    </row>
    <row r="427" spans="1:18" x14ac:dyDescent="0.3">
      <c r="A427" s="3"/>
      <c r="B427" s="3"/>
      <c r="C427" s="3"/>
      <c r="D427" s="3"/>
      <c r="E427" s="3"/>
      <c r="F427" s="3"/>
      <c r="G427" s="3"/>
      <c r="H427" s="3"/>
      <c r="I427" s="3"/>
      <c r="J427" s="3"/>
      <c r="K427" s="3"/>
      <c r="L427" s="3"/>
      <c r="M427" s="3"/>
      <c r="N427" s="3"/>
      <c r="O427" s="3"/>
      <c r="P427" s="3"/>
      <c r="Q427" s="3"/>
      <c r="R427" s="3"/>
    </row>
    <row r="428" spans="1:18" x14ac:dyDescent="0.3">
      <c r="A428" s="3"/>
      <c r="B428" s="3"/>
      <c r="C428" s="3"/>
      <c r="D428" s="3"/>
      <c r="E428" s="3"/>
      <c r="F428" s="3"/>
      <c r="G428" s="3"/>
      <c r="H428" s="3"/>
      <c r="I428" s="3"/>
      <c r="J428" s="3"/>
      <c r="K428" s="3"/>
      <c r="L428" s="3"/>
      <c r="M428" s="3"/>
      <c r="N428" s="3"/>
      <c r="O428" s="3"/>
      <c r="P428" s="3"/>
      <c r="Q428" s="3"/>
      <c r="R428" s="3"/>
    </row>
    <row r="429" spans="1:18" x14ac:dyDescent="0.3">
      <c r="A429" s="3"/>
      <c r="B429" s="3"/>
      <c r="C429" s="3"/>
      <c r="D429" s="3"/>
      <c r="E429" s="3"/>
      <c r="F429" s="3"/>
      <c r="G429" s="3"/>
      <c r="H429" s="3"/>
      <c r="I429" s="3"/>
      <c r="J429" s="3"/>
      <c r="K429" s="3"/>
      <c r="L429" s="3"/>
      <c r="M429" s="3"/>
      <c r="N429" s="3"/>
      <c r="O429" s="3"/>
      <c r="P429" s="3"/>
      <c r="Q429" s="3"/>
      <c r="R429" s="3"/>
    </row>
    <row r="430" spans="1:18" x14ac:dyDescent="0.3">
      <c r="A430" s="3"/>
      <c r="B430" s="3"/>
      <c r="C430" s="3"/>
      <c r="D430" s="3"/>
      <c r="E430" s="3"/>
      <c r="F430" s="3"/>
      <c r="G430" s="3"/>
      <c r="H430" s="3"/>
      <c r="I430" s="3"/>
      <c r="J430" s="3"/>
      <c r="K430" s="3"/>
      <c r="L430" s="3"/>
      <c r="M430" s="3"/>
      <c r="N430" s="3"/>
      <c r="O430" s="3"/>
      <c r="P430" s="3"/>
      <c r="Q430" s="3"/>
      <c r="R430" s="3"/>
    </row>
    <row r="431" spans="1:18" x14ac:dyDescent="0.3">
      <c r="A431" s="3"/>
      <c r="B431" s="3"/>
      <c r="C431" s="3"/>
      <c r="D431" s="3"/>
      <c r="E431" s="3"/>
      <c r="F431" s="3"/>
      <c r="G431" s="3"/>
      <c r="H431" s="3"/>
      <c r="I431" s="3"/>
      <c r="J431" s="3"/>
      <c r="K431" s="3"/>
      <c r="L431" s="3"/>
      <c r="M431" s="3"/>
      <c r="N431" s="3"/>
      <c r="O431" s="3"/>
      <c r="P431" s="3"/>
      <c r="Q431" s="3"/>
      <c r="R431" s="3"/>
    </row>
    <row r="432" spans="1:18" x14ac:dyDescent="0.3">
      <c r="A432" s="3"/>
      <c r="B432" s="3"/>
      <c r="C432" s="3"/>
      <c r="D432" s="3"/>
      <c r="E432" s="3"/>
      <c r="F432" s="3"/>
      <c r="G432" s="3"/>
      <c r="H432" s="3"/>
      <c r="I432" s="3"/>
      <c r="J432" s="3"/>
      <c r="K432" s="3"/>
      <c r="L432" s="3"/>
      <c r="M432" s="3"/>
      <c r="N432" s="3"/>
      <c r="O432" s="3"/>
      <c r="P432" s="3"/>
      <c r="Q432" s="3"/>
      <c r="R432" s="3"/>
    </row>
    <row r="433" spans="1:18" x14ac:dyDescent="0.3">
      <c r="A433" s="3"/>
      <c r="B433" s="3"/>
      <c r="C433" s="3"/>
      <c r="D433" s="3"/>
      <c r="E433" s="3"/>
      <c r="F433" s="3"/>
      <c r="G433" s="3"/>
      <c r="H433" s="3"/>
      <c r="I433" s="3"/>
      <c r="J433" s="3"/>
      <c r="K433" s="3"/>
      <c r="L433" s="3"/>
      <c r="M433" s="3"/>
      <c r="N433" s="3"/>
      <c r="O433" s="3"/>
      <c r="P433" s="3"/>
      <c r="Q433" s="3"/>
      <c r="R433" s="3"/>
    </row>
    <row r="434" spans="1:18" x14ac:dyDescent="0.3">
      <c r="A434" s="3"/>
      <c r="B434" s="3"/>
      <c r="C434" s="3"/>
      <c r="D434" s="3"/>
      <c r="E434" s="3"/>
      <c r="F434" s="3"/>
      <c r="G434" s="3"/>
      <c r="H434" s="3"/>
      <c r="I434" s="3"/>
      <c r="J434" s="3"/>
      <c r="K434" s="3"/>
      <c r="L434" s="3"/>
      <c r="M434" s="3"/>
      <c r="N434" s="3"/>
      <c r="O434" s="3"/>
      <c r="P434" s="3"/>
      <c r="Q434" s="3"/>
      <c r="R434" s="3"/>
    </row>
    <row r="435" spans="1:18" x14ac:dyDescent="0.3">
      <c r="A435" s="3"/>
      <c r="B435" s="3"/>
      <c r="C435" s="3"/>
      <c r="D435" s="3"/>
      <c r="E435" s="3"/>
      <c r="F435" s="3"/>
      <c r="G435" s="3"/>
      <c r="H435" s="3"/>
      <c r="I435" s="3"/>
      <c r="J435" s="3"/>
      <c r="K435" s="3"/>
      <c r="L435" s="3"/>
      <c r="M435" s="3"/>
      <c r="N435" s="3"/>
      <c r="O435" s="3"/>
      <c r="P435" s="3"/>
      <c r="Q435" s="3"/>
      <c r="R435" s="3"/>
    </row>
    <row r="436" spans="1:18" x14ac:dyDescent="0.3">
      <c r="A436" s="3"/>
      <c r="B436" s="3"/>
      <c r="C436" s="3"/>
      <c r="D436" s="3"/>
      <c r="E436" s="3"/>
      <c r="F436" s="3"/>
      <c r="G436" s="3"/>
      <c r="H436" s="3"/>
      <c r="I436" s="3"/>
      <c r="J436" s="3"/>
      <c r="K436" s="3"/>
      <c r="L436" s="3"/>
      <c r="M436" s="3"/>
      <c r="N436" s="3"/>
      <c r="O436" s="3"/>
      <c r="P436" s="3"/>
      <c r="Q436" s="3"/>
      <c r="R436" s="3"/>
    </row>
    <row r="437" spans="1:18" x14ac:dyDescent="0.3">
      <c r="A437" s="3"/>
      <c r="B437" s="3"/>
      <c r="C437" s="3"/>
      <c r="D437" s="3"/>
      <c r="E437" s="3"/>
      <c r="F437" s="3"/>
      <c r="G437" s="3"/>
      <c r="H437" s="3"/>
      <c r="I437" s="3"/>
      <c r="J437" s="3"/>
      <c r="K437" s="3"/>
      <c r="L437" s="3"/>
      <c r="M437" s="3"/>
      <c r="N437" s="3"/>
      <c r="O437" s="3"/>
      <c r="P437" s="3"/>
      <c r="Q437" s="3"/>
      <c r="R437" s="3"/>
    </row>
    <row r="438" spans="1:18" x14ac:dyDescent="0.3">
      <c r="A438" s="3"/>
      <c r="B438" s="3"/>
      <c r="C438" s="3"/>
      <c r="D438" s="3"/>
      <c r="E438" s="3"/>
      <c r="F438" s="3"/>
      <c r="G438" s="3"/>
      <c r="H438" s="3"/>
      <c r="I438" s="3"/>
      <c r="J438" s="3"/>
      <c r="K438" s="3"/>
      <c r="L438" s="3"/>
      <c r="M438" s="3"/>
      <c r="N438" s="3"/>
      <c r="O438" s="3"/>
      <c r="P438" s="3"/>
      <c r="Q438" s="3"/>
      <c r="R438" s="3"/>
    </row>
    <row r="439" spans="1:18" x14ac:dyDescent="0.3">
      <c r="A439" s="3"/>
      <c r="B439" s="3"/>
      <c r="C439" s="3"/>
      <c r="D439" s="3"/>
      <c r="E439" s="3"/>
      <c r="F439" s="3"/>
      <c r="G439" s="3"/>
      <c r="H439" s="3"/>
      <c r="I439" s="3"/>
      <c r="J439" s="3"/>
      <c r="K439" s="3"/>
      <c r="L439" s="3"/>
      <c r="M439" s="3"/>
      <c r="N439" s="3"/>
      <c r="O439" s="3"/>
      <c r="P439" s="3"/>
      <c r="Q439" s="3"/>
      <c r="R439" s="3"/>
    </row>
    <row r="440" spans="1:18" x14ac:dyDescent="0.3">
      <c r="A440" s="3"/>
      <c r="B440" s="3"/>
      <c r="C440" s="3"/>
      <c r="D440" s="3"/>
      <c r="E440" s="3"/>
      <c r="F440" s="3"/>
      <c r="G440" s="3"/>
      <c r="H440" s="3"/>
      <c r="I440" s="3"/>
      <c r="J440" s="3"/>
      <c r="K440" s="3"/>
      <c r="L440" s="3"/>
      <c r="M440" s="3"/>
      <c r="N440" s="3"/>
      <c r="O440" s="3"/>
      <c r="P440" s="3"/>
      <c r="Q440" s="3"/>
      <c r="R440" s="3"/>
    </row>
    <row r="441" spans="1:18" x14ac:dyDescent="0.3">
      <c r="A441" s="3"/>
      <c r="B441" s="3"/>
      <c r="C441" s="3"/>
      <c r="D441" s="3"/>
      <c r="E441" s="3"/>
      <c r="F441" s="3"/>
      <c r="G441" s="3"/>
      <c r="H441" s="3"/>
      <c r="I441" s="3"/>
      <c r="J441" s="3"/>
      <c r="K441" s="3"/>
      <c r="L441" s="3"/>
      <c r="M441" s="3"/>
      <c r="N441" s="3"/>
      <c r="O441" s="3"/>
      <c r="P441" s="3"/>
      <c r="Q441" s="3"/>
      <c r="R441" s="3"/>
    </row>
    <row r="442" spans="1:18" x14ac:dyDescent="0.3">
      <c r="A442" s="3"/>
      <c r="B442" s="3"/>
      <c r="C442" s="3"/>
      <c r="D442" s="3"/>
      <c r="E442" s="3"/>
      <c r="F442" s="3"/>
      <c r="G442" s="3"/>
      <c r="H442" s="3"/>
      <c r="I442" s="3"/>
      <c r="J442" s="3"/>
      <c r="K442" s="3"/>
      <c r="L442" s="3"/>
      <c r="M442" s="3"/>
      <c r="N442" s="3"/>
      <c r="O442" s="3"/>
      <c r="P442" s="3"/>
      <c r="Q442" s="3"/>
      <c r="R442" s="3"/>
    </row>
    <row r="443" spans="1:18" x14ac:dyDescent="0.3">
      <c r="A443" s="3"/>
      <c r="B443" s="3"/>
      <c r="C443" s="3"/>
      <c r="D443" s="3"/>
      <c r="E443" s="3"/>
      <c r="F443" s="3"/>
      <c r="G443" s="3"/>
      <c r="H443" s="3"/>
      <c r="I443" s="3"/>
      <c r="J443" s="3"/>
      <c r="K443" s="3"/>
      <c r="L443" s="3"/>
      <c r="M443" s="3"/>
      <c r="N443" s="3"/>
      <c r="O443" s="3"/>
      <c r="P443" s="3"/>
      <c r="Q443" s="3"/>
      <c r="R443" s="3"/>
    </row>
    <row r="444" spans="1:18" x14ac:dyDescent="0.3">
      <c r="A444" s="3"/>
      <c r="B444" s="3"/>
      <c r="C444" s="3"/>
      <c r="D444" s="3"/>
      <c r="E444" s="3"/>
      <c r="F444" s="3"/>
      <c r="G444" s="3"/>
      <c r="H444" s="3"/>
      <c r="I444" s="3"/>
      <c r="J444" s="3"/>
      <c r="K444" s="3"/>
      <c r="L444" s="3"/>
      <c r="M444" s="3"/>
      <c r="N444" s="3"/>
      <c r="O444" s="3"/>
      <c r="P444" s="3"/>
      <c r="Q444" s="3"/>
      <c r="R444" s="3"/>
    </row>
    <row r="445" spans="1:18" x14ac:dyDescent="0.3">
      <c r="A445" s="3"/>
      <c r="B445" s="3"/>
      <c r="C445" s="3"/>
      <c r="D445" s="3"/>
      <c r="E445" s="3"/>
      <c r="F445" s="3"/>
      <c r="G445" s="3"/>
      <c r="H445" s="3"/>
      <c r="I445" s="3"/>
      <c r="J445" s="3"/>
      <c r="K445" s="3"/>
      <c r="L445" s="3"/>
      <c r="M445" s="3"/>
      <c r="N445" s="3"/>
      <c r="O445" s="3"/>
      <c r="P445" s="3"/>
      <c r="Q445" s="3"/>
      <c r="R445" s="3"/>
    </row>
    <row r="446" spans="1:18" x14ac:dyDescent="0.3">
      <c r="A446" s="3"/>
      <c r="B446" s="3"/>
      <c r="C446" s="3"/>
      <c r="D446" s="3"/>
      <c r="E446" s="3"/>
      <c r="F446" s="3"/>
      <c r="G446" s="3"/>
      <c r="H446" s="3"/>
      <c r="I446" s="3"/>
      <c r="J446" s="3"/>
      <c r="K446" s="3"/>
      <c r="L446" s="3"/>
      <c r="M446" s="3"/>
      <c r="N446" s="3"/>
      <c r="O446" s="3"/>
      <c r="P446" s="3"/>
      <c r="Q446" s="3"/>
      <c r="R446" s="3"/>
    </row>
    <row r="447" spans="1:18" x14ac:dyDescent="0.3">
      <c r="A447" s="3"/>
      <c r="B447" s="3"/>
      <c r="C447" s="3"/>
      <c r="D447" s="3"/>
      <c r="E447" s="3"/>
      <c r="F447" s="3"/>
      <c r="G447" s="3"/>
      <c r="H447" s="3"/>
      <c r="I447" s="3"/>
      <c r="J447" s="3"/>
      <c r="K447" s="3"/>
      <c r="L447" s="3"/>
      <c r="M447" s="3"/>
      <c r="N447" s="3"/>
      <c r="O447" s="3"/>
      <c r="P447" s="3"/>
      <c r="Q447" s="3"/>
      <c r="R447" s="3"/>
    </row>
    <row r="448" spans="1:18" x14ac:dyDescent="0.3">
      <c r="A448" s="3"/>
      <c r="B448" s="3"/>
      <c r="C448" s="3"/>
      <c r="D448" s="3"/>
      <c r="E448" s="3"/>
      <c r="F448" s="3"/>
      <c r="G448" s="3"/>
      <c r="H448" s="3"/>
      <c r="I448" s="3"/>
      <c r="J448" s="3"/>
      <c r="K448" s="3"/>
      <c r="L448" s="3"/>
      <c r="M448" s="3"/>
      <c r="N448" s="3"/>
      <c r="O448" s="3"/>
      <c r="P448" s="3"/>
      <c r="Q448" s="3"/>
      <c r="R448" s="3"/>
    </row>
    <row r="449" spans="1:18" x14ac:dyDescent="0.3">
      <c r="A449" s="3"/>
      <c r="B449" s="3"/>
      <c r="C449" s="3"/>
      <c r="D449" s="3"/>
      <c r="E449" s="3"/>
      <c r="F449" s="3"/>
      <c r="G449" s="3"/>
      <c r="H449" s="3"/>
      <c r="I449" s="3"/>
      <c r="J449" s="3"/>
      <c r="K449" s="3"/>
      <c r="L449" s="3"/>
      <c r="M449" s="3"/>
      <c r="N449" s="3"/>
      <c r="O449" s="3"/>
      <c r="P449" s="3"/>
      <c r="Q449" s="3"/>
      <c r="R449" s="3"/>
    </row>
    <row r="450" spans="1:18" x14ac:dyDescent="0.3">
      <c r="A450" s="3"/>
      <c r="B450" s="3"/>
      <c r="C450" s="3"/>
      <c r="D450" s="3"/>
      <c r="E450" s="3"/>
      <c r="F450" s="3"/>
      <c r="G450" s="3"/>
      <c r="H450" s="3"/>
      <c r="I450" s="3"/>
      <c r="J450" s="3"/>
      <c r="K450" s="3"/>
      <c r="L450" s="3"/>
      <c r="M450" s="3"/>
      <c r="N450" s="3"/>
      <c r="O450" s="3"/>
      <c r="P450" s="3"/>
      <c r="Q450" s="3"/>
      <c r="R450" s="3"/>
    </row>
    <row r="451" spans="1:18" x14ac:dyDescent="0.3">
      <c r="A451" s="3"/>
      <c r="B451" s="3"/>
      <c r="C451" s="3"/>
      <c r="D451" s="3"/>
      <c r="E451" s="3"/>
      <c r="F451" s="3"/>
      <c r="G451" s="3"/>
      <c r="H451" s="3"/>
      <c r="I451" s="3"/>
      <c r="J451" s="3"/>
      <c r="K451" s="3"/>
      <c r="L451" s="3"/>
      <c r="M451" s="3"/>
      <c r="N451" s="3"/>
      <c r="O451" s="3"/>
      <c r="P451" s="3"/>
      <c r="Q451" s="3"/>
      <c r="R451" s="3"/>
    </row>
    <row r="452" spans="1:18" x14ac:dyDescent="0.3">
      <c r="A452" s="3"/>
      <c r="B452" s="3"/>
      <c r="C452" s="3"/>
      <c r="D452" s="3"/>
      <c r="E452" s="3"/>
      <c r="F452" s="3"/>
      <c r="G452" s="3"/>
      <c r="H452" s="3"/>
      <c r="I452" s="3"/>
      <c r="J452" s="3"/>
      <c r="K452" s="3"/>
      <c r="L452" s="3"/>
      <c r="M452" s="3"/>
      <c r="N452" s="3"/>
      <c r="O452" s="3"/>
      <c r="P452" s="3"/>
      <c r="Q452" s="3"/>
      <c r="R452" s="3"/>
    </row>
    <row r="453" spans="1:18" x14ac:dyDescent="0.3">
      <c r="A453" s="3"/>
      <c r="B453" s="3"/>
      <c r="C453" s="3"/>
      <c r="D453" s="3"/>
      <c r="E453" s="3"/>
      <c r="F453" s="3"/>
      <c r="G453" s="3"/>
      <c r="H453" s="3"/>
      <c r="I453" s="3"/>
      <c r="J453" s="3"/>
      <c r="K453" s="3"/>
      <c r="L453" s="3"/>
      <c r="M453" s="3"/>
      <c r="N453" s="3"/>
      <c r="O453" s="3"/>
      <c r="P453" s="3"/>
      <c r="Q453" s="3"/>
      <c r="R453" s="3"/>
    </row>
    <row r="454" spans="1:18" x14ac:dyDescent="0.3">
      <c r="A454" s="3"/>
      <c r="B454" s="3"/>
      <c r="C454" s="3"/>
      <c r="D454" s="3"/>
      <c r="E454" s="3"/>
      <c r="F454" s="3"/>
      <c r="G454" s="3"/>
      <c r="H454" s="3"/>
      <c r="I454" s="3"/>
      <c r="J454" s="3"/>
      <c r="K454" s="3"/>
      <c r="L454" s="3"/>
      <c r="M454" s="3"/>
      <c r="N454" s="3"/>
      <c r="O454" s="3"/>
      <c r="P454" s="3"/>
      <c r="Q454" s="3"/>
      <c r="R454" s="3"/>
    </row>
    <row r="455" spans="1:18" x14ac:dyDescent="0.3">
      <c r="A455" s="3"/>
      <c r="B455" s="3"/>
      <c r="C455" s="3"/>
      <c r="D455" s="3"/>
      <c r="E455" s="3"/>
      <c r="F455" s="3"/>
      <c r="G455" s="3"/>
      <c r="H455" s="3"/>
      <c r="I455" s="3"/>
      <c r="J455" s="3"/>
      <c r="K455" s="3"/>
      <c r="L455" s="3"/>
      <c r="M455" s="3"/>
      <c r="N455" s="3"/>
      <c r="O455" s="3"/>
      <c r="P455" s="3"/>
      <c r="Q455" s="3"/>
      <c r="R455" s="3"/>
    </row>
    <row r="456" spans="1:18" x14ac:dyDescent="0.3">
      <c r="A456" s="3"/>
      <c r="B456" s="3"/>
      <c r="C456" s="3"/>
      <c r="D456" s="3"/>
      <c r="E456" s="3"/>
      <c r="F456" s="3"/>
      <c r="G456" s="3"/>
      <c r="H456" s="3"/>
      <c r="I456" s="3"/>
      <c r="J456" s="3"/>
      <c r="K456" s="3"/>
      <c r="L456" s="3"/>
      <c r="M456" s="3"/>
      <c r="N456" s="3"/>
      <c r="O456" s="3"/>
      <c r="P456" s="3"/>
      <c r="Q456" s="3"/>
      <c r="R456" s="3"/>
    </row>
    <row r="457" spans="1:18" x14ac:dyDescent="0.3">
      <c r="A457" s="3"/>
      <c r="B457" s="3"/>
      <c r="C457" s="3"/>
      <c r="D457" s="3"/>
      <c r="E457" s="3"/>
      <c r="F457" s="3"/>
      <c r="G457" s="3"/>
      <c r="H457" s="3"/>
      <c r="I457" s="3"/>
      <c r="J457" s="3"/>
      <c r="K457" s="3"/>
      <c r="L457" s="3"/>
      <c r="M457" s="3"/>
      <c r="N457" s="3"/>
      <c r="O457" s="3"/>
      <c r="P457" s="3"/>
      <c r="Q457" s="3"/>
      <c r="R457" s="3"/>
    </row>
    <row r="458" spans="1:18" x14ac:dyDescent="0.3">
      <c r="A458" s="3"/>
      <c r="B458" s="3"/>
      <c r="C458" s="3"/>
      <c r="D458" s="3"/>
      <c r="E458" s="3"/>
      <c r="F458" s="3"/>
      <c r="G458" s="3"/>
      <c r="H458" s="3"/>
      <c r="I458" s="3"/>
      <c r="J458" s="3"/>
      <c r="K458" s="3"/>
      <c r="L458" s="3"/>
      <c r="M458" s="3"/>
      <c r="N458" s="3"/>
      <c r="O458" s="3"/>
      <c r="P458" s="3"/>
      <c r="Q458" s="3"/>
      <c r="R458" s="3"/>
    </row>
    <row r="459" spans="1:18" x14ac:dyDescent="0.3">
      <c r="A459" s="3"/>
      <c r="B459" s="3"/>
      <c r="C459" s="3"/>
      <c r="D459" s="3"/>
      <c r="E459" s="3"/>
      <c r="F459" s="3"/>
      <c r="G459" s="3"/>
      <c r="H459" s="3"/>
      <c r="I459" s="3"/>
      <c r="J459" s="3"/>
      <c r="K459" s="3"/>
      <c r="L459" s="3"/>
      <c r="M459" s="3"/>
      <c r="N459" s="3"/>
      <c r="O459" s="3"/>
      <c r="P459" s="3"/>
      <c r="Q459" s="3"/>
      <c r="R459" s="3"/>
    </row>
    <row r="460" spans="1:18" x14ac:dyDescent="0.3">
      <c r="A460" s="3"/>
      <c r="B460" s="3"/>
      <c r="C460" s="3"/>
      <c r="D460" s="3"/>
      <c r="E460" s="3"/>
      <c r="F460" s="3"/>
      <c r="G460" s="3"/>
      <c r="H460" s="3"/>
      <c r="I460" s="3"/>
      <c r="J460" s="3"/>
      <c r="K460" s="3"/>
      <c r="L460" s="3"/>
      <c r="M460" s="3"/>
      <c r="N460" s="3"/>
      <c r="O460" s="3"/>
      <c r="P460" s="3"/>
      <c r="Q460" s="3"/>
      <c r="R460" s="3"/>
    </row>
    <row r="461" spans="1:18" x14ac:dyDescent="0.3">
      <c r="A461" s="3"/>
      <c r="B461" s="3"/>
      <c r="C461" s="3"/>
      <c r="D461" s="3"/>
      <c r="E461" s="3"/>
      <c r="F461" s="3"/>
      <c r="G461" s="3"/>
      <c r="H461" s="3"/>
      <c r="I461" s="3"/>
      <c r="J461" s="3"/>
      <c r="K461" s="3"/>
      <c r="L461" s="3"/>
      <c r="M461" s="3"/>
      <c r="N461" s="3"/>
      <c r="O461" s="3"/>
      <c r="P461" s="3"/>
      <c r="Q461" s="3"/>
      <c r="R461" s="3"/>
    </row>
    <row r="462" spans="1:18" x14ac:dyDescent="0.3">
      <c r="A462" s="3"/>
      <c r="B462" s="3"/>
      <c r="C462" s="3"/>
      <c r="D462" s="3"/>
      <c r="E462" s="3"/>
      <c r="F462" s="3"/>
      <c r="G462" s="3"/>
      <c r="H462" s="3"/>
      <c r="I462" s="3"/>
      <c r="J462" s="3"/>
      <c r="K462" s="3"/>
      <c r="L462" s="3"/>
      <c r="M462" s="3"/>
      <c r="N462" s="3"/>
      <c r="O462" s="3"/>
      <c r="P462" s="3"/>
      <c r="Q462" s="3"/>
      <c r="R462" s="3"/>
    </row>
    <row r="463" spans="1:18" x14ac:dyDescent="0.3">
      <c r="A463" s="3"/>
      <c r="B463" s="3"/>
      <c r="C463" s="3"/>
      <c r="D463" s="3"/>
      <c r="E463" s="3"/>
      <c r="F463" s="3"/>
      <c r="G463" s="3"/>
      <c r="H463" s="3"/>
      <c r="I463" s="3"/>
      <c r="J463" s="3"/>
      <c r="K463" s="3"/>
      <c r="L463" s="3"/>
      <c r="M463" s="3"/>
      <c r="N463" s="3"/>
      <c r="O463" s="3"/>
      <c r="P463" s="3"/>
      <c r="Q463" s="3"/>
      <c r="R463" s="3"/>
    </row>
    <row r="464" spans="1:18" x14ac:dyDescent="0.3">
      <c r="A464" s="3"/>
      <c r="B464" s="3"/>
      <c r="C464" s="3"/>
      <c r="D464" s="3"/>
      <c r="E464" s="3"/>
      <c r="F464" s="3"/>
      <c r="G464" s="3"/>
      <c r="H464" s="3"/>
      <c r="I464" s="3"/>
      <c r="J464" s="3"/>
      <c r="K464" s="3"/>
      <c r="L464" s="3"/>
      <c r="M464" s="3"/>
      <c r="N464" s="3"/>
      <c r="O464" s="3"/>
      <c r="P464" s="3"/>
      <c r="Q464" s="3"/>
      <c r="R464" s="3"/>
    </row>
    <row r="465" spans="1:18" x14ac:dyDescent="0.3">
      <c r="A465" s="3"/>
      <c r="B465" s="3"/>
      <c r="C465" s="3"/>
      <c r="D465" s="3"/>
      <c r="E465" s="3"/>
      <c r="F465" s="3"/>
      <c r="G465" s="3"/>
      <c r="H465" s="3"/>
      <c r="I465" s="3"/>
      <c r="J465" s="3"/>
      <c r="K465" s="3"/>
      <c r="L465" s="3"/>
      <c r="M465" s="3"/>
      <c r="N465" s="3"/>
      <c r="O465" s="3"/>
      <c r="P465" s="3"/>
      <c r="Q465" s="3"/>
      <c r="R465" s="3"/>
    </row>
    <row r="466" spans="1:18" x14ac:dyDescent="0.3">
      <c r="A466" s="3"/>
      <c r="B466" s="3"/>
      <c r="C466" s="3"/>
      <c r="D466" s="3"/>
      <c r="E466" s="3"/>
      <c r="F466" s="3"/>
      <c r="G466" s="3"/>
      <c r="H466" s="3"/>
      <c r="I466" s="3"/>
      <c r="J466" s="3"/>
      <c r="K466" s="3"/>
      <c r="L466" s="3"/>
      <c r="M466" s="3"/>
      <c r="N466" s="3"/>
      <c r="O466" s="3"/>
      <c r="P466" s="3"/>
      <c r="Q466" s="3"/>
      <c r="R466" s="3"/>
    </row>
    <row r="467" spans="1:18" x14ac:dyDescent="0.3">
      <c r="A467" s="3"/>
      <c r="B467" s="3"/>
      <c r="C467" s="3"/>
      <c r="D467" s="3"/>
      <c r="E467" s="3"/>
      <c r="F467" s="3"/>
      <c r="G467" s="3"/>
      <c r="H467" s="3"/>
      <c r="I467" s="3"/>
      <c r="J467" s="3"/>
      <c r="K467" s="3"/>
      <c r="L467" s="3"/>
      <c r="M467" s="3"/>
      <c r="N467" s="3"/>
      <c r="O467" s="3"/>
      <c r="P467" s="3"/>
      <c r="Q467" s="3"/>
      <c r="R467" s="3"/>
    </row>
    <row r="468" spans="1:18" x14ac:dyDescent="0.3">
      <c r="A468" s="3"/>
      <c r="B468" s="3"/>
      <c r="C468" s="3"/>
      <c r="D468" s="3"/>
      <c r="E468" s="3"/>
      <c r="F468" s="3"/>
      <c r="G468" s="3"/>
      <c r="H468" s="3"/>
      <c r="I468" s="3"/>
      <c r="J468" s="3"/>
      <c r="K468" s="3"/>
      <c r="L468" s="3"/>
      <c r="M468" s="3"/>
      <c r="N468" s="3"/>
      <c r="O468" s="3"/>
      <c r="P468" s="3"/>
      <c r="Q468" s="3"/>
      <c r="R468" s="3"/>
    </row>
    <row r="469" spans="1:18" x14ac:dyDescent="0.3">
      <c r="A469" s="3"/>
      <c r="B469" s="3"/>
      <c r="C469" s="3"/>
      <c r="D469" s="3"/>
      <c r="E469" s="3"/>
      <c r="F469" s="3"/>
      <c r="G469" s="3"/>
      <c r="H469" s="3"/>
      <c r="I469" s="3"/>
      <c r="J469" s="3"/>
      <c r="K469" s="3"/>
      <c r="L469" s="3"/>
      <c r="M469" s="3"/>
      <c r="N469" s="3"/>
      <c r="O469" s="3"/>
      <c r="P469" s="3"/>
      <c r="Q469" s="3"/>
      <c r="R469" s="3"/>
    </row>
    <row r="470" spans="1:18" x14ac:dyDescent="0.3">
      <c r="A470" s="3"/>
      <c r="B470" s="3"/>
      <c r="C470" s="3"/>
      <c r="D470" s="3"/>
      <c r="E470" s="3"/>
      <c r="F470" s="3"/>
      <c r="G470" s="3"/>
      <c r="H470" s="3"/>
      <c r="I470" s="3"/>
      <c r="J470" s="3"/>
      <c r="K470" s="3"/>
      <c r="L470" s="3"/>
      <c r="M470" s="3"/>
      <c r="N470" s="3"/>
      <c r="O470" s="3"/>
      <c r="P470" s="3"/>
      <c r="Q470" s="3"/>
      <c r="R470" s="3"/>
    </row>
    <row r="471" spans="1:18" x14ac:dyDescent="0.3">
      <c r="A471" s="3"/>
      <c r="B471" s="3"/>
      <c r="C471" s="3"/>
      <c r="D471" s="3"/>
      <c r="E471" s="3"/>
      <c r="F471" s="3"/>
      <c r="G471" s="3"/>
      <c r="H471" s="3"/>
      <c r="I471" s="3"/>
      <c r="J471" s="3"/>
      <c r="K471" s="3"/>
      <c r="L471" s="3"/>
      <c r="M471" s="3"/>
      <c r="N471" s="3"/>
      <c r="O471" s="3"/>
      <c r="P471" s="3"/>
      <c r="Q471" s="3"/>
      <c r="R471" s="3"/>
    </row>
    <row r="472" spans="1:18" x14ac:dyDescent="0.3">
      <c r="A472" s="3"/>
      <c r="B472" s="3"/>
      <c r="C472" s="3"/>
      <c r="D472" s="3"/>
      <c r="E472" s="3"/>
      <c r="F472" s="3"/>
      <c r="G472" s="3"/>
      <c r="H472" s="3"/>
      <c r="I472" s="3"/>
      <c r="J472" s="3"/>
      <c r="K472" s="3"/>
      <c r="L472" s="3"/>
      <c r="M472" s="3"/>
      <c r="N472" s="3"/>
      <c r="O472" s="3"/>
      <c r="P472" s="3"/>
      <c r="Q472" s="3"/>
      <c r="R472" s="3"/>
    </row>
    <row r="473" spans="1:18" x14ac:dyDescent="0.3">
      <c r="A473" s="3"/>
      <c r="B473" s="3"/>
      <c r="C473" s="3"/>
      <c r="D473" s="3"/>
      <c r="E473" s="3"/>
      <c r="F473" s="3"/>
      <c r="G473" s="3"/>
      <c r="H473" s="3"/>
      <c r="I473" s="3"/>
      <c r="J473" s="3"/>
      <c r="K473" s="3"/>
      <c r="L473" s="3"/>
      <c r="M473" s="3"/>
      <c r="N473" s="3"/>
      <c r="O473" s="3"/>
      <c r="P473" s="3"/>
      <c r="Q473" s="3"/>
      <c r="R473" s="3"/>
    </row>
    <row r="474" spans="1:18" x14ac:dyDescent="0.3">
      <c r="A474" s="3"/>
      <c r="B474" s="3"/>
      <c r="C474" s="3"/>
      <c r="D474" s="3"/>
      <c r="E474" s="3"/>
      <c r="F474" s="3"/>
      <c r="G474" s="3"/>
      <c r="H474" s="3"/>
      <c r="I474" s="3"/>
      <c r="J474" s="3"/>
      <c r="K474" s="3"/>
      <c r="L474" s="3"/>
      <c r="M474" s="3"/>
      <c r="N474" s="3"/>
      <c r="O474" s="3"/>
      <c r="P474" s="3"/>
      <c r="Q474" s="3"/>
      <c r="R474" s="3"/>
    </row>
    <row r="475" spans="1:18" x14ac:dyDescent="0.3">
      <c r="A475" s="3"/>
      <c r="B475" s="3"/>
      <c r="C475" s="3"/>
      <c r="D475" s="3"/>
      <c r="E475" s="3"/>
      <c r="F475" s="3"/>
      <c r="G475" s="3"/>
      <c r="H475" s="3"/>
      <c r="I475" s="3"/>
      <c r="J475" s="3"/>
      <c r="K475" s="3"/>
      <c r="L475" s="3"/>
      <c r="M475" s="3"/>
      <c r="N475" s="3"/>
      <c r="O475" s="3"/>
      <c r="P475" s="3"/>
      <c r="Q475" s="3"/>
      <c r="R475" s="3"/>
    </row>
    <row r="476" spans="1:18" x14ac:dyDescent="0.3">
      <c r="A476" s="3"/>
      <c r="B476" s="3"/>
      <c r="C476" s="3"/>
      <c r="D476" s="3"/>
      <c r="E476" s="3"/>
      <c r="F476" s="3"/>
      <c r="G476" s="3"/>
      <c r="H476" s="3"/>
      <c r="I476" s="3"/>
      <c r="J476" s="3"/>
      <c r="K476" s="3"/>
      <c r="L476" s="3"/>
      <c r="M476" s="3"/>
      <c r="N476" s="3"/>
      <c r="O476" s="3"/>
      <c r="P476" s="3"/>
      <c r="Q476" s="3"/>
      <c r="R476" s="3"/>
    </row>
    <row r="477" spans="1:18" x14ac:dyDescent="0.3">
      <c r="A477" s="3"/>
      <c r="B477" s="3"/>
      <c r="C477" s="3"/>
      <c r="D477" s="3"/>
      <c r="E477" s="3"/>
      <c r="F477" s="3"/>
      <c r="G477" s="3"/>
      <c r="H477" s="3"/>
      <c r="I477" s="3"/>
      <c r="J477" s="3"/>
      <c r="K477" s="3"/>
      <c r="L477" s="3"/>
      <c r="M477" s="3"/>
      <c r="N477" s="3"/>
      <c r="O477" s="3"/>
      <c r="P477" s="3"/>
      <c r="Q477" s="3"/>
      <c r="R477" s="3"/>
    </row>
    <row r="478" spans="1:18" x14ac:dyDescent="0.3">
      <c r="A478" s="3"/>
      <c r="B478" s="3"/>
      <c r="C478" s="3"/>
      <c r="D478" s="3"/>
      <c r="E478" s="3"/>
      <c r="F478" s="3"/>
      <c r="G478" s="3"/>
      <c r="H478" s="3"/>
      <c r="I478" s="3"/>
      <c r="J478" s="3"/>
      <c r="K478" s="3"/>
      <c r="L478" s="3"/>
      <c r="M478" s="3"/>
      <c r="N478" s="3"/>
      <c r="O478" s="3"/>
      <c r="P478" s="3"/>
      <c r="Q478" s="3"/>
      <c r="R478" s="3"/>
    </row>
    <row r="479" spans="1:18" x14ac:dyDescent="0.3">
      <c r="A479" s="3"/>
      <c r="B479" s="3"/>
      <c r="C479" s="3"/>
      <c r="D479" s="3"/>
      <c r="E479" s="3"/>
      <c r="F479" s="3"/>
      <c r="G479" s="3"/>
      <c r="H479" s="3"/>
      <c r="I479" s="3"/>
      <c r="J479" s="3"/>
      <c r="K479" s="3"/>
      <c r="L479" s="3"/>
      <c r="M479" s="3"/>
      <c r="N479" s="3"/>
      <c r="O479" s="3"/>
      <c r="P479" s="3"/>
      <c r="Q479" s="3"/>
      <c r="R479" s="3"/>
    </row>
    <row r="480" spans="1:18" x14ac:dyDescent="0.3">
      <c r="A480" s="3"/>
      <c r="B480" s="3"/>
      <c r="C480" s="3"/>
      <c r="D480" s="3"/>
      <c r="E480" s="3"/>
      <c r="F480" s="3"/>
      <c r="G480" s="3"/>
      <c r="H480" s="3"/>
      <c r="I480" s="3"/>
      <c r="J480" s="3"/>
      <c r="K480" s="3"/>
      <c r="L480" s="3"/>
      <c r="M480" s="3"/>
      <c r="N480" s="3"/>
      <c r="O480" s="3"/>
      <c r="P480" s="3"/>
      <c r="Q480" s="3"/>
      <c r="R480" s="3"/>
    </row>
    <row r="481" spans="1:18" x14ac:dyDescent="0.3">
      <c r="A481" s="3"/>
      <c r="B481" s="3"/>
      <c r="C481" s="3"/>
      <c r="D481" s="3"/>
      <c r="E481" s="3"/>
      <c r="F481" s="3"/>
      <c r="G481" s="3"/>
      <c r="H481" s="3"/>
      <c r="I481" s="3"/>
      <c r="J481" s="3"/>
      <c r="K481" s="3"/>
      <c r="L481" s="3"/>
      <c r="M481" s="3"/>
      <c r="N481" s="3"/>
      <c r="O481" s="3"/>
      <c r="P481" s="3"/>
      <c r="Q481" s="3"/>
      <c r="R481" s="3"/>
    </row>
    <row r="482" spans="1:18" x14ac:dyDescent="0.3">
      <c r="A482" s="3"/>
      <c r="B482" s="3"/>
      <c r="C482" s="3"/>
      <c r="D482" s="3"/>
      <c r="E482" s="3"/>
      <c r="F482" s="3"/>
      <c r="G482" s="3"/>
      <c r="H482" s="3"/>
      <c r="I482" s="3"/>
      <c r="J482" s="3"/>
      <c r="K482" s="3"/>
      <c r="L482" s="3"/>
      <c r="M482" s="3"/>
      <c r="N482" s="3"/>
      <c r="O482" s="3"/>
      <c r="P482" s="3"/>
      <c r="Q482" s="3"/>
      <c r="R482" s="3"/>
    </row>
    <row r="483" spans="1:18" x14ac:dyDescent="0.3">
      <c r="A483" s="3"/>
      <c r="B483" s="3"/>
      <c r="C483" s="3"/>
      <c r="D483" s="3"/>
      <c r="E483" s="3"/>
      <c r="F483" s="3"/>
      <c r="G483" s="3"/>
      <c r="H483" s="3"/>
      <c r="I483" s="3"/>
      <c r="J483" s="3"/>
      <c r="K483" s="3"/>
      <c r="L483" s="3"/>
      <c r="M483" s="3"/>
      <c r="N483" s="3"/>
      <c r="O483" s="3"/>
      <c r="P483" s="3"/>
      <c r="Q483" s="3"/>
      <c r="R483" s="3"/>
    </row>
    <row r="484" spans="1:18" x14ac:dyDescent="0.3">
      <c r="A484" s="3"/>
      <c r="B484" s="3"/>
      <c r="C484" s="3"/>
      <c r="D484" s="3"/>
      <c r="E484" s="3"/>
      <c r="F484" s="3"/>
      <c r="G484" s="3"/>
      <c r="H484" s="3"/>
      <c r="I484" s="3"/>
      <c r="J484" s="3"/>
      <c r="K484" s="3"/>
      <c r="L484" s="3"/>
      <c r="M484" s="3"/>
      <c r="N484" s="3"/>
      <c r="O484" s="3"/>
      <c r="P484" s="3"/>
      <c r="Q484" s="3"/>
      <c r="R484" s="3"/>
    </row>
    <row r="485" spans="1:18" x14ac:dyDescent="0.3">
      <c r="A485" s="3"/>
      <c r="B485" s="3"/>
      <c r="C485" s="3"/>
      <c r="D485" s="3"/>
      <c r="E485" s="3"/>
      <c r="F485" s="3"/>
      <c r="G485" s="3"/>
      <c r="H485" s="3"/>
      <c r="I485" s="3"/>
      <c r="J485" s="3"/>
      <c r="K485" s="3"/>
      <c r="L485" s="3"/>
      <c r="M485" s="3"/>
      <c r="N485" s="3"/>
      <c r="O485" s="3"/>
      <c r="P485" s="3"/>
      <c r="Q485" s="3"/>
      <c r="R485" s="3"/>
    </row>
    <row r="486" spans="1:18" x14ac:dyDescent="0.3">
      <c r="A486" s="3"/>
      <c r="B486" s="3"/>
      <c r="C486" s="3"/>
      <c r="D486" s="3"/>
      <c r="E486" s="3"/>
      <c r="F486" s="3"/>
      <c r="G486" s="3"/>
      <c r="H486" s="3"/>
      <c r="I486" s="3"/>
      <c r="J486" s="3"/>
      <c r="K486" s="3"/>
      <c r="L486" s="3"/>
      <c r="M486" s="3"/>
      <c r="N486" s="3"/>
      <c r="O486" s="3"/>
      <c r="P486" s="3"/>
      <c r="Q486" s="3"/>
      <c r="R486" s="3"/>
    </row>
    <row r="487" spans="1:18" x14ac:dyDescent="0.3">
      <c r="A487" s="3"/>
      <c r="B487" s="3"/>
      <c r="C487" s="3"/>
      <c r="D487" s="3"/>
      <c r="E487" s="3"/>
      <c r="F487" s="3"/>
      <c r="G487" s="3"/>
      <c r="H487" s="3"/>
      <c r="I487" s="3"/>
      <c r="J487" s="3"/>
      <c r="K487" s="3"/>
      <c r="L487" s="3"/>
      <c r="M487" s="3"/>
      <c r="N487" s="3"/>
      <c r="O487" s="3"/>
      <c r="P487" s="3"/>
      <c r="Q487" s="3"/>
      <c r="R487" s="3"/>
    </row>
    <row r="488" spans="1:18" x14ac:dyDescent="0.3">
      <c r="A488" s="3"/>
      <c r="B488" s="3"/>
      <c r="C488" s="3"/>
      <c r="D488" s="3"/>
      <c r="E488" s="3"/>
      <c r="F488" s="3"/>
      <c r="G488" s="3"/>
      <c r="H488" s="3"/>
      <c r="I488" s="3"/>
      <c r="J488" s="3"/>
      <c r="K488" s="3"/>
      <c r="L488" s="3"/>
      <c r="M488" s="3"/>
      <c r="N488" s="3"/>
      <c r="O488" s="3"/>
      <c r="P488" s="3"/>
      <c r="Q488" s="3"/>
      <c r="R488" s="3"/>
    </row>
    <row r="489" spans="1:18" x14ac:dyDescent="0.3">
      <c r="A489" s="3"/>
      <c r="B489" s="3"/>
      <c r="C489" s="3"/>
      <c r="D489" s="3"/>
      <c r="E489" s="3"/>
      <c r="F489" s="3"/>
      <c r="G489" s="3"/>
      <c r="H489" s="3"/>
      <c r="I489" s="3"/>
      <c r="J489" s="3"/>
      <c r="K489" s="3"/>
      <c r="L489" s="3"/>
      <c r="M489" s="3"/>
      <c r="N489" s="3"/>
      <c r="O489" s="3"/>
      <c r="P489" s="3"/>
      <c r="Q489" s="3"/>
      <c r="R489" s="3"/>
    </row>
    <row r="490" spans="1:18" x14ac:dyDescent="0.3">
      <c r="A490" s="3"/>
      <c r="B490" s="3"/>
      <c r="C490" s="3"/>
      <c r="D490" s="3"/>
      <c r="E490" s="3"/>
      <c r="F490" s="3"/>
      <c r="G490" s="3"/>
      <c r="H490" s="3"/>
      <c r="I490" s="3"/>
      <c r="J490" s="3"/>
      <c r="K490" s="3"/>
      <c r="L490" s="3"/>
      <c r="M490" s="3"/>
      <c r="N490" s="3"/>
      <c r="O490" s="3"/>
      <c r="P490" s="3"/>
      <c r="Q490" s="3"/>
      <c r="R490" s="3"/>
    </row>
    <row r="491" spans="1:18" x14ac:dyDescent="0.3">
      <c r="A491" s="3"/>
      <c r="B491" s="3"/>
      <c r="C491" s="3"/>
      <c r="D491" s="3"/>
      <c r="E491" s="3"/>
      <c r="F491" s="3"/>
      <c r="G491" s="3"/>
      <c r="H491" s="3"/>
      <c r="I491" s="3"/>
      <c r="J491" s="3"/>
      <c r="K491" s="3"/>
      <c r="L491" s="3"/>
      <c r="M491" s="3"/>
      <c r="N491" s="3"/>
      <c r="O491" s="3"/>
      <c r="P491" s="3"/>
      <c r="Q491" s="3"/>
      <c r="R491" s="3"/>
    </row>
    <row r="492" spans="1:18" x14ac:dyDescent="0.3">
      <c r="A492" s="3"/>
      <c r="B492" s="3"/>
      <c r="C492" s="3"/>
      <c r="D492" s="3"/>
      <c r="E492" s="3"/>
      <c r="F492" s="3"/>
      <c r="G492" s="3"/>
      <c r="H492" s="3"/>
      <c r="I492" s="3"/>
      <c r="J492" s="3"/>
      <c r="K492" s="3"/>
      <c r="L492" s="3"/>
      <c r="M492" s="3"/>
      <c r="N492" s="3"/>
      <c r="O492" s="3"/>
      <c r="P492" s="3"/>
      <c r="Q492" s="3"/>
      <c r="R492" s="3"/>
    </row>
    <row r="493" spans="1:18" x14ac:dyDescent="0.3">
      <c r="A493" s="3"/>
      <c r="B493" s="3"/>
      <c r="C493" s="3"/>
      <c r="D493" s="3"/>
      <c r="E493" s="3"/>
      <c r="F493" s="3"/>
      <c r="G493" s="3"/>
      <c r="H493" s="3"/>
      <c r="I493" s="3"/>
      <c r="J493" s="3"/>
      <c r="K493" s="3"/>
      <c r="L493" s="3"/>
      <c r="M493" s="3"/>
      <c r="N493" s="3"/>
      <c r="O493" s="3"/>
      <c r="P493" s="3"/>
      <c r="Q493" s="3"/>
      <c r="R493" s="3"/>
    </row>
    <row r="494" spans="1:18" x14ac:dyDescent="0.3">
      <c r="A494" s="3"/>
      <c r="B494" s="3"/>
      <c r="C494" s="3"/>
      <c r="D494" s="3"/>
      <c r="E494" s="3"/>
      <c r="F494" s="3"/>
      <c r="G494" s="3"/>
      <c r="H494" s="3"/>
      <c r="I494" s="3"/>
      <c r="J494" s="3"/>
      <c r="K494" s="3"/>
      <c r="L494" s="3"/>
      <c r="M494" s="3"/>
      <c r="N494" s="3"/>
      <c r="O494" s="3"/>
      <c r="P494" s="3"/>
      <c r="Q494" s="3"/>
      <c r="R494" s="3"/>
    </row>
    <row r="495" spans="1:18" x14ac:dyDescent="0.3">
      <c r="A495" s="3"/>
      <c r="B495" s="3"/>
      <c r="C495" s="3"/>
      <c r="D495" s="3"/>
      <c r="E495" s="3"/>
      <c r="F495" s="3"/>
      <c r="G495" s="3"/>
      <c r="H495" s="3"/>
      <c r="I495" s="3"/>
      <c r="J495" s="3"/>
      <c r="K495" s="3"/>
      <c r="L495" s="3"/>
      <c r="M495" s="3"/>
      <c r="N495" s="3"/>
      <c r="O495" s="3"/>
      <c r="P495" s="3"/>
      <c r="Q495" s="3"/>
      <c r="R495" s="3"/>
    </row>
    <row r="496" spans="1:18" x14ac:dyDescent="0.3">
      <c r="A496" s="3"/>
      <c r="B496" s="3"/>
      <c r="C496" s="3"/>
      <c r="D496" s="3"/>
      <c r="E496" s="3"/>
      <c r="F496" s="3"/>
      <c r="G496" s="3"/>
      <c r="H496" s="3"/>
      <c r="I496" s="3"/>
      <c r="J496" s="3"/>
      <c r="K496" s="3"/>
      <c r="L496" s="3"/>
      <c r="M496" s="3"/>
      <c r="N496" s="3"/>
      <c r="O496" s="3"/>
      <c r="P496" s="3"/>
      <c r="Q496" s="3"/>
      <c r="R496" s="3"/>
    </row>
    <row r="497" spans="1:18" x14ac:dyDescent="0.3">
      <c r="A497" s="3"/>
      <c r="B497" s="3"/>
      <c r="C497" s="3"/>
      <c r="D497" s="3"/>
      <c r="E497" s="3"/>
      <c r="F497" s="3"/>
      <c r="G497" s="3"/>
      <c r="H497" s="3"/>
      <c r="I497" s="3"/>
      <c r="J497" s="3"/>
      <c r="K497" s="3"/>
      <c r="L497" s="3"/>
      <c r="M497" s="3"/>
      <c r="N497" s="3"/>
      <c r="O497" s="3"/>
      <c r="P497" s="3"/>
      <c r="Q497" s="3"/>
      <c r="R497" s="3"/>
    </row>
    <row r="498" spans="1:18" x14ac:dyDescent="0.3">
      <c r="A498" s="3"/>
      <c r="B498" s="3"/>
      <c r="C498" s="3"/>
      <c r="D498" s="3"/>
      <c r="E498" s="3"/>
      <c r="F498" s="3"/>
      <c r="G498" s="3"/>
      <c r="H498" s="3"/>
      <c r="I498" s="3"/>
      <c r="J498" s="3"/>
      <c r="K498" s="3"/>
      <c r="L498" s="3"/>
      <c r="M498" s="3"/>
      <c r="N498" s="3"/>
      <c r="O498" s="3"/>
      <c r="P498" s="3"/>
      <c r="Q498" s="3"/>
      <c r="R498" s="3"/>
    </row>
    <row r="499" spans="1:18" x14ac:dyDescent="0.3">
      <c r="A499" s="3"/>
      <c r="B499" s="3"/>
      <c r="C499" s="3"/>
      <c r="D499" s="3"/>
      <c r="E499" s="3"/>
      <c r="F499" s="3"/>
      <c r="G499" s="3"/>
      <c r="H499" s="3"/>
      <c r="I499" s="3"/>
      <c r="J499" s="3"/>
      <c r="K499" s="3"/>
      <c r="L499" s="3"/>
      <c r="M499" s="3"/>
      <c r="N499" s="3"/>
      <c r="O499" s="3"/>
      <c r="P499" s="3"/>
      <c r="Q499" s="3"/>
      <c r="R499" s="3"/>
    </row>
    <row r="500" spans="1:18" x14ac:dyDescent="0.3">
      <c r="A500" s="3"/>
      <c r="B500" s="3"/>
      <c r="C500" s="3"/>
      <c r="D500" s="3"/>
      <c r="E500" s="3"/>
      <c r="F500" s="3"/>
      <c r="G500" s="3"/>
      <c r="H500" s="3"/>
      <c r="I500" s="3"/>
      <c r="J500" s="3"/>
      <c r="K500" s="3"/>
      <c r="L500" s="3"/>
      <c r="M500" s="3"/>
      <c r="N500" s="3"/>
      <c r="O500" s="3"/>
      <c r="P500" s="3"/>
      <c r="Q500" s="3"/>
      <c r="R500" s="3"/>
    </row>
    <row r="501" spans="1:18" x14ac:dyDescent="0.3">
      <c r="A501" s="3"/>
      <c r="B501" s="3"/>
      <c r="C501" s="3"/>
      <c r="D501" s="3"/>
      <c r="E501" s="3"/>
      <c r="F501" s="3"/>
      <c r="G501" s="3"/>
      <c r="H501" s="3"/>
      <c r="I501" s="3"/>
      <c r="J501" s="3"/>
      <c r="K501" s="3"/>
      <c r="L501" s="3"/>
      <c r="M501" s="3"/>
      <c r="N501" s="3"/>
      <c r="O501" s="3"/>
      <c r="P501" s="3"/>
      <c r="Q501" s="3"/>
      <c r="R501" s="3"/>
    </row>
    <row r="502" spans="1:18" x14ac:dyDescent="0.3">
      <c r="A502" s="3"/>
      <c r="B502" s="3"/>
      <c r="C502" s="3"/>
      <c r="D502" s="3"/>
      <c r="E502" s="3"/>
      <c r="F502" s="3"/>
      <c r="G502" s="3"/>
      <c r="H502" s="3"/>
      <c r="I502" s="3"/>
      <c r="J502" s="3"/>
      <c r="K502" s="3"/>
      <c r="L502" s="3"/>
      <c r="M502" s="3"/>
      <c r="N502" s="3"/>
      <c r="O502" s="3"/>
      <c r="P502" s="3"/>
      <c r="Q502" s="3"/>
      <c r="R502" s="3"/>
    </row>
    <row r="503" spans="1:18" x14ac:dyDescent="0.3">
      <c r="A503" s="3"/>
      <c r="B503" s="3"/>
      <c r="C503" s="3"/>
      <c r="D503" s="3"/>
      <c r="E503" s="3"/>
      <c r="F503" s="3"/>
      <c r="G503" s="3"/>
      <c r="H503" s="3"/>
      <c r="I503" s="3"/>
      <c r="J503" s="3"/>
      <c r="K503" s="3"/>
      <c r="L503" s="3"/>
      <c r="M503" s="3"/>
      <c r="N503" s="3"/>
      <c r="O503" s="3"/>
      <c r="P503" s="3"/>
      <c r="Q503" s="3"/>
      <c r="R503" s="3"/>
    </row>
    <row r="504" spans="1:18" x14ac:dyDescent="0.3">
      <c r="A504" s="3"/>
      <c r="B504" s="3"/>
      <c r="C504" s="3"/>
      <c r="D504" s="3"/>
      <c r="E504" s="3"/>
      <c r="F504" s="3"/>
      <c r="G504" s="3"/>
      <c r="H504" s="3"/>
      <c r="I504" s="3"/>
      <c r="J504" s="3"/>
      <c r="K504" s="3"/>
      <c r="L504" s="3"/>
      <c r="M504" s="3"/>
      <c r="N504" s="3"/>
      <c r="O504" s="3"/>
      <c r="P504" s="3"/>
      <c r="Q504" s="3"/>
      <c r="R504" s="3"/>
    </row>
    <row r="505" spans="1:18" x14ac:dyDescent="0.3">
      <c r="A505" s="3"/>
      <c r="B505" s="3"/>
      <c r="C505" s="3"/>
      <c r="D505" s="3"/>
      <c r="E505" s="3"/>
      <c r="F505" s="3"/>
      <c r="G505" s="3"/>
      <c r="H505" s="3"/>
      <c r="I505" s="3"/>
      <c r="J505" s="3"/>
      <c r="K505" s="3"/>
      <c r="L505" s="3"/>
      <c r="M505" s="3"/>
      <c r="N505" s="3"/>
      <c r="O505" s="3"/>
      <c r="P505" s="3"/>
      <c r="Q505" s="3"/>
      <c r="R505" s="3"/>
    </row>
    <row r="506" spans="1:18" x14ac:dyDescent="0.3">
      <c r="A506" s="3"/>
      <c r="B506" s="3"/>
      <c r="C506" s="3"/>
      <c r="D506" s="3"/>
      <c r="E506" s="3"/>
      <c r="F506" s="3"/>
      <c r="G506" s="3"/>
      <c r="H506" s="3"/>
      <c r="I506" s="3"/>
      <c r="J506" s="3"/>
      <c r="K506" s="3"/>
      <c r="L506" s="3"/>
      <c r="M506" s="3"/>
      <c r="N506" s="3"/>
      <c r="O506" s="3"/>
      <c r="P506" s="3"/>
      <c r="Q506" s="3"/>
      <c r="R506" s="3"/>
    </row>
    <row r="507" spans="1:18" x14ac:dyDescent="0.3">
      <c r="A507" s="3"/>
      <c r="B507" s="3"/>
      <c r="C507" s="3"/>
      <c r="D507" s="3"/>
      <c r="E507" s="3"/>
      <c r="F507" s="3"/>
      <c r="G507" s="3"/>
      <c r="H507" s="3"/>
      <c r="I507" s="3"/>
      <c r="J507" s="3"/>
      <c r="K507" s="3"/>
      <c r="L507" s="3"/>
      <c r="M507" s="3"/>
      <c r="N507" s="3"/>
      <c r="O507" s="3"/>
      <c r="P507" s="3"/>
      <c r="Q507" s="3"/>
      <c r="R507" s="3"/>
    </row>
    <row r="508" spans="1:18" x14ac:dyDescent="0.3">
      <c r="A508" s="3"/>
      <c r="B508" s="3"/>
      <c r="C508" s="3"/>
      <c r="D508" s="3"/>
      <c r="E508" s="3"/>
      <c r="F508" s="3"/>
      <c r="G508" s="3"/>
      <c r="H508" s="3"/>
      <c r="I508" s="3"/>
      <c r="J508" s="3"/>
      <c r="K508" s="3"/>
      <c r="L508" s="3"/>
      <c r="M508" s="3"/>
      <c r="N508" s="3"/>
      <c r="O508" s="3"/>
      <c r="P508" s="3"/>
      <c r="Q508" s="3"/>
      <c r="R508" s="3"/>
    </row>
    <row r="509" spans="1:18" x14ac:dyDescent="0.3">
      <c r="A509" s="3"/>
      <c r="B509" s="3"/>
      <c r="C509" s="3"/>
      <c r="D509" s="3"/>
      <c r="E509" s="3"/>
      <c r="F509" s="3"/>
      <c r="G509" s="3"/>
      <c r="H509" s="3"/>
      <c r="I509" s="3"/>
      <c r="J509" s="3"/>
      <c r="K509" s="3"/>
      <c r="L509" s="3"/>
      <c r="M509" s="3"/>
      <c r="N509" s="3"/>
      <c r="O509" s="3"/>
      <c r="P509" s="3"/>
      <c r="Q509" s="3"/>
      <c r="R509" s="3"/>
    </row>
    <row r="510" spans="1:18" x14ac:dyDescent="0.3">
      <c r="A510" s="3"/>
      <c r="B510" s="3"/>
      <c r="C510" s="3"/>
      <c r="D510" s="3"/>
      <c r="E510" s="3"/>
      <c r="F510" s="3"/>
      <c r="G510" s="3"/>
      <c r="H510" s="3"/>
      <c r="I510" s="3"/>
      <c r="J510" s="3"/>
      <c r="K510" s="3"/>
      <c r="L510" s="3"/>
      <c r="M510" s="3"/>
      <c r="N510" s="3"/>
      <c r="O510" s="3"/>
      <c r="P510" s="3"/>
      <c r="Q510" s="3"/>
      <c r="R510" s="3"/>
    </row>
    <row r="511" spans="1:18" x14ac:dyDescent="0.3">
      <c r="A511" s="3"/>
      <c r="B511" s="3"/>
      <c r="C511" s="3"/>
      <c r="D511" s="3"/>
      <c r="E511" s="3"/>
      <c r="F511" s="3"/>
      <c r="G511" s="3"/>
      <c r="H511" s="3"/>
      <c r="I511" s="3"/>
      <c r="J511" s="3"/>
      <c r="K511" s="3"/>
      <c r="L511" s="3"/>
      <c r="M511" s="3"/>
      <c r="N511" s="3"/>
      <c r="O511" s="3"/>
      <c r="P511" s="3"/>
      <c r="Q511" s="3"/>
      <c r="R511" s="3"/>
    </row>
    <row r="512" spans="1:18" x14ac:dyDescent="0.3">
      <c r="A512" s="3"/>
      <c r="B512" s="3"/>
      <c r="C512" s="3"/>
      <c r="D512" s="3"/>
      <c r="E512" s="3"/>
      <c r="F512" s="3"/>
      <c r="G512" s="3"/>
      <c r="H512" s="3"/>
      <c r="I512" s="3"/>
      <c r="J512" s="3"/>
      <c r="K512" s="3"/>
      <c r="L512" s="3"/>
      <c r="M512" s="3"/>
      <c r="N512" s="3"/>
      <c r="O512" s="3"/>
      <c r="P512" s="3"/>
      <c r="Q512" s="3"/>
      <c r="R512" s="3"/>
    </row>
    <row r="513" spans="1:18" x14ac:dyDescent="0.3">
      <c r="A513" s="3"/>
      <c r="B513" s="3"/>
      <c r="C513" s="3"/>
      <c r="D513" s="3"/>
      <c r="E513" s="3"/>
      <c r="F513" s="3"/>
      <c r="G513" s="3"/>
      <c r="H513" s="3"/>
      <c r="I513" s="3"/>
      <c r="J513" s="3"/>
      <c r="K513" s="3"/>
      <c r="L513" s="3"/>
      <c r="M513" s="3"/>
      <c r="N513" s="3"/>
      <c r="O513" s="3"/>
      <c r="P513" s="3"/>
      <c r="Q513" s="3"/>
      <c r="R513" s="3"/>
    </row>
    <row r="514" spans="1:18" x14ac:dyDescent="0.3">
      <c r="A514" s="3"/>
      <c r="B514" s="3"/>
      <c r="C514" s="3"/>
      <c r="D514" s="3"/>
      <c r="E514" s="3"/>
      <c r="F514" s="3"/>
      <c r="G514" s="3"/>
      <c r="H514" s="3"/>
      <c r="I514" s="3"/>
      <c r="J514" s="3"/>
      <c r="K514" s="3"/>
      <c r="L514" s="3"/>
      <c r="M514" s="3"/>
      <c r="N514" s="3"/>
      <c r="O514" s="3"/>
      <c r="P514" s="3"/>
      <c r="Q514" s="3"/>
      <c r="R514" s="3"/>
    </row>
    <row r="515" spans="1:18" x14ac:dyDescent="0.3">
      <c r="A515" s="3"/>
      <c r="B515" s="3"/>
      <c r="C515" s="3"/>
      <c r="D515" s="3"/>
      <c r="E515" s="3"/>
      <c r="F515" s="3"/>
      <c r="G515" s="3"/>
      <c r="H515" s="3"/>
      <c r="I515" s="3"/>
      <c r="J515" s="3"/>
      <c r="K515" s="3"/>
      <c r="L515" s="3"/>
      <c r="M515" s="3"/>
      <c r="N515" s="3"/>
      <c r="O515" s="3"/>
      <c r="P515" s="3"/>
      <c r="Q515" s="3"/>
      <c r="R515" s="3"/>
    </row>
    <row r="516" spans="1:18" x14ac:dyDescent="0.3">
      <c r="A516" s="3"/>
      <c r="B516" s="3"/>
      <c r="C516" s="3"/>
      <c r="D516" s="3"/>
      <c r="E516" s="3"/>
      <c r="F516" s="3"/>
      <c r="G516" s="3"/>
      <c r="H516" s="3"/>
      <c r="I516" s="3"/>
      <c r="J516" s="3"/>
      <c r="K516" s="3"/>
      <c r="L516" s="3"/>
      <c r="M516" s="3"/>
      <c r="N516" s="3"/>
      <c r="O516" s="3"/>
      <c r="P516" s="3"/>
      <c r="Q516" s="3"/>
      <c r="R516" s="3"/>
    </row>
    <row r="517" spans="1:18" x14ac:dyDescent="0.3">
      <c r="A517" s="3"/>
      <c r="B517" s="3"/>
      <c r="C517" s="3"/>
      <c r="D517" s="3"/>
      <c r="E517" s="3"/>
      <c r="F517" s="3"/>
      <c r="G517" s="3"/>
      <c r="H517" s="3"/>
      <c r="I517" s="3"/>
      <c r="J517" s="3"/>
      <c r="K517" s="3"/>
      <c r="L517" s="3"/>
      <c r="M517" s="3"/>
      <c r="N517" s="3"/>
      <c r="O517" s="3"/>
      <c r="P517" s="3"/>
      <c r="Q517" s="3"/>
      <c r="R517" s="3"/>
    </row>
    <row r="518" spans="1:18" x14ac:dyDescent="0.3">
      <c r="A518" s="3"/>
      <c r="B518" s="3"/>
      <c r="C518" s="3"/>
      <c r="D518" s="3"/>
      <c r="E518" s="3"/>
      <c r="F518" s="3"/>
      <c r="G518" s="3"/>
      <c r="H518" s="3"/>
      <c r="I518" s="3"/>
      <c r="J518" s="3"/>
      <c r="K518" s="3"/>
      <c r="L518" s="3"/>
      <c r="M518" s="3"/>
      <c r="N518" s="3"/>
      <c r="O518" s="3"/>
      <c r="P518" s="3"/>
      <c r="Q518" s="3"/>
      <c r="R518" s="3"/>
    </row>
    <row r="519" spans="1:18" x14ac:dyDescent="0.3">
      <c r="A519" s="3"/>
      <c r="B519" s="3"/>
      <c r="C519" s="3"/>
      <c r="D519" s="3"/>
      <c r="E519" s="3"/>
      <c r="F519" s="3"/>
      <c r="G519" s="3"/>
      <c r="H519" s="3"/>
      <c r="I519" s="3"/>
      <c r="J519" s="3"/>
      <c r="K519" s="3"/>
      <c r="L519" s="3"/>
      <c r="M519" s="3"/>
      <c r="N519" s="3"/>
      <c r="O519" s="3"/>
      <c r="P519" s="3"/>
      <c r="Q519" s="3"/>
      <c r="R519" s="3"/>
    </row>
    <row r="520" spans="1:18" x14ac:dyDescent="0.3">
      <c r="A520" s="3"/>
      <c r="B520" s="3"/>
      <c r="C520" s="3"/>
      <c r="D520" s="3"/>
      <c r="E520" s="3"/>
      <c r="F520" s="3"/>
      <c r="G520" s="3"/>
      <c r="H520" s="3"/>
      <c r="I520" s="3"/>
      <c r="J520" s="3"/>
      <c r="K520" s="3"/>
      <c r="L520" s="3"/>
      <c r="M520" s="3"/>
      <c r="N520" s="3"/>
      <c r="O520" s="3"/>
      <c r="P520" s="3"/>
      <c r="Q520" s="3"/>
      <c r="R520" s="3"/>
    </row>
    <row r="521" spans="1:18" x14ac:dyDescent="0.3">
      <c r="A521" s="3"/>
      <c r="B521" s="3"/>
      <c r="C521" s="3"/>
      <c r="D521" s="3"/>
      <c r="E521" s="3"/>
      <c r="F521" s="3"/>
      <c r="G521" s="3"/>
      <c r="H521" s="3"/>
      <c r="I521" s="3"/>
      <c r="J521" s="3"/>
      <c r="K521" s="3"/>
      <c r="L521" s="3"/>
      <c r="M521" s="3"/>
      <c r="N521" s="3"/>
      <c r="O521" s="3"/>
      <c r="P521" s="3"/>
      <c r="Q521" s="3"/>
      <c r="R521" s="3"/>
    </row>
    <row r="522" spans="1:18" x14ac:dyDescent="0.3">
      <c r="A522" s="3"/>
      <c r="B522" s="3"/>
      <c r="C522" s="3"/>
      <c r="D522" s="3"/>
      <c r="E522" s="3"/>
      <c r="F522" s="3"/>
      <c r="G522" s="3"/>
      <c r="H522" s="3"/>
      <c r="I522" s="3"/>
      <c r="J522" s="3"/>
      <c r="K522" s="3"/>
      <c r="L522" s="3"/>
      <c r="M522" s="3"/>
      <c r="N522" s="3"/>
      <c r="O522" s="3"/>
      <c r="P522" s="3"/>
      <c r="Q522" s="3"/>
      <c r="R522" s="3"/>
    </row>
    <row r="523" spans="1:18" x14ac:dyDescent="0.3">
      <c r="A523" s="3"/>
      <c r="B523" s="3"/>
      <c r="C523" s="3"/>
      <c r="D523" s="3"/>
      <c r="E523" s="3"/>
      <c r="F523" s="3"/>
      <c r="G523" s="3"/>
      <c r="H523" s="3"/>
      <c r="I523" s="3"/>
      <c r="J523" s="3"/>
      <c r="K523" s="3"/>
      <c r="L523" s="3"/>
      <c r="M523" s="3"/>
      <c r="N523" s="3"/>
      <c r="O523" s="3"/>
      <c r="P523" s="3"/>
      <c r="Q523" s="3"/>
      <c r="R523" s="3"/>
    </row>
    <row r="524" spans="1:18" x14ac:dyDescent="0.3">
      <c r="A524" s="3"/>
      <c r="B524" s="3"/>
      <c r="C524" s="3"/>
      <c r="D524" s="3"/>
      <c r="E524" s="3"/>
      <c r="F524" s="3"/>
      <c r="G524" s="3"/>
      <c r="H524" s="3"/>
      <c r="I524" s="3"/>
      <c r="J524" s="3"/>
      <c r="K524" s="3"/>
      <c r="L524" s="3"/>
      <c r="M524" s="3"/>
      <c r="N524" s="3"/>
      <c r="O524" s="3"/>
      <c r="P524" s="3"/>
      <c r="Q524" s="3"/>
      <c r="R524" s="3"/>
    </row>
    <row r="525" spans="1:18" x14ac:dyDescent="0.3">
      <c r="A525" s="3"/>
      <c r="B525" s="3"/>
      <c r="C525" s="3"/>
      <c r="D525" s="3"/>
      <c r="E525" s="3"/>
      <c r="F525" s="3"/>
      <c r="G525" s="3"/>
      <c r="H525" s="3"/>
      <c r="I525" s="3"/>
      <c r="J525" s="3"/>
      <c r="K525" s="3"/>
      <c r="L525" s="3"/>
      <c r="M525" s="3"/>
      <c r="N525" s="3"/>
      <c r="O525" s="3"/>
      <c r="P525" s="3"/>
      <c r="Q525" s="3"/>
      <c r="R525" s="3"/>
    </row>
    <row r="526" spans="1:18" x14ac:dyDescent="0.3">
      <c r="A526" s="3"/>
      <c r="B526" s="3"/>
      <c r="C526" s="3"/>
      <c r="D526" s="3"/>
      <c r="E526" s="3"/>
      <c r="F526" s="3"/>
      <c r="G526" s="3"/>
      <c r="H526" s="3"/>
      <c r="I526" s="3"/>
      <c r="J526" s="3"/>
      <c r="K526" s="3"/>
      <c r="L526" s="3"/>
      <c r="M526" s="3"/>
      <c r="N526" s="3"/>
      <c r="O526" s="3"/>
      <c r="P526" s="3"/>
      <c r="Q526" s="3"/>
      <c r="R526" s="3"/>
    </row>
    <row r="527" spans="1:18" x14ac:dyDescent="0.3">
      <c r="A527" s="3"/>
      <c r="B527" s="3"/>
      <c r="C527" s="3"/>
      <c r="D527" s="3"/>
      <c r="E527" s="3"/>
      <c r="F527" s="3"/>
      <c r="G527" s="3"/>
      <c r="H527" s="3"/>
      <c r="I527" s="3"/>
      <c r="J527" s="3"/>
      <c r="K527" s="3"/>
      <c r="L527" s="3"/>
      <c r="M527" s="3"/>
      <c r="N527" s="3"/>
      <c r="O527" s="3"/>
      <c r="P527" s="3"/>
      <c r="Q527" s="3"/>
      <c r="R527" s="3"/>
    </row>
    <row r="528" spans="1:18" x14ac:dyDescent="0.3">
      <c r="A528" s="3"/>
      <c r="B528" s="3"/>
      <c r="C528" s="3"/>
      <c r="D528" s="3"/>
      <c r="E528" s="3"/>
      <c r="F528" s="3"/>
      <c r="G528" s="3"/>
      <c r="H528" s="3"/>
      <c r="I528" s="3"/>
      <c r="J528" s="3"/>
      <c r="K528" s="3"/>
      <c r="L528" s="3"/>
      <c r="M528" s="3"/>
      <c r="N528" s="3"/>
      <c r="O528" s="3"/>
      <c r="P528" s="3"/>
      <c r="Q528" s="3"/>
      <c r="R528" s="3"/>
    </row>
    <row r="529" spans="1:18" x14ac:dyDescent="0.3">
      <c r="A529" s="3"/>
      <c r="B529" s="3"/>
      <c r="C529" s="3"/>
      <c r="D529" s="3"/>
      <c r="E529" s="3"/>
      <c r="F529" s="3"/>
      <c r="G529" s="3"/>
      <c r="H529" s="3"/>
      <c r="I529" s="3"/>
      <c r="J529" s="3"/>
      <c r="K529" s="3"/>
      <c r="L529" s="3"/>
      <c r="M529" s="3"/>
      <c r="N529" s="3"/>
      <c r="O529" s="3"/>
      <c r="P529" s="3"/>
      <c r="Q529" s="3"/>
      <c r="R529" s="3"/>
    </row>
    <row r="530" spans="1:18" x14ac:dyDescent="0.3">
      <c r="A530" s="3"/>
      <c r="B530" s="3"/>
      <c r="C530" s="3"/>
      <c r="D530" s="3"/>
      <c r="E530" s="3"/>
      <c r="F530" s="3"/>
      <c r="G530" s="3"/>
      <c r="H530" s="3"/>
      <c r="I530" s="3"/>
      <c r="J530" s="3"/>
      <c r="K530" s="3"/>
      <c r="L530" s="3"/>
      <c r="M530" s="3"/>
      <c r="N530" s="3"/>
      <c r="O530" s="3"/>
      <c r="P530" s="3"/>
      <c r="Q530" s="3"/>
      <c r="R530" s="3"/>
    </row>
    <row r="531" spans="1:18" x14ac:dyDescent="0.3">
      <c r="A531" s="3"/>
      <c r="B531" s="3"/>
      <c r="C531" s="3"/>
      <c r="D531" s="3"/>
      <c r="E531" s="3"/>
      <c r="F531" s="3"/>
      <c r="G531" s="3"/>
      <c r="H531" s="3"/>
      <c r="I531" s="3"/>
      <c r="J531" s="3"/>
      <c r="K531" s="3"/>
      <c r="L531" s="3"/>
      <c r="M531" s="3"/>
      <c r="N531" s="3"/>
      <c r="O531" s="3"/>
      <c r="P531" s="3"/>
      <c r="Q531" s="3"/>
      <c r="R531" s="3"/>
    </row>
    <row r="532" spans="1:18" x14ac:dyDescent="0.3">
      <c r="A532" s="3"/>
      <c r="B532" s="3"/>
      <c r="C532" s="3"/>
      <c r="D532" s="3"/>
      <c r="E532" s="3"/>
      <c r="F532" s="3"/>
      <c r="G532" s="3"/>
      <c r="H532" s="3"/>
      <c r="I532" s="3"/>
      <c r="J532" s="3"/>
      <c r="K532" s="3"/>
      <c r="L532" s="3"/>
      <c r="M532" s="3"/>
      <c r="N532" s="3"/>
      <c r="O532" s="3"/>
      <c r="P532" s="3"/>
      <c r="Q532" s="3"/>
      <c r="R532" s="3"/>
    </row>
    <row r="533" spans="1:18" x14ac:dyDescent="0.3">
      <c r="A533" s="3"/>
      <c r="B533" s="3"/>
      <c r="C533" s="3"/>
      <c r="D533" s="3"/>
      <c r="E533" s="3"/>
      <c r="F533" s="3"/>
      <c r="G533" s="3"/>
      <c r="H533" s="3"/>
      <c r="I533" s="3"/>
      <c r="J533" s="3"/>
      <c r="K533" s="3"/>
      <c r="L533" s="3"/>
      <c r="M533" s="3"/>
      <c r="N533" s="3"/>
      <c r="O533" s="3"/>
      <c r="P533" s="3"/>
      <c r="Q533" s="3"/>
      <c r="R533" s="3"/>
    </row>
    <row r="534" spans="1:18" x14ac:dyDescent="0.3">
      <c r="A534" s="3"/>
      <c r="B534" s="3"/>
      <c r="C534" s="3"/>
      <c r="D534" s="3"/>
      <c r="E534" s="3"/>
      <c r="F534" s="3"/>
      <c r="G534" s="3"/>
      <c r="H534" s="3"/>
      <c r="I534" s="3"/>
      <c r="J534" s="3"/>
      <c r="K534" s="3"/>
      <c r="L534" s="3"/>
      <c r="M534" s="3"/>
      <c r="N534" s="3"/>
      <c r="O534" s="3"/>
      <c r="P534" s="3"/>
      <c r="Q534" s="3"/>
      <c r="R534" s="3"/>
    </row>
    <row r="535" spans="1:18" x14ac:dyDescent="0.3">
      <c r="A535" s="3"/>
      <c r="B535" s="3"/>
      <c r="C535" s="3"/>
      <c r="D535" s="3"/>
      <c r="E535" s="3"/>
      <c r="F535" s="3"/>
      <c r="G535" s="3"/>
      <c r="H535" s="3"/>
      <c r="I535" s="3"/>
      <c r="J535" s="3"/>
      <c r="K535" s="3"/>
      <c r="L535" s="3"/>
      <c r="M535" s="3"/>
      <c r="N535" s="3"/>
      <c r="O535" s="3"/>
      <c r="P535" s="3"/>
      <c r="Q535" s="3"/>
      <c r="R535" s="3"/>
    </row>
    <row r="536" spans="1:18" x14ac:dyDescent="0.3">
      <c r="A536" s="3"/>
      <c r="B536" s="3"/>
      <c r="C536" s="3"/>
      <c r="D536" s="3"/>
      <c r="E536" s="3"/>
      <c r="F536" s="3"/>
      <c r="G536" s="3"/>
      <c r="H536" s="3"/>
      <c r="I536" s="3"/>
      <c r="J536" s="3"/>
      <c r="K536" s="3"/>
      <c r="L536" s="3"/>
      <c r="M536" s="3"/>
      <c r="N536" s="3"/>
      <c r="O536" s="3"/>
      <c r="P536" s="3"/>
      <c r="Q536" s="3"/>
      <c r="R536" s="3"/>
    </row>
    <row r="537" spans="1:18" x14ac:dyDescent="0.3">
      <c r="A537" s="3"/>
      <c r="B537" s="3"/>
      <c r="C537" s="3"/>
      <c r="D537" s="3"/>
      <c r="E537" s="3"/>
      <c r="F537" s="3"/>
      <c r="G537" s="3"/>
      <c r="H537" s="3"/>
      <c r="I537" s="3"/>
      <c r="J537" s="3"/>
      <c r="K537" s="3"/>
      <c r="L537" s="3"/>
      <c r="M537" s="3"/>
      <c r="N537" s="3"/>
      <c r="O537" s="3"/>
      <c r="P537" s="3"/>
      <c r="Q537" s="3"/>
      <c r="R537" s="3"/>
    </row>
    <row r="538" spans="1:18" x14ac:dyDescent="0.3">
      <c r="A538" s="3"/>
      <c r="B538" s="3"/>
      <c r="C538" s="3"/>
      <c r="D538" s="3"/>
      <c r="E538" s="3"/>
      <c r="F538" s="3"/>
      <c r="G538" s="3"/>
      <c r="H538" s="3"/>
      <c r="I538" s="3"/>
      <c r="J538" s="3"/>
      <c r="K538" s="3"/>
      <c r="L538" s="3"/>
      <c r="M538" s="3"/>
      <c r="N538" s="3"/>
      <c r="O538" s="3"/>
      <c r="P538" s="3"/>
      <c r="Q538" s="3"/>
      <c r="R538" s="3"/>
    </row>
    <row r="539" spans="1:18" x14ac:dyDescent="0.3">
      <c r="A539" s="3"/>
      <c r="B539" s="3"/>
      <c r="C539" s="3"/>
      <c r="D539" s="3"/>
      <c r="E539" s="3"/>
      <c r="F539" s="3"/>
      <c r="G539" s="3"/>
      <c r="H539" s="3"/>
      <c r="I539" s="3"/>
      <c r="J539" s="3"/>
      <c r="K539" s="3"/>
      <c r="L539" s="3"/>
      <c r="M539" s="3"/>
      <c r="N539" s="3"/>
      <c r="O539" s="3"/>
      <c r="P539" s="3"/>
      <c r="Q539" s="3"/>
      <c r="R539" s="3"/>
    </row>
    <row r="540" spans="1:18" x14ac:dyDescent="0.3">
      <c r="A540" s="3"/>
      <c r="B540" s="3"/>
      <c r="C540" s="3"/>
      <c r="D540" s="3"/>
      <c r="E540" s="3"/>
      <c r="F540" s="3"/>
      <c r="G540" s="3"/>
      <c r="H540" s="3"/>
      <c r="I540" s="3"/>
      <c r="J540" s="3"/>
      <c r="K540" s="3"/>
      <c r="L540" s="3"/>
      <c r="M540" s="3"/>
      <c r="N540" s="3"/>
      <c r="O540" s="3"/>
      <c r="P540" s="3"/>
      <c r="Q540" s="3"/>
      <c r="R540" s="3"/>
    </row>
    <row r="541" spans="1:18" x14ac:dyDescent="0.3">
      <c r="A541" s="3"/>
      <c r="B541" s="3"/>
      <c r="C541" s="3"/>
      <c r="D541" s="3"/>
      <c r="E541" s="3"/>
      <c r="F541" s="3"/>
      <c r="G541" s="3"/>
      <c r="H541" s="3"/>
      <c r="I541" s="3"/>
      <c r="J541" s="3"/>
      <c r="K541" s="3"/>
      <c r="L541" s="3"/>
      <c r="M541" s="3"/>
      <c r="N541" s="3"/>
      <c r="O541" s="3"/>
      <c r="P541" s="3"/>
      <c r="Q541" s="3"/>
      <c r="R541" s="3"/>
    </row>
    <row r="542" spans="1:18" x14ac:dyDescent="0.3">
      <c r="A542" s="3"/>
      <c r="B542" s="3"/>
      <c r="C542" s="3"/>
      <c r="D542" s="3"/>
      <c r="E542" s="3"/>
      <c r="F542" s="3"/>
      <c r="G542" s="3"/>
      <c r="H542" s="3"/>
      <c r="I542" s="3"/>
      <c r="J542" s="3"/>
      <c r="K542" s="3"/>
      <c r="L542" s="3"/>
      <c r="M542" s="3"/>
      <c r="N542" s="3"/>
      <c r="O542" s="3"/>
      <c r="P542" s="3"/>
      <c r="Q542" s="3"/>
      <c r="R542" s="3"/>
    </row>
    <row r="543" spans="1:18" x14ac:dyDescent="0.3">
      <c r="A543" s="3"/>
      <c r="B543" s="3"/>
      <c r="C543" s="3"/>
      <c r="D543" s="3"/>
      <c r="E543" s="3"/>
      <c r="F543" s="3"/>
      <c r="G543" s="3"/>
      <c r="H543" s="3"/>
      <c r="I543" s="3"/>
      <c r="J543" s="3"/>
      <c r="K543" s="3"/>
      <c r="L543" s="3"/>
      <c r="M543" s="3"/>
      <c r="N543" s="3"/>
      <c r="O543" s="3"/>
      <c r="P543" s="3"/>
      <c r="Q543" s="3"/>
      <c r="R543" s="3"/>
    </row>
    <row r="544" spans="1:18" x14ac:dyDescent="0.3">
      <c r="A544" s="3"/>
      <c r="B544" s="3"/>
      <c r="C544" s="3"/>
      <c r="D544" s="3"/>
      <c r="E544" s="3"/>
      <c r="F544" s="3"/>
      <c r="G544" s="3"/>
      <c r="H544" s="3"/>
      <c r="I544" s="3"/>
      <c r="J544" s="3"/>
      <c r="K544" s="3"/>
      <c r="L544" s="3"/>
      <c r="M544" s="3"/>
      <c r="N544" s="3"/>
      <c r="O544" s="3"/>
      <c r="P544" s="3"/>
      <c r="Q544" s="3"/>
      <c r="R544" s="3"/>
    </row>
    <row r="545" spans="1:18" x14ac:dyDescent="0.3">
      <c r="A545" s="3"/>
      <c r="B545" s="3"/>
      <c r="C545" s="3"/>
      <c r="D545" s="3"/>
      <c r="E545" s="3"/>
      <c r="F545" s="3"/>
      <c r="G545" s="3"/>
      <c r="H545" s="3"/>
      <c r="I545" s="3"/>
      <c r="J545" s="3"/>
      <c r="K545" s="3"/>
      <c r="L545" s="3"/>
      <c r="M545" s="3"/>
      <c r="N545" s="3"/>
      <c r="O545" s="3"/>
      <c r="P545" s="3"/>
      <c r="Q545" s="3"/>
      <c r="R545" s="3"/>
    </row>
    <row r="546" spans="1:18" x14ac:dyDescent="0.3">
      <c r="A546" s="3"/>
      <c r="B546" s="3"/>
      <c r="C546" s="3"/>
      <c r="D546" s="3"/>
      <c r="E546" s="3"/>
      <c r="F546" s="3"/>
      <c r="G546" s="3"/>
      <c r="H546" s="3"/>
      <c r="I546" s="3"/>
      <c r="J546" s="3"/>
      <c r="K546" s="3"/>
      <c r="L546" s="3"/>
      <c r="M546" s="3"/>
      <c r="N546" s="3"/>
      <c r="O546" s="3"/>
      <c r="P546" s="3"/>
      <c r="Q546" s="3"/>
      <c r="R546" s="3"/>
    </row>
    <row r="547" spans="1:18" x14ac:dyDescent="0.3">
      <c r="A547" s="3"/>
      <c r="B547" s="3"/>
      <c r="C547" s="3"/>
      <c r="D547" s="3"/>
      <c r="E547" s="3"/>
      <c r="F547" s="3"/>
      <c r="G547" s="3"/>
      <c r="H547" s="3"/>
      <c r="I547" s="3"/>
      <c r="J547" s="3"/>
      <c r="K547" s="3"/>
      <c r="L547" s="3"/>
      <c r="M547" s="3"/>
      <c r="N547" s="3"/>
      <c r="O547" s="3"/>
      <c r="P547" s="3"/>
      <c r="Q547" s="3"/>
      <c r="R547" s="3"/>
    </row>
    <row r="548" spans="1:18" x14ac:dyDescent="0.3">
      <c r="A548" s="3"/>
      <c r="B548" s="3"/>
      <c r="C548" s="3"/>
      <c r="D548" s="3"/>
      <c r="E548" s="3"/>
      <c r="F548" s="3"/>
      <c r="G548" s="3"/>
      <c r="H548" s="3"/>
      <c r="I548" s="3"/>
      <c r="J548" s="3"/>
      <c r="K548" s="3"/>
      <c r="L548" s="3"/>
      <c r="M548" s="3"/>
      <c r="N548" s="3"/>
      <c r="O548" s="3"/>
      <c r="P548" s="3"/>
      <c r="Q548" s="3"/>
      <c r="R548" s="3"/>
    </row>
    <row r="549" spans="1:18" x14ac:dyDescent="0.3">
      <c r="A549" s="3"/>
      <c r="B549" s="3"/>
      <c r="C549" s="3"/>
      <c r="D549" s="3"/>
      <c r="E549" s="3"/>
      <c r="F549" s="3"/>
      <c r="G549" s="3"/>
      <c r="H549" s="3"/>
      <c r="I549" s="3"/>
      <c r="J549" s="3"/>
      <c r="K549" s="3"/>
      <c r="L549" s="3"/>
      <c r="M549" s="3"/>
      <c r="N549" s="3"/>
      <c r="O549" s="3"/>
      <c r="P549" s="3"/>
      <c r="Q549" s="3"/>
      <c r="R549" s="3"/>
    </row>
    <row r="550" spans="1:18" x14ac:dyDescent="0.3">
      <c r="A550" s="3"/>
      <c r="B550" s="3"/>
      <c r="C550" s="3"/>
      <c r="D550" s="3"/>
      <c r="E550" s="3"/>
      <c r="F550" s="3"/>
      <c r="G550" s="3"/>
      <c r="H550" s="3"/>
      <c r="I550" s="3"/>
      <c r="J550" s="3"/>
      <c r="K550" s="3"/>
      <c r="L550" s="3"/>
      <c r="M550" s="3"/>
      <c r="N550" s="3"/>
      <c r="O550" s="3"/>
      <c r="P550" s="3"/>
      <c r="Q550" s="3"/>
      <c r="R550" s="3"/>
    </row>
    <row r="551" spans="1:18" x14ac:dyDescent="0.3">
      <c r="A551" s="3"/>
      <c r="B551" s="3"/>
      <c r="C551" s="3"/>
      <c r="D551" s="3"/>
      <c r="E551" s="3"/>
      <c r="F551" s="3"/>
      <c r="G551" s="3"/>
      <c r="H551" s="3"/>
      <c r="I551" s="3"/>
      <c r="J551" s="3"/>
      <c r="K551" s="3"/>
      <c r="L551" s="3"/>
      <c r="M551" s="3"/>
      <c r="N551" s="3"/>
      <c r="O551" s="3"/>
      <c r="P551" s="3"/>
      <c r="Q551" s="3"/>
      <c r="R551" s="3"/>
    </row>
    <row r="552" spans="1:18" x14ac:dyDescent="0.3">
      <c r="A552" s="3"/>
      <c r="B552" s="3"/>
      <c r="C552" s="3"/>
      <c r="D552" s="3"/>
      <c r="E552" s="3"/>
      <c r="F552" s="3"/>
      <c r="G552" s="3"/>
      <c r="H552" s="3"/>
      <c r="I552" s="3"/>
      <c r="J552" s="3"/>
      <c r="K552" s="3"/>
      <c r="L552" s="3"/>
      <c r="M552" s="3"/>
      <c r="N552" s="3"/>
      <c r="O552" s="3"/>
      <c r="P552" s="3"/>
      <c r="Q552" s="3"/>
      <c r="R552" s="3"/>
    </row>
    <row r="553" spans="1:18" x14ac:dyDescent="0.3">
      <c r="A553" s="3"/>
      <c r="B553" s="3"/>
      <c r="C553" s="3"/>
      <c r="D553" s="3"/>
      <c r="E553" s="3"/>
      <c r="F553" s="3"/>
      <c r="G553" s="3"/>
      <c r="H553" s="3"/>
      <c r="I553" s="3"/>
      <c r="J553" s="3"/>
      <c r="K553" s="3"/>
      <c r="L553" s="3"/>
      <c r="M553" s="3"/>
      <c r="N553" s="3"/>
      <c r="O553" s="3"/>
      <c r="P553" s="3"/>
      <c r="Q553" s="3"/>
      <c r="R553" s="3"/>
    </row>
    <row r="554" spans="1:18" x14ac:dyDescent="0.3">
      <c r="A554" s="3"/>
      <c r="B554" s="3"/>
      <c r="C554" s="3"/>
      <c r="D554" s="3"/>
      <c r="E554" s="3"/>
      <c r="F554" s="3"/>
      <c r="G554" s="3"/>
      <c r="H554" s="3"/>
      <c r="I554" s="3"/>
      <c r="J554" s="3"/>
      <c r="K554" s="3"/>
      <c r="L554" s="3"/>
      <c r="M554" s="3"/>
      <c r="N554" s="3"/>
      <c r="O554" s="3"/>
      <c r="P554" s="3"/>
      <c r="Q554" s="3"/>
      <c r="R554" s="3"/>
    </row>
    <row r="555" spans="1:18" x14ac:dyDescent="0.3">
      <c r="A555" s="3"/>
      <c r="B555" s="3"/>
      <c r="C555" s="3"/>
      <c r="D555" s="3"/>
      <c r="E555" s="3"/>
      <c r="F555" s="3"/>
      <c r="G555" s="3"/>
      <c r="H555" s="3"/>
      <c r="I555" s="3"/>
      <c r="J555" s="3"/>
      <c r="K555" s="3"/>
      <c r="L555" s="3"/>
      <c r="M555" s="3"/>
      <c r="N555" s="3"/>
      <c r="O555" s="3"/>
      <c r="P555" s="3"/>
      <c r="Q555" s="3"/>
      <c r="R555" s="3"/>
    </row>
    <row r="556" spans="1:18" x14ac:dyDescent="0.3">
      <c r="A556" s="3"/>
      <c r="B556" s="3"/>
      <c r="C556" s="3"/>
      <c r="D556" s="3"/>
      <c r="E556" s="3"/>
      <c r="F556" s="3"/>
      <c r="G556" s="3"/>
      <c r="H556" s="3"/>
      <c r="I556" s="3"/>
      <c r="J556" s="3"/>
      <c r="K556" s="3"/>
      <c r="L556" s="3"/>
      <c r="M556" s="3"/>
      <c r="N556" s="3"/>
      <c r="O556" s="3"/>
      <c r="P556" s="3"/>
      <c r="Q556" s="3"/>
      <c r="R556" s="3"/>
    </row>
    <row r="557" spans="1:18" x14ac:dyDescent="0.3">
      <c r="A557" s="3"/>
      <c r="B557" s="3"/>
      <c r="C557" s="3"/>
      <c r="D557" s="3"/>
      <c r="E557" s="3"/>
      <c r="F557" s="3"/>
      <c r="G557" s="3"/>
      <c r="H557" s="3"/>
      <c r="I557" s="3"/>
      <c r="J557" s="3"/>
      <c r="K557" s="3"/>
      <c r="L557" s="3"/>
      <c r="M557" s="3"/>
      <c r="N557" s="3"/>
      <c r="O557" s="3"/>
      <c r="P557" s="3"/>
      <c r="Q557" s="3"/>
      <c r="R557" s="3"/>
    </row>
    <row r="558" spans="1:18" x14ac:dyDescent="0.3">
      <c r="A558" s="3"/>
      <c r="B558" s="3"/>
      <c r="C558" s="3"/>
      <c r="D558" s="3"/>
      <c r="E558" s="3"/>
      <c r="F558" s="3"/>
      <c r="G558" s="3"/>
      <c r="H558" s="3"/>
      <c r="I558" s="3"/>
      <c r="J558" s="3"/>
      <c r="K558" s="3"/>
      <c r="L558" s="3"/>
      <c r="M558" s="3"/>
      <c r="N558" s="3"/>
      <c r="O558" s="3"/>
      <c r="P558" s="3"/>
      <c r="Q558" s="3"/>
      <c r="R558" s="3"/>
    </row>
    <row r="559" spans="1:18" x14ac:dyDescent="0.3">
      <c r="A559" s="3"/>
      <c r="B559" s="3"/>
      <c r="C559" s="3"/>
      <c r="D559" s="3"/>
      <c r="E559" s="3"/>
      <c r="F559" s="3"/>
      <c r="G559" s="3"/>
      <c r="H559" s="3"/>
      <c r="I559" s="3"/>
      <c r="J559" s="3"/>
      <c r="K559" s="3"/>
      <c r="L559" s="3"/>
      <c r="M559" s="3"/>
      <c r="N559" s="3"/>
      <c r="O559" s="3"/>
      <c r="P559" s="3"/>
      <c r="Q559" s="3"/>
      <c r="R559" s="3"/>
    </row>
    <row r="560" spans="1:18" x14ac:dyDescent="0.3">
      <c r="A560" s="3"/>
      <c r="B560" s="3"/>
      <c r="C560" s="3"/>
      <c r="D560" s="3"/>
      <c r="E560" s="3"/>
      <c r="F560" s="3"/>
      <c r="G560" s="3"/>
      <c r="H560" s="3"/>
      <c r="I560" s="3"/>
      <c r="J560" s="3"/>
      <c r="K560" s="3"/>
      <c r="L560" s="3"/>
      <c r="M560" s="3"/>
      <c r="N560" s="3"/>
      <c r="O560" s="3"/>
      <c r="P560" s="3"/>
      <c r="Q560" s="3"/>
      <c r="R560" s="3"/>
    </row>
    <row r="561" spans="1:18" x14ac:dyDescent="0.3">
      <c r="A561" s="3"/>
      <c r="B561" s="3"/>
      <c r="C561" s="3"/>
      <c r="D561" s="3"/>
      <c r="E561" s="3"/>
      <c r="F561" s="3"/>
      <c r="G561" s="3"/>
      <c r="H561" s="3"/>
      <c r="I561" s="3"/>
      <c r="J561" s="3"/>
      <c r="K561" s="3"/>
      <c r="L561" s="3"/>
      <c r="M561" s="3"/>
      <c r="N561" s="3"/>
      <c r="O561" s="3"/>
      <c r="P561" s="3"/>
      <c r="Q561" s="3"/>
      <c r="R561" s="3"/>
    </row>
    <row r="562" spans="1:18" x14ac:dyDescent="0.3">
      <c r="A562" s="3"/>
      <c r="B562" s="3"/>
      <c r="C562" s="3"/>
      <c r="D562" s="3"/>
      <c r="E562" s="3"/>
      <c r="F562" s="3"/>
      <c r="G562" s="3"/>
      <c r="H562" s="3"/>
      <c r="I562" s="3"/>
      <c r="J562" s="3"/>
      <c r="K562" s="3"/>
      <c r="L562" s="3"/>
      <c r="M562" s="3"/>
      <c r="N562" s="3"/>
      <c r="O562" s="3"/>
      <c r="P562" s="3"/>
      <c r="Q562" s="3"/>
      <c r="R562" s="3"/>
    </row>
    <row r="563" spans="1:18" x14ac:dyDescent="0.3">
      <c r="A563" s="3"/>
      <c r="B563" s="3"/>
      <c r="C563" s="3"/>
      <c r="D563" s="3"/>
      <c r="E563" s="3"/>
      <c r="F563" s="3"/>
      <c r="G563" s="3"/>
      <c r="H563" s="3"/>
      <c r="I563" s="3"/>
      <c r="J563" s="3"/>
      <c r="K563" s="3"/>
      <c r="L563" s="3"/>
      <c r="M563" s="3"/>
      <c r="N563" s="3"/>
      <c r="O563" s="3"/>
      <c r="P563" s="3"/>
      <c r="Q563" s="3"/>
      <c r="R563" s="3"/>
    </row>
    <row r="564" spans="1:18" x14ac:dyDescent="0.3">
      <c r="A564" s="3"/>
      <c r="B564" s="3"/>
      <c r="C564" s="3"/>
      <c r="D564" s="3"/>
      <c r="E564" s="3"/>
      <c r="F564" s="3"/>
      <c r="G564" s="3"/>
      <c r="H564" s="3"/>
      <c r="I564" s="3"/>
      <c r="J564" s="3"/>
      <c r="K564" s="3"/>
      <c r="L564" s="3"/>
      <c r="M564" s="3"/>
      <c r="N564" s="3"/>
      <c r="O564" s="3"/>
      <c r="P564" s="3"/>
      <c r="Q564" s="3"/>
      <c r="R564" s="3"/>
    </row>
    <row r="565" spans="1:18" x14ac:dyDescent="0.3">
      <c r="A565" s="3"/>
      <c r="B565" s="3"/>
      <c r="C565" s="3"/>
      <c r="D565" s="3"/>
      <c r="E565" s="3"/>
      <c r="F565" s="3"/>
      <c r="G565" s="3"/>
      <c r="H565" s="3"/>
      <c r="I565" s="3"/>
      <c r="J565" s="3"/>
      <c r="K565" s="3"/>
      <c r="L565" s="3"/>
      <c r="M565" s="3"/>
      <c r="N565" s="3"/>
      <c r="O565" s="3"/>
      <c r="P565" s="3"/>
      <c r="Q565" s="3"/>
      <c r="R565" s="3"/>
    </row>
    <row r="566" spans="1:18" x14ac:dyDescent="0.3">
      <c r="A566" s="3"/>
      <c r="B566" s="3"/>
      <c r="C566" s="3"/>
      <c r="D566" s="3"/>
      <c r="E566" s="3"/>
      <c r="F566" s="3"/>
      <c r="G566" s="3"/>
      <c r="H566" s="3"/>
      <c r="I566" s="3"/>
      <c r="J566" s="3"/>
      <c r="K566" s="3"/>
      <c r="L566" s="3"/>
      <c r="M566" s="3"/>
      <c r="N566" s="3"/>
      <c r="O566" s="3"/>
      <c r="P566" s="3"/>
      <c r="Q566" s="3"/>
      <c r="R566" s="3"/>
    </row>
    <row r="567" spans="1:18" x14ac:dyDescent="0.3">
      <c r="A567" s="3"/>
      <c r="B567" s="3"/>
      <c r="C567" s="3"/>
      <c r="D567" s="3"/>
      <c r="E567" s="3"/>
      <c r="F567" s="3"/>
      <c r="G567" s="3"/>
      <c r="H567" s="3"/>
      <c r="I567" s="3"/>
      <c r="J567" s="3"/>
      <c r="K567" s="3"/>
      <c r="L567" s="3"/>
      <c r="M567" s="3"/>
      <c r="N567" s="3"/>
      <c r="O567" s="3"/>
      <c r="P567" s="3"/>
      <c r="Q567" s="3"/>
      <c r="R567" s="3"/>
    </row>
    <row r="568" spans="1:18" x14ac:dyDescent="0.3">
      <c r="A568" s="3"/>
      <c r="B568" s="3"/>
      <c r="C568" s="3"/>
      <c r="D568" s="3"/>
      <c r="E568" s="3"/>
      <c r="F568" s="3"/>
      <c r="G568" s="3"/>
      <c r="H568" s="3"/>
      <c r="I568" s="3"/>
      <c r="J568" s="3"/>
      <c r="K568" s="3"/>
      <c r="L568" s="3"/>
      <c r="M568" s="3"/>
      <c r="N568" s="3"/>
      <c r="O568" s="3"/>
      <c r="P568" s="3"/>
      <c r="Q568" s="3"/>
      <c r="R568" s="3"/>
    </row>
    <row r="569" spans="1:18" x14ac:dyDescent="0.3">
      <c r="A569" s="3"/>
      <c r="B569" s="3"/>
      <c r="C569" s="3"/>
      <c r="D569" s="3"/>
      <c r="E569" s="3"/>
      <c r="F569" s="3"/>
      <c r="G569" s="3"/>
      <c r="H569" s="3"/>
      <c r="I569" s="3"/>
      <c r="J569" s="3"/>
      <c r="K569" s="3"/>
      <c r="L569" s="3"/>
      <c r="M569" s="3"/>
      <c r="N569" s="3"/>
      <c r="O569" s="3"/>
      <c r="P569" s="3"/>
      <c r="Q569" s="3"/>
      <c r="R569" s="3"/>
    </row>
    <row r="570" spans="1:18" x14ac:dyDescent="0.3">
      <c r="A570" s="3"/>
      <c r="B570" s="3"/>
      <c r="C570" s="3"/>
      <c r="D570" s="3"/>
      <c r="E570" s="3"/>
      <c r="F570" s="3"/>
      <c r="G570" s="3"/>
      <c r="H570" s="3"/>
      <c r="I570" s="3"/>
      <c r="J570" s="3"/>
      <c r="K570" s="3"/>
      <c r="L570" s="3"/>
      <c r="M570" s="3"/>
      <c r="N570" s="3"/>
      <c r="O570" s="3"/>
      <c r="P570" s="3"/>
      <c r="Q570" s="3"/>
      <c r="R570" s="3"/>
    </row>
    <row r="571" spans="1:18" x14ac:dyDescent="0.3">
      <c r="A571" s="3"/>
      <c r="B571" s="3"/>
      <c r="C571" s="3"/>
      <c r="D571" s="3"/>
      <c r="E571" s="3"/>
      <c r="F571" s="3"/>
      <c r="G571" s="3"/>
      <c r="H571" s="3"/>
      <c r="I571" s="3"/>
      <c r="J571" s="3"/>
      <c r="K571" s="3"/>
      <c r="L571" s="3"/>
      <c r="M571" s="3"/>
      <c r="N571" s="3"/>
      <c r="O571" s="3"/>
      <c r="P571" s="3"/>
      <c r="Q571" s="3"/>
      <c r="R571" s="3"/>
    </row>
    <row r="572" spans="1:18" x14ac:dyDescent="0.3">
      <c r="A572" s="3"/>
      <c r="B572" s="3"/>
      <c r="C572" s="3"/>
      <c r="D572" s="3"/>
      <c r="E572" s="3"/>
      <c r="F572" s="3"/>
      <c r="G572" s="3"/>
      <c r="H572" s="3"/>
      <c r="I572" s="3"/>
      <c r="J572" s="3"/>
      <c r="K572" s="3"/>
      <c r="L572" s="3"/>
      <c r="M572" s="3"/>
      <c r="N572" s="3"/>
      <c r="O572" s="3"/>
      <c r="P572" s="3"/>
      <c r="Q572" s="3"/>
      <c r="R572" s="3"/>
    </row>
    <row r="573" spans="1:18" x14ac:dyDescent="0.3">
      <c r="A573" s="3"/>
      <c r="B573" s="3"/>
      <c r="C573" s="3"/>
      <c r="D573" s="3"/>
      <c r="E573" s="3"/>
      <c r="F573" s="3"/>
      <c r="G573" s="3"/>
      <c r="H573" s="3"/>
      <c r="I573" s="3"/>
      <c r="J573" s="3"/>
      <c r="K573" s="3"/>
      <c r="L573" s="3"/>
      <c r="M573" s="3"/>
      <c r="N573" s="3"/>
      <c r="O573" s="3"/>
      <c r="P573" s="3"/>
      <c r="Q573" s="3"/>
      <c r="R573" s="3"/>
    </row>
    <row r="574" spans="1:18" x14ac:dyDescent="0.3">
      <c r="A574" s="3"/>
      <c r="B574" s="3"/>
      <c r="C574" s="3"/>
      <c r="D574" s="3"/>
      <c r="E574" s="3"/>
      <c r="F574" s="3"/>
      <c r="G574" s="3"/>
      <c r="H574" s="3"/>
      <c r="I574" s="3"/>
      <c r="J574" s="3"/>
      <c r="K574" s="3"/>
      <c r="L574" s="3"/>
      <c r="M574" s="3"/>
      <c r="N574" s="3"/>
      <c r="O574" s="3"/>
      <c r="P574" s="3"/>
      <c r="Q574" s="3"/>
      <c r="R574" s="3"/>
    </row>
    <row r="575" spans="1:18" x14ac:dyDescent="0.3">
      <c r="A575" s="3"/>
      <c r="B575" s="3"/>
      <c r="C575" s="3"/>
      <c r="D575" s="3"/>
      <c r="E575" s="3"/>
      <c r="F575" s="3"/>
      <c r="G575" s="3"/>
      <c r="H575" s="3"/>
      <c r="I575" s="3"/>
      <c r="J575" s="3"/>
      <c r="K575" s="3"/>
      <c r="L575" s="3"/>
      <c r="M575" s="3"/>
      <c r="N575" s="3"/>
      <c r="O575" s="3"/>
      <c r="P575" s="3"/>
      <c r="Q575" s="3"/>
      <c r="R575" s="3"/>
    </row>
    <row r="576" spans="1:18" x14ac:dyDescent="0.3">
      <c r="A576" s="3"/>
      <c r="B576" s="3"/>
      <c r="C576" s="3"/>
      <c r="D576" s="3"/>
      <c r="E576" s="3"/>
      <c r="F576" s="3"/>
      <c r="G576" s="3"/>
      <c r="H576" s="3"/>
      <c r="I576" s="3"/>
      <c r="J576" s="3"/>
      <c r="K576" s="3"/>
      <c r="L576" s="3"/>
      <c r="M576" s="3"/>
      <c r="N576" s="3"/>
      <c r="O576" s="3"/>
      <c r="P576" s="3"/>
      <c r="Q576" s="3"/>
      <c r="R576" s="3"/>
    </row>
    <row r="577" spans="1:18" x14ac:dyDescent="0.3">
      <c r="A577" s="3"/>
      <c r="B577" s="3"/>
      <c r="C577" s="3"/>
      <c r="D577" s="3"/>
      <c r="E577" s="3"/>
      <c r="F577" s="3"/>
      <c r="G577" s="3"/>
      <c r="H577" s="3"/>
      <c r="I577" s="3"/>
      <c r="J577" s="3"/>
      <c r="K577" s="3"/>
      <c r="L577" s="3"/>
      <c r="M577" s="3"/>
      <c r="N577" s="3"/>
      <c r="O577" s="3"/>
      <c r="P577" s="3"/>
      <c r="Q577" s="3"/>
      <c r="R577" s="3"/>
    </row>
    <row r="578" spans="1:18" x14ac:dyDescent="0.3">
      <c r="A578" s="3"/>
      <c r="B578" s="3"/>
      <c r="C578" s="3"/>
      <c r="D578" s="3"/>
      <c r="E578" s="3"/>
      <c r="F578" s="3"/>
      <c r="G578" s="3"/>
      <c r="H578" s="3"/>
      <c r="I578" s="3"/>
      <c r="J578" s="3"/>
      <c r="K578" s="3"/>
      <c r="L578" s="3"/>
      <c r="M578" s="3"/>
      <c r="N578" s="3"/>
      <c r="O578" s="3"/>
      <c r="P578" s="3"/>
      <c r="Q578" s="3"/>
      <c r="R578" s="3"/>
    </row>
    <row r="579" spans="1:18" x14ac:dyDescent="0.3">
      <c r="A579" s="3"/>
      <c r="B579" s="3"/>
      <c r="C579" s="3"/>
      <c r="D579" s="3"/>
      <c r="E579" s="3"/>
      <c r="F579" s="3"/>
      <c r="G579" s="3"/>
      <c r="H579" s="3"/>
      <c r="I579" s="3"/>
      <c r="J579" s="3"/>
      <c r="K579" s="3"/>
      <c r="L579" s="3"/>
      <c r="M579" s="3"/>
      <c r="N579" s="3"/>
      <c r="O579" s="3"/>
      <c r="P579" s="3"/>
      <c r="Q579" s="3"/>
      <c r="R579" s="3"/>
    </row>
    <row r="580" spans="1:18" x14ac:dyDescent="0.3">
      <c r="A580" s="3"/>
      <c r="B580" s="3"/>
      <c r="C580" s="3"/>
      <c r="D580" s="3"/>
      <c r="E580" s="3"/>
      <c r="F580" s="3"/>
      <c r="G580" s="3"/>
      <c r="H580" s="3"/>
      <c r="I580" s="3"/>
      <c r="J580" s="3"/>
      <c r="K580" s="3"/>
      <c r="L580" s="3"/>
      <c r="M580" s="3"/>
      <c r="N580" s="3"/>
      <c r="O580" s="3"/>
      <c r="P580" s="3"/>
      <c r="Q580" s="3"/>
      <c r="R580" s="3"/>
    </row>
    <row r="581" spans="1:18" x14ac:dyDescent="0.3">
      <c r="A581" s="3"/>
      <c r="B581" s="3"/>
      <c r="C581" s="3"/>
      <c r="D581" s="3"/>
      <c r="E581" s="3"/>
      <c r="F581" s="3"/>
      <c r="G581" s="3"/>
      <c r="H581" s="3"/>
      <c r="I581" s="3"/>
      <c r="J581" s="3"/>
      <c r="K581" s="3"/>
      <c r="L581" s="3"/>
      <c r="M581" s="3"/>
      <c r="N581" s="3"/>
      <c r="O581" s="3"/>
      <c r="P581" s="3"/>
      <c r="Q581" s="3"/>
      <c r="R581" s="3"/>
    </row>
    <row r="582" spans="1:18" x14ac:dyDescent="0.3">
      <c r="A582" s="3"/>
      <c r="B582" s="3"/>
      <c r="C582" s="3"/>
      <c r="D582" s="3"/>
      <c r="E582" s="3"/>
      <c r="F582" s="3"/>
      <c r="G582" s="3"/>
      <c r="H582" s="3"/>
      <c r="I582" s="3"/>
      <c r="J582" s="3"/>
      <c r="K582" s="3"/>
      <c r="L582" s="3"/>
      <c r="M582" s="3"/>
      <c r="N582" s="3"/>
      <c r="O582" s="3"/>
      <c r="P582" s="3"/>
      <c r="Q582" s="3"/>
      <c r="R582" s="3"/>
    </row>
    <row r="583" spans="1:18" x14ac:dyDescent="0.3">
      <c r="A583" s="3"/>
      <c r="B583" s="3"/>
      <c r="C583" s="3"/>
      <c r="D583" s="3"/>
      <c r="E583" s="3"/>
      <c r="F583" s="3"/>
      <c r="G583" s="3"/>
      <c r="H583" s="3"/>
      <c r="I583" s="3"/>
      <c r="J583" s="3"/>
      <c r="K583" s="3"/>
      <c r="L583" s="3"/>
      <c r="M583" s="3"/>
      <c r="N583" s="3"/>
      <c r="O583" s="3"/>
      <c r="P583" s="3"/>
      <c r="Q583" s="3"/>
      <c r="R583" s="3"/>
    </row>
    <row r="584" spans="1:18" x14ac:dyDescent="0.3">
      <c r="A584" s="3"/>
      <c r="B584" s="3"/>
      <c r="C584" s="3"/>
      <c r="D584" s="3"/>
      <c r="E584" s="3"/>
      <c r="F584" s="3"/>
      <c r="G584" s="3"/>
      <c r="H584" s="3"/>
      <c r="I584" s="3"/>
      <c r="J584" s="3"/>
      <c r="K584" s="3"/>
      <c r="L584" s="3"/>
      <c r="M584" s="3"/>
      <c r="N584" s="3"/>
      <c r="O584" s="3"/>
      <c r="P584" s="3"/>
      <c r="Q584" s="3"/>
      <c r="R584" s="3"/>
    </row>
    <row r="585" spans="1:18" x14ac:dyDescent="0.3">
      <c r="A585" s="3"/>
      <c r="B585" s="3"/>
      <c r="C585" s="3"/>
      <c r="D585" s="3"/>
      <c r="E585" s="3"/>
      <c r="F585" s="3"/>
      <c r="G585" s="3"/>
      <c r="H585" s="3"/>
      <c r="I585" s="3"/>
      <c r="J585" s="3"/>
      <c r="K585" s="3"/>
      <c r="L585" s="3"/>
      <c r="M585" s="3"/>
      <c r="N585" s="3"/>
      <c r="O585" s="3"/>
      <c r="P585" s="3"/>
      <c r="Q585" s="3"/>
      <c r="R585" s="3"/>
    </row>
    <row r="586" spans="1:18" x14ac:dyDescent="0.3">
      <c r="A586" s="3"/>
      <c r="B586" s="3"/>
      <c r="C586" s="3"/>
      <c r="D586" s="3"/>
      <c r="E586" s="3"/>
      <c r="F586" s="3"/>
      <c r="G586" s="3"/>
      <c r="H586" s="3"/>
      <c r="I586" s="3"/>
      <c r="J586" s="3"/>
      <c r="K586" s="3"/>
      <c r="L586" s="3"/>
      <c r="M586" s="3"/>
      <c r="N586" s="3"/>
      <c r="O586" s="3"/>
      <c r="P586" s="3"/>
      <c r="Q586" s="3"/>
      <c r="R586" s="3"/>
    </row>
    <row r="587" spans="1:18" x14ac:dyDescent="0.3">
      <c r="A587" s="3"/>
      <c r="B587" s="3"/>
      <c r="C587" s="3"/>
      <c r="D587" s="3"/>
      <c r="E587" s="3"/>
      <c r="F587" s="3"/>
      <c r="G587" s="3"/>
      <c r="H587" s="3"/>
      <c r="I587" s="3"/>
      <c r="J587" s="3"/>
      <c r="K587" s="3"/>
      <c r="L587" s="3"/>
      <c r="M587" s="3"/>
      <c r="N587" s="3"/>
      <c r="O587" s="3"/>
      <c r="P587" s="3"/>
      <c r="Q587" s="3"/>
      <c r="R587" s="3"/>
    </row>
    <row r="588" spans="1:18" x14ac:dyDescent="0.3">
      <c r="A588" s="3"/>
      <c r="B588" s="3"/>
      <c r="C588" s="3"/>
      <c r="D588" s="3"/>
      <c r="E588" s="3"/>
      <c r="F588" s="3"/>
      <c r="G588" s="3"/>
      <c r="H588" s="3"/>
      <c r="I588" s="3"/>
      <c r="J588" s="3"/>
      <c r="K588" s="3"/>
      <c r="L588" s="3"/>
      <c r="M588" s="3"/>
      <c r="N588" s="3"/>
      <c r="O588" s="3"/>
      <c r="P588" s="3"/>
      <c r="Q588" s="3"/>
      <c r="R588" s="3"/>
    </row>
    <row r="589" spans="1:18" x14ac:dyDescent="0.3">
      <c r="A589" s="3"/>
      <c r="B589" s="3"/>
      <c r="C589" s="3"/>
      <c r="D589" s="3"/>
      <c r="E589" s="3"/>
      <c r="F589" s="3"/>
      <c r="G589" s="3"/>
      <c r="H589" s="3"/>
      <c r="I589" s="3"/>
      <c r="J589" s="3"/>
      <c r="K589" s="3"/>
      <c r="L589" s="3"/>
      <c r="M589" s="3"/>
      <c r="N589" s="3"/>
      <c r="O589" s="3"/>
      <c r="P589" s="3"/>
      <c r="Q589" s="3"/>
      <c r="R589" s="3"/>
    </row>
    <row r="590" spans="1:18" x14ac:dyDescent="0.3">
      <c r="A590" s="3"/>
      <c r="B590" s="3"/>
      <c r="C590" s="3"/>
      <c r="D590" s="3"/>
      <c r="E590" s="3"/>
      <c r="F590" s="3"/>
      <c r="G590" s="3"/>
      <c r="H590" s="3"/>
      <c r="I590" s="3"/>
      <c r="J590" s="3"/>
      <c r="K590" s="3"/>
      <c r="L590" s="3"/>
      <c r="M590" s="3"/>
      <c r="N590" s="3"/>
      <c r="O590" s="3"/>
      <c r="P590" s="3"/>
      <c r="Q590" s="3"/>
      <c r="R590" s="3"/>
    </row>
    <row r="591" spans="1:18" x14ac:dyDescent="0.3">
      <c r="A591" s="3"/>
      <c r="B591" s="3"/>
      <c r="C591" s="3"/>
      <c r="D591" s="3"/>
      <c r="E591" s="3"/>
      <c r="F591" s="3"/>
      <c r="G591" s="3"/>
      <c r="H591" s="3"/>
      <c r="I591" s="3"/>
      <c r="J591" s="3"/>
      <c r="K591" s="3"/>
      <c r="L591" s="3"/>
      <c r="M591" s="3"/>
      <c r="N591" s="3"/>
      <c r="O591" s="3"/>
      <c r="P591" s="3"/>
      <c r="Q591" s="3"/>
      <c r="R591" s="3"/>
    </row>
    <row r="592" spans="1:18" x14ac:dyDescent="0.3">
      <c r="A592" s="3"/>
      <c r="B592" s="3"/>
      <c r="C592" s="3"/>
      <c r="D592" s="3"/>
      <c r="E592" s="3"/>
      <c r="F592" s="3"/>
      <c r="G592" s="3"/>
      <c r="H592" s="3"/>
      <c r="I592" s="3"/>
      <c r="J592" s="3"/>
      <c r="K592" s="3"/>
      <c r="L592" s="3"/>
      <c r="M592" s="3"/>
      <c r="N592" s="3"/>
      <c r="O592" s="3"/>
      <c r="P592" s="3"/>
      <c r="Q592" s="3"/>
      <c r="R592" s="3"/>
    </row>
    <row r="593" spans="1:18" x14ac:dyDescent="0.3">
      <c r="A593" s="3"/>
      <c r="B593" s="3"/>
      <c r="C593" s="3"/>
      <c r="D593" s="3"/>
      <c r="E593" s="3"/>
      <c r="F593" s="3"/>
      <c r="G593" s="3"/>
      <c r="H593" s="3"/>
      <c r="I593" s="3"/>
      <c r="J593" s="3"/>
      <c r="K593" s="3"/>
      <c r="L593" s="3"/>
      <c r="M593" s="3"/>
      <c r="N593" s="3"/>
      <c r="O593" s="3"/>
      <c r="P593" s="3"/>
      <c r="Q593" s="3"/>
      <c r="R593" s="3"/>
    </row>
    <row r="594" spans="1:18" x14ac:dyDescent="0.3">
      <c r="A594" s="3"/>
      <c r="B594" s="3"/>
      <c r="C594" s="3"/>
      <c r="D594" s="3"/>
      <c r="E594" s="3"/>
      <c r="F594" s="3"/>
      <c r="G594" s="3"/>
      <c r="H594" s="3"/>
      <c r="I594" s="3"/>
      <c r="J594" s="3"/>
      <c r="K594" s="3"/>
      <c r="L594" s="3"/>
      <c r="M594" s="3"/>
      <c r="N594" s="3"/>
      <c r="O594" s="3"/>
      <c r="P594" s="3"/>
      <c r="Q594" s="3"/>
      <c r="R594" s="3"/>
    </row>
    <row r="595" spans="1:18" x14ac:dyDescent="0.3">
      <c r="A595" s="3"/>
      <c r="B595" s="3"/>
      <c r="C595" s="3"/>
      <c r="D595" s="3"/>
      <c r="E595" s="3"/>
      <c r="F595" s="3"/>
      <c r="G595" s="3"/>
      <c r="H595" s="3"/>
      <c r="I595" s="3"/>
      <c r="J595" s="3"/>
      <c r="K595" s="3"/>
      <c r="L595" s="3"/>
      <c r="M595" s="3"/>
      <c r="N595" s="3"/>
      <c r="O595" s="3"/>
      <c r="P595" s="3"/>
      <c r="Q595" s="3"/>
      <c r="R595" s="3"/>
    </row>
    <row r="596" spans="1:18" x14ac:dyDescent="0.3">
      <c r="A596" s="3"/>
      <c r="B596" s="3"/>
      <c r="C596" s="3"/>
      <c r="D596" s="3"/>
      <c r="E596" s="3"/>
      <c r="F596" s="3"/>
      <c r="G596" s="3"/>
      <c r="H596" s="3"/>
      <c r="I596" s="3"/>
      <c r="J596" s="3"/>
      <c r="K596" s="3"/>
      <c r="L596" s="3"/>
      <c r="M596" s="3"/>
      <c r="N596" s="3"/>
      <c r="O596" s="3"/>
      <c r="P596" s="3"/>
      <c r="Q596" s="3"/>
      <c r="R596" s="3"/>
    </row>
    <row r="597" spans="1:18" x14ac:dyDescent="0.3">
      <c r="A597" s="3"/>
      <c r="B597" s="3"/>
      <c r="C597" s="3"/>
      <c r="D597" s="3"/>
      <c r="E597" s="3"/>
      <c r="F597" s="3"/>
      <c r="G597" s="3"/>
      <c r="H597" s="3"/>
      <c r="I597" s="3"/>
      <c r="J597" s="3"/>
      <c r="K597" s="3"/>
      <c r="L597" s="3"/>
      <c r="M597" s="3"/>
      <c r="N597" s="3"/>
      <c r="O597" s="3"/>
      <c r="P597" s="3"/>
      <c r="Q597" s="3"/>
      <c r="R597" s="3"/>
    </row>
    <row r="598" spans="1:18" x14ac:dyDescent="0.3">
      <c r="A598" s="3"/>
      <c r="B598" s="3"/>
      <c r="C598" s="3"/>
      <c r="D598" s="3"/>
      <c r="E598" s="3"/>
      <c r="F598" s="3"/>
      <c r="G598" s="3"/>
      <c r="H598" s="3"/>
      <c r="I598" s="3"/>
      <c r="J598" s="3"/>
      <c r="K598" s="3"/>
      <c r="L598" s="3"/>
      <c r="M598" s="3"/>
      <c r="N598" s="3"/>
      <c r="O598" s="3"/>
      <c r="P598" s="3"/>
      <c r="Q598" s="3"/>
      <c r="R598" s="3"/>
    </row>
    <row r="599" spans="1:18" x14ac:dyDescent="0.3">
      <c r="A599" s="3"/>
      <c r="B599" s="3"/>
      <c r="C599" s="3"/>
      <c r="D599" s="3"/>
      <c r="E599" s="3"/>
      <c r="F599" s="3"/>
      <c r="G599" s="3"/>
      <c r="H599" s="3"/>
      <c r="I599" s="3"/>
      <c r="J599" s="3"/>
      <c r="K599" s="3"/>
      <c r="L599" s="3"/>
      <c r="M599" s="3"/>
      <c r="N599" s="3"/>
      <c r="O599" s="3"/>
      <c r="P599" s="3"/>
      <c r="Q599" s="3"/>
      <c r="R599" s="3"/>
    </row>
    <row r="600" spans="1:18" x14ac:dyDescent="0.3">
      <c r="A600" s="3"/>
      <c r="B600" s="3"/>
      <c r="C600" s="3"/>
      <c r="D600" s="3"/>
      <c r="E600" s="3"/>
      <c r="F600" s="3"/>
      <c r="G600" s="3"/>
      <c r="H600" s="3"/>
      <c r="I600" s="3"/>
      <c r="J600" s="3"/>
      <c r="K600" s="3"/>
      <c r="L600" s="3"/>
      <c r="M600" s="3"/>
      <c r="N600" s="3"/>
      <c r="O600" s="3"/>
      <c r="P600" s="3"/>
      <c r="Q600" s="3"/>
      <c r="R600" s="3"/>
    </row>
    <row r="601" spans="1:18" x14ac:dyDescent="0.3">
      <c r="A601" s="3"/>
      <c r="B601" s="3"/>
      <c r="C601" s="3"/>
      <c r="D601" s="3"/>
      <c r="E601" s="3"/>
      <c r="F601" s="3"/>
      <c r="G601" s="3"/>
      <c r="H601" s="3"/>
      <c r="I601" s="3"/>
      <c r="J601" s="3"/>
      <c r="K601" s="3"/>
      <c r="L601" s="3"/>
      <c r="M601" s="3"/>
      <c r="N601" s="3"/>
      <c r="O601" s="3"/>
      <c r="P601" s="3"/>
      <c r="Q601" s="3"/>
      <c r="R601" s="3"/>
    </row>
    <row r="602" spans="1:18" x14ac:dyDescent="0.3">
      <c r="A602" s="3"/>
      <c r="B602" s="3"/>
      <c r="C602" s="3"/>
      <c r="D602" s="3"/>
      <c r="E602" s="3"/>
      <c r="F602" s="3"/>
      <c r="G602" s="3"/>
      <c r="H602" s="3"/>
      <c r="I602" s="3"/>
      <c r="J602" s="3"/>
      <c r="K602" s="3"/>
      <c r="L602" s="3"/>
      <c r="M602" s="3"/>
      <c r="N602" s="3"/>
      <c r="O602" s="3"/>
      <c r="P602" s="3"/>
      <c r="Q602" s="3"/>
      <c r="R602" s="3"/>
    </row>
    <row r="603" spans="1:18" x14ac:dyDescent="0.3">
      <c r="A603" s="3"/>
      <c r="B603" s="3"/>
      <c r="C603" s="3"/>
      <c r="D603" s="3"/>
      <c r="E603" s="3"/>
      <c r="F603" s="3"/>
      <c r="G603" s="3"/>
      <c r="H603" s="3"/>
      <c r="I603" s="3"/>
      <c r="J603" s="3"/>
      <c r="K603" s="3"/>
      <c r="L603" s="3"/>
      <c r="M603" s="3"/>
      <c r="N603" s="3"/>
      <c r="O603" s="3"/>
      <c r="P603" s="3"/>
      <c r="Q603" s="3"/>
      <c r="R603" s="3"/>
    </row>
    <row r="604" spans="1:18" x14ac:dyDescent="0.3">
      <c r="A604" s="3"/>
      <c r="B604" s="3"/>
      <c r="C604" s="3"/>
      <c r="D604" s="3"/>
      <c r="E604" s="3"/>
      <c r="F604" s="3"/>
      <c r="G604" s="3"/>
      <c r="H604" s="3"/>
      <c r="I604" s="3"/>
      <c r="J604" s="3"/>
      <c r="K604" s="3"/>
      <c r="L604" s="3"/>
      <c r="M604" s="3"/>
      <c r="N604" s="3"/>
      <c r="O604" s="3"/>
      <c r="P604" s="3"/>
      <c r="Q604" s="3"/>
      <c r="R604" s="3"/>
    </row>
    <row r="605" spans="1:18" x14ac:dyDescent="0.3">
      <c r="A605" s="3"/>
      <c r="B605" s="3"/>
      <c r="C605" s="3"/>
      <c r="D605" s="3"/>
      <c r="E605" s="3"/>
      <c r="F605" s="3"/>
      <c r="G605" s="3"/>
      <c r="H605" s="3"/>
      <c r="I605" s="3"/>
      <c r="J605" s="3"/>
      <c r="K605" s="3"/>
      <c r="L605" s="3"/>
      <c r="M605" s="3"/>
      <c r="N605" s="3"/>
      <c r="O605" s="3"/>
      <c r="P605" s="3"/>
      <c r="Q605" s="3"/>
      <c r="R605" s="3"/>
    </row>
    <row r="606" spans="1:18" x14ac:dyDescent="0.3">
      <c r="A606" s="3"/>
      <c r="B606" s="3"/>
      <c r="C606" s="3"/>
      <c r="D606" s="3"/>
      <c r="E606" s="3"/>
      <c r="F606" s="3"/>
      <c r="G606" s="3"/>
      <c r="H606" s="3"/>
      <c r="I606" s="3"/>
      <c r="J606" s="3"/>
      <c r="K606" s="3"/>
      <c r="L606" s="3"/>
      <c r="M606" s="3"/>
      <c r="N606" s="3"/>
      <c r="O606" s="3"/>
      <c r="P606" s="3"/>
      <c r="Q606" s="3"/>
      <c r="R606" s="3"/>
    </row>
    <row r="607" spans="1:18" x14ac:dyDescent="0.3">
      <c r="A607" s="3"/>
      <c r="B607" s="3"/>
      <c r="C607" s="3"/>
      <c r="D607" s="3"/>
      <c r="E607" s="3"/>
      <c r="F607" s="3"/>
      <c r="G607" s="3"/>
      <c r="H607" s="3"/>
      <c r="I607" s="3"/>
      <c r="J607" s="3"/>
      <c r="K607" s="3"/>
      <c r="L607" s="3"/>
      <c r="M607" s="3"/>
      <c r="N607" s="3"/>
      <c r="O607" s="3"/>
      <c r="P607" s="3"/>
      <c r="Q607" s="3"/>
      <c r="R607" s="3"/>
    </row>
    <row r="608" spans="1:18" x14ac:dyDescent="0.3">
      <c r="A608" s="3"/>
      <c r="B608" s="3"/>
      <c r="C608" s="3"/>
      <c r="D608" s="3"/>
      <c r="E608" s="3"/>
      <c r="F608" s="3"/>
      <c r="G608" s="3"/>
      <c r="H608" s="3"/>
      <c r="I608" s="3"/>
      <c r="J608" s="3"/>
      <c r="K608" s="3"/>
      <c r="L608" s="3"/>
      <c r="M608" s="3"/>
      <c r="N608" s="3"/>
      <c r="O608" s="3"/>
      <c r="P608" s="3"/>
      <c r="Q608" s="3"/>
      <c r="R608" s="3"/>
    </row>
    <row r="609" spans="1:18" x14ac:dyDescent="0.3">
      <c r="A609" s="3"/>
      <c r="B609" s="3"/>
      <c r="C609" s="3"/>
      <c r="D609" s="3"/>
      <c r="E609" s="3"/>
      <c r="F609" s="3"/>
      <c r="G609" s="3"/>
      <c r="H609" s="3"/>
      <c r="I609" s="3"/>
      <c r="J609" s="3"/>
      <c r="K609" s="3"/>
      <c r="L609" s="3"/>
      <c r="M609" s="3"/>
      <c r="N609" s="3"/>
      <c r="O609" s="3"/>
      <c r="P609" s="3"/>
      <c r="Q609" s="3"/>
      <c r="R609" s="3"/>
    </row>
    <row r="610" spans="1:18" x14ac:dyDescent="0.3">
      <c r="A610" s="3"/>
      <c r="B610" s="3"/>
      <c r="C610" s="3"/>
      <c r="D610" s="3"/>
      <c r="E610" s="3"/>
      <c r="F610" s="3"/>
      <c r="G610" s="3"/>
      <c r="H610" s="3"/>
      <c r="I610" s="3"/>
      <c r="J610" s="3"/>
      <c r="K610" s="3"/>
      <c r="L610" s="3"/>
      <c r="M610" s="3"/>
      <c r="N610" s="3"/>
      <c r="O610" s="3"/>
      <c r="P610" s="3"/>
      <c r="Q610" s="3"/>
      <c r="R610" s="3"/>
    </row>
    <row r="611" spans="1:18" x14ac:dyDescent="0.3">
      <c r="A611" s="3"/>
      <c r="B611" s="3"/>
      <c r="C611" s="3"/>
      <c r="D611" s="3"/>
      <c r="E611" s="3"/>
      <c r="F611" s="3"/>
      <c r="G611" s="3"/>
      <c r="H611" s="3"/>
      <c r="I611" s="3"/>
      <c r="J611" s="3"/>
      <c r="K611" s="3"/>
      <c r="L611" s="3"/>
      <c r="M611" s="3"/>
      <c r="N611" s="3"/>
      <c r="O611" s="3"/>
      <c r="P611" s="3"/>
      <c r="Q611" s="3"/>
      <c r="R611" s="3"/>
    </row>
    <row r="612" spans="1:18" x14ac:dyDescent="0.3">
      <c r="A612" s="3"/>
      <c r="B612" s="3"/>
      <c r="C612" s="3"/>
      <c r="D612" s="3"/>
      <c r="E612" s="3"/>
      <c r="F612" s="3"/>
      <c r="G612" s="3"/>
      <c r="H612" s="3"/>
      <c r="I612" s="3"/>
      <c r="J612" s="3"/>
      <c r="K612" s="3"/>
      <c r="L612" s="3"/>
      <c r="M612" s="3"/>
      <c r="N612" s="3"/>
      <c r="O612" s="3"/>
      <c r="P612" s="3"/>
      <c r="Q612" s="3"/>
      <c r="R612" s="3"/>
    </row>
    <row r="613" spans="1:18" x14ac:dyDescent="0.3">
      <c r="A613" s="3"/>
      <c r="B613" s="3"/>
      <c r="C613" s="3"/>
      <c r="D613" s="3"/>
      <c r="E613" s="3"/>
      <c r="F613" s="3"/>
      <c r="G613" s="3"/>
      <c r="H613" s="3"/>
      <c r="I613" s="3"/>
      <c r="J613" s="3"/>
      <c r="K613" s="3"/>
      <c r="L613" s="3"/>
      <c r="M613" s="3"/>
      <c r="N613" s="3"/>
      <c r="O613" s="3"/>
      <c r="P613" s="3"/>
      <c r="Q613" s="3"/>
      <c r="R613" s="3"/>
    </row>
    <row r="614" spans="1:18" x14ac:dyDescent="0.3">
      <c r="A614" s="3"/>
      <c r="B614" s="3"/>
      <c r="C614" s="3"/>
      <c r="D614" s="3"/>
      <c r="E614" s="3"/>
      <c r="F614" s="3"/>
      <c r="G614" s="3"/>
      <c r="H614" s="3"/>
      <c r="I614" s="3"/>
      <c r="J614" s="3"/>
      <c r="K614" s="3"/>
      <c r="L614" s="3"/>
      <c r="M614" s="3"/>
      <c r="N614" s="3"/>
      <c r="O614" s="3"/>
      <c r="P614" s="3"/>
      <c r="Q614" s="3"/>
      <c r="R614" s="3"/>
    </row>
    <row r="615" spans="1:18" x14ac:dyDescent="0.3">
      <c r="A615" s="3"/>
      <c r="B615" s="3"/>
      <c r="C615" s="3"/>
      <c r="D615" s="3"/>
      <c r="E615" s="3"/>
      <c r="F615" s="3"/>
      <c r="G615" s="3"/>
      <c r="H615" s="3"/>
      <c r="I615" s="3"/>
      <c r="J615" s="3"/>
      <c r="K615" s="3"/>
      <c r="L615" s="3"/>
      <c r="M615" s="3"/>
      <c r="N615" s="3"/>
      <c r="O615" s="3"/>
      <c r="P615" s="3"/>
      <c r="Q615" s="3"/>
      <c r="R615" s="3"/>
    </row>
    <row r="616" spans="1:18" x14ac:dyDescent="0.3">
      <c r="A616" s="3"/>
      <c r="B616" s="3"/>
      <c r="C616" s="3"/>
      <c r="D616" s="3"/>
      <c r="E616" s="3"/>
      <c r="F616" s="3"/>
      <c r="G616" s="3"/>
      <c r="H616" s="3"/>
      <c r="I616" s="3"/>
      <c r="J616" s="3"/>
      <c r="K616" s="3"/>
      <c r="L616" s="3"/>
      <c r="M616" s="3"/>
      <c r="N616" s="3"/>
      <c r="O616" s="3"/>
      <c r="P616" s="3"/>
      <c r="Q616" s="3"/>
      <c r="R616" s="3"/>
    </row>
    <row r="617" spans="1:18" x14ac:dyDescent="0.3">
      <c r="A617" s="3"/>
      <c r="B617" s="3"/>
      <c r="C617" s="3"/>
      <c r="D617" s="3"/>
      <c r="E617" s="3"/>
      <c r="F617" s="3"/>
      <c r="G617" s="3"/>
      <c r="H617" s="3"/>
      <c r="I617" s="3"/>
      <c r="J617" s="3"/>
      <c r="K617" s="3"/>
      <c r="L617" s="3"/>
      <c r="M617" s="3"/>
      <c r="N617" s="3"/>
      <c r="O617" s="3"/>
      <c r="P617" s="3"/>
      <c r="Q617" s="3"/>
      <c r="R617" s="3"/>
    </row>
    <row r="618" spans="1:18" x14ac:dyDescent="0.3">
      <c r="A618" s="3"/>
      <c r="B618" s="3"/>
      <c r="C618" s="3"/>
      <c r="D618" s="3"/>
      <c r="E618" s="3"/>
      <c r="F618" s="3"/>
      <c r="G618" s="3"/>
      <c r="H618" s="3"/>
      <c r="I618" s="3"/>
      <c r="J618" s="3"/>
      <c r="K618" s="3"/>
      <c r="L618" s="3"/>
      <c r="M618" s="3"/>
      <c r="N618" s="3"/>
      <c r="O618" s="3"/>
      <c r="P618" s="3"/>
      <c r="Q618" s="3"/>
      <c r="R618" s="3"/>
    </row>
    <row r="619" spans="1:18" x14ac:dyDescent="0.3">
      <c r="A619" s="3"/>
      <c r="B619" s="3"/>
      <c r="C619" s="3"/>
      <c r="D619" s="3"/>
      <c r="E619" s="3"/>
      <c r="F619" s="3"/>
      <c r="G619" s="3"/>
      <c r="H619" s="3"/>
      <c r="I619" s="3"/>
      <c r="J619" s="3"/>
      <c r="K619" s="3"/>
      <c r="L619" s="3"/>
      <c r="M619" s="3"/>
      <c r="N619" s="3"/>
      <c r="O619" s="3"/>
      <c r="P619" s="3"/>
      <c r="Q619" s="3"/>
      <c r="R619" s="3"/>
    </row>
    <row r="620" spans="1:18" x14ac:dyDescent="0.3">
      <c r="A620" s="3"/>
      <c r="B620" s="3"/>
      <c r="C620" s="3"/>
      <c r="D620" s="3"/>
      <c r="E620" s="3"/>
      <c r="F620" s="3"/>
      <c r="G620" s="3"/>
      <c r="H620" s="3"/>
      <c r="I620" s="3"/>
      <c r="J620" s="3"/>
      <c r="K620" s="3"/>
      <c r="L620" s="3"/>
      <c r="M620" s="3"/>
      <c r="N620" s="3"/>
      <c r="O620" s="3"/>
      <c r="P620" s="3"/>
      <c r="Q620" s="3"/>
      <c r="R620" s="3"/>
    </row>
    <row r="621" spans="1:18" x14ac:dyDescent="0.3">
      <c r="A621" s="3"/>
      <c r="B621" s="3"/>
      <c r="C621" s="3"/>
      <c r="D621" s="3"/>
      <c r="E621" s="3"/>
      <c r="F621" s="3"/>
      <c r="G621" s="3"/>
      <c r="H621" s="3"/>
      <c r="I621" s="3"/>
      <c r="J621" s="3"/>
      <c r="K621" s="3"/>
      <c r="L621" s="3"/>
      <c r="M621" s="3"/>
      <c r="N621" s="3"/>
      <c r="O621" s="3"/>
      <c r="P621" s="3"/>
      <c r="Q621" s="3"/>
      <c r="R621" s="3"/>
    </row>
    <row r="622" spans="1:18" x14ac:dyDescent="0.3">
      <c r="A622" s="3"/>
      <c r="B622" s="3"/>
      <c r="C622" s="3"/>
      <c r="D622" s="3"/>
      <c r="E622" s="3"/>
      <c r="F622" s="3"/>
      <c r="G622" s="3"/>
      <c r="H622" s="3"/>
      <c r="I622" s="3"/>
      <c r="J622" s="3"/>
      <c r="K622" s="3"/>
      <c r="L622" s="3"/>
      <c r="M622" s="3"/>
      <c r="N622" s="3"/>
      <c r="O622" s="3"/>
      <c r="P622" s="3"/>
      <c r="Q622" s="3"/>
      <c r="R622" s="3"/>
    </row>
    <row r="623" spans="1:18" x14ac:dyDescent="0.3">
      <c r="A623" s="3"/>
      <c r="B623" s="3"/>
      <c r="C623" s="3"/>
      <c r="D623" s="3"/>
      <c r="E623" s="3"/>
      <c r="F623" s="3"/>
      <c r="G623" s="3"/>
      <c r="H623" s="3"/>
      <c r="I623" s="3"/>
      <c r="J623" s="3"/>
      <c r="K623" s="3"/>
      <c r="L623" s="3"/>
      <c r="M623" s="3"/>
      <c r="N623" s="3"/>
      <c r="O623" s="3"/>
      <c r="P623" s="3"/>
      <c r="Q623" s="3"/>
      <c r="R623" s="3"/>
    </row>
    <row r="624" spans="1:18" x14ac:dyDescent="0.3">
      <c r="A624" s="3"/>
      <c r="B624" s="3"/>
      <c r="C624" s="3"/>
      <c r="D624" s="3"/>
      <c r="E624" s="3"/>
      <c r="F624" s="3"/>
      <c r="G624" s="3"/>
      <c r="H624" s="3"/>
      <c r="I624" s="3"/>
      <c r="J624" s="3"/>
      <c r="K624" s="3"/>
      <c r="L624" s="3"/>
      <c r="M624" s="3"/>
      <c r="N624" s="3"/>
      <c r="O624" s="3"/>
      <c r="P624" s="3"/>
      <c r="Q624" s="3"/>
      <c r="R624" s="3"/>
    </row>
    <row r="625" spans="1:18" x14ac:dyDescent="0.3">
      <c r="A625" s="3"/>
      <c r="B625" s="3"/>
      <c r="C625" s="3"/>
      <c r="D625" s="3"/>
      <c r="E625" s="3"/>
      <c r="F625" s="3"/>
      <c r="G625" s="3"/>
      <c r="H625" s="3"/>
      <c r="I625" s="3"/>
      <c r="J625" s="3"/>
      <c r="K625" s="3"/>
      <c r="L625" s="3"/>
      <c r="M625" s="3"/>
      <c r="N625" s="3"/>
      <c r="O625" s="3"/>
      <c r="P625" s="3"/>
      <c r="Q625" s="3"/>
      <c r="R625" s="3"/>
    </row>
    <row r="626" spans="1:18" x14ac:dyDescent="0.3">
      <c r="A626" s="3"/>
      <c r="B626" s="3"/>
      <c r="C626" s="3"/>
      <c r="D626" s="3"/>
      <c r="E626" s="3"/>
      <c r="F626" s="3"/>
      <c r="G626" s="3"/>
      <c r="H626" s="3"/>
      <c r="I626" s="3"/>
      <c r="J626" s="3"/>
      <c r="K626" s="3"/>
      <c r="L626" s="3"/>
      <c r="M626" s="3"/>
      <c r="N626" s="3"/>
      <c r="O626" s="3"/>
      <c r="P626" s="3"/>
      <c r="Q626" s="3"/>
      <c r="R626" s="3"/>
    </row>
    <row r="627" spans="1:18" x14ac:dyDescent="0.3">
      <c r="A627" s="3"/>
      <c r="B627" s="3"/>
      <c r="C627" s="3"/>
      <c r="D627" s="3"/>
      <c r="E627" s="3"/>
      <c r="F627" s="3"/>
      <c r="G627" s="3"/>
      <c r="H627" s="3"/>
      <c r="I627" s="3"/>
      <c r="J627" s="3"/>
      <c r="K627" s="3"/>
      <c r="L627" s="3"/>
      <c r="M627" s="3"/>
      <c r="N627" s="3"/>
      <c r="O627" s="3"/>
      <c r="P627" s="3"/>
      <c r="Q627" s="3"/>
      <c r="R627" s="3"/>
    </row>
    <row r="628" spans="1:18" x14ac:dyDescent="0.3">
      <c r="A628" s="3"/>
      <c r="B628" s="3"/>
      <c r="C628" s="3"/>
      <c r="D628" s="3"/>
      <c r="E628" s="3"/>
      <c r="F628" s="3"/>
      <c r="G628" s="3"/>
      <c r="H628" s="3"/>
      <c r="I628" s="3"/>
      <c r="J628" s="3"/>
      <c r="K628" s="3"/>
      <c r="L628" s="3"/>
      <c r="M628" s="3"/>
      <c r="N628" s="3"/>
      <c r="O628" s="3"/>
      <c r="P628" s="3"/>
      <c r="Q628" s="3"/>
      <c r="R628" s="3"/>
    </row>
    <row r="629" spans="1:18" x14ac:dyDescent="0.3">
      <c r="A629" s="3"/>
      <c r="B629" s="3"/>
      <c r="C629" s="3"/>
      <c r="D629" s="3"/>
      <c r="E629" s="3"/>
      <c r="F629" s="3"/>
      <c r="G629" s="3"/>
      <c r="H629" s="3"/>
      <c r="I629" s="3"/>
      <c r="J629" s="3"/>
      <c r="K629" s="3"/>
      <c r="L629" s="3"/>
      <c r="M629" s="3"/>
      <c r="N629" s="3"/>
      <c r="O629" s="3"/>
      <c r="P629" s="3"/>
      <c r="Q629" s="3"/>
      <c r="R629" s="3"/>
    </row>
    <row r="630" spans="1:18" x14ac:dyDescent="0.3">
      <c r="A630" s="3"/>
      <c r="B630" s="3"/>
      <c r="C630" s="3"/>
      <c r="D630" s="3"/>
      <c r="E630" s="3"/>
      <c r="F630" s="3"/>
      <c r="G630" s="3"/>
      <c r="H630" s="3"/>
      <c r="I630" s="3"/>
      <c r="J630" s="3"/>
      <c r="K630" s="3"/>
      <c r="L630" s="3"/>
      <c r="M630" s="3"/>
      <c r="N630" s="3"/>
      <c r="O630" s="3"/>
      <c r="P630" s="3"/>
      <c r="Q630" s="3"/>
      <c r="R630" s="3"/>
    </row>
    <row r="631" spans="1:18" x14ac:dyDescent="0.3">
      <c r="A631" s="3"/>
      <c r="B631" s="3"/>
      <c r="C631" s="3"/>
      <c r="D631" s="3"/>
      <c r="E631" s="3"/>
      <c r="F631" s="3"/>
      <c r="G631" s="3"/>
      <c r="H631" s="3"/>
      <c r="I631" s="3"/>
      <c r="J631" s="3"/>
      <c r="K631" s="3"/>
      <c r="L631" s="3"/>
      <c r="M631" s="3"/>
      <c r="N631" s="3"/>
      <c r="O631" s="3"/>
      <c r="P631" s="3"/>
      <c r="Q631" s="3"/>
      <c r="R631" s="3"/>
    </row>
    <row r="632" spans="1:18" x14ac:dyDescent="0.3">
      <c r="A632" s="3"/>
      <c r="B632" s="3"/>
      <c r="C632" s="3"/>
      <c r="D632" s="3"/>
      <c r="E632" s="3"/>
      <c r="F632" s="3"/>
      <c r="G632" s="3"/>
      <c r="H632" s="3"/>
      <c r="I632" s="3"/>
      <c r="J632" s="3"/>
      <c r="K632" s="3"/>
      <c r="L632" s="3"/>
      <c r="M632" s="3"/>
      <c r="N632" s="3"/>
      <c r="O632" s="3"/>
      <c r="P632" s="3"/>
      <c r="Q632" s="3"/>
      <c r="R632" s="3"/>
    </row>
    <row r="633" spans="1:18" x14ac:dyDescent="0.3">
      <c r="A633" s="3"/>
      <c r="B633" s="3"/>
      <c r="C633" s="3"/>
      <c r="D633" s="3"/>
      <c r="E633" s="3"/>
      <c r="F633" s="3"/>
      <c r="G633" s="3"/>
      <c r="H633" s="3"/>
      <c r="I633" s="3"/>
      <c r="J633" s="3"/>
      <c r="K633" s="3"/>
      <c r="L633" s="3"/>
      <c r="M633" s="3"/>
      <c r="N633" s="3"/>
      <c r="O633" s="3"/>
      <c r="P633" s="3"/>
      <c r="Q633" s="3"/>
      <c r="R633" s="3"/>
    </row>
    <row r="634" spans="1:18" x14ac:dyDescent="0.3">
      <c r="A634" s="3"/>
      <c r="B634" s="3"/>
      <c r="C634" s="3"/>
      <c r="D634" s="3"/>
      <c r="E634" s="3"/>
      <c r="F634" s="3"/>
      <c r="G634" s="3"/>
      <c r="H634" s="3"/>
      <c r="I634" s="3"/>
      <c r="J634" s="3"/>
      <c r="K634" s="3"/>
      <c r="L634" s="3"/>
      <c r="M634" s="3"/>
      <c r="N634" s="3"/>
      <c r="O634" s="3"/>
      <c r="P634" s="3"/>
      <c r="Q634" s="3"/>
      <c r="R634" s="3"/>
    </row>
    <row r="635" spans="1:18" x14ac:dyDescent="0.3">
      <c r="A635" s="3"/>
      <c r="B635" s="3"/>
      <c r="C635" s="3"/>
      <c r="D635" s="3"/>
      <c r="E635" s="3"/>
      <c r="F635" s="3"/>
      <c r="G635" s="3"/>
      <c r="H635" s="3"/>
      <c r="I635" s="3"/>
      <c r="J635" s="3"/>
      <c r="K635" s="3"/>
      <c r="L635" s="3"/>
      <c r="M635" s="3"/>
      <c r="N635" s="3"/>
      <c r="O635" s="3"/>
      <c r="P635" s="3"/>
      <c r="Q635" s="3"/>
      <c r="R635" s="3"/>
    </row>
    <row r="636" spans="1:18" x14ac:dyDescent="0.3">
      <c r="A636" s="3"/>
      <c r="B636" s="3"/>
      <c r="C636" s="3"/>
      <c r="D636" s="3"/>
      <c r="E636" s="3"/>
      <c r="F636" s="3"/>
      <c r="G636" s="3"/>
      <c r="H636" s="3"/>
      <c r="I636" s="3"/>
      <c r="J636" s="3"/>
      <c r="K636" s="3"/>
      <c r="L636" s="3"/>
      <c r="M636" s="3"/>
      <c r="N636" s="3"/>
      <c r="O636" s="3"/>
      <c r="P636" s="3"/>
      <c r="Q636" s="3"/>
      <c r="R636" s="3"/>
    </row>
    <row r="637" spans="1:18" x14ac:dyDescent="0.3">
      <c r="A637" s="3"/>
      <c r="B637" s="3"/>
      <c r="C637" s="3"/>
      <c r="D637" s="3"/>
      <c r="E637" s="3"/>
      <c r="F637" s="3"/>
      <c r="G637" s="3"/>
      <c r="H637" s="3"/>
      <c r="I637" s="3"/>
      <c r="J637" s="3"/>
      <c r="K637" s="3"/>
      <c r="L637" s="3"/>
      <c r="M637" s="3"/>
      <c r="N637" s="3"/>
      <c r="O637" s="3"/>
      <c r="P637" s="3"/>
      <c r="Q637" s="3"/>
      <c r="R637" s="3"/>
    </row>
    <row r="638" spans="1:18" x14ac:dyDescent="0.3">
      <c r="A638" s="3"/>
      <c r="B638" s="3"/>
      <c r="C638" s="3"/>
      <c r="D638" s="3"/>
      <c r="E638" s="3"/>
      <c r="F638" s="3"/>
      <c r="G638" s="3"/>
      <c r="H638" s="3"/>
      <c r="I638" s="3"/>
      <c r="J638" s="3"/>
      <c r="K638" s="3"/>
      <c r="L638" s="3"/>
      <c r="M638" s="3"/>
      <c r="N638" s="3"/>
      <c r="O638" s="3"/>
      <c r="P638" s="3"/>
      <c r="Q638" s="3"/>
      <c r="R638" s="3"/>
    </row>
    <row r="639" spans="1:18" x14ac:dyDescent="0.3">
      <c r="A639" s="3"/>
      <c r="B639" s="3"/>
      <c r="C639" s="3"/>
      <c r="D639" s="3"/>
      <c r="E639" s="3"/>
      <c r="F639" s="3"/>
      <c r="G639" s="3"/>
      <c r="H639" s="3"/>
      <c r="I639" s="3"/>
      <c r="J639" s="3"/>
      <c r="K639" s="3"/>
      <c r="L639" s="3"/>
      <c r="M639" s="3"/>
      <c r="N639" s="3"/>
      <c r="O639" s="3"/>
      <c r="P639" s="3"/>
      <c r="Q639" s="3"/>
      <c r="R639" s="3"/>
    </row>
    <row r="640" spans="1:18" x14ac:dyDescent="0.3">
      <c r="A640" s="3"/>
      <c r="B640" s="3"/>
      <c r="C640" s="3"/>
      <c r="D640" s="3"/>
      <c r="E640" s="3"/>
      <c r="F640" s="3"/>
      <c r="G640" s="3"/>
      <c r="H640" s="3"/>
      <c r="I640" s="3"/>
      <c r="J640" s="3"/>
      <c r="K640" s="3"/>
      <c r="L640" s="3"/>
      <c r="M640" s="3"/>
      <c r="N640" s="3"/>
      <c r="O640" s="3"/>
      <c r="P640" s="3"/>
      <c r="Q640" s="3"/>
      <c r="R640" s="3"/>
    </row>
    <row r="641" spans="1:18" x14ac:dyDescent="0.3">
      <c r="A641" s="3"/>
      <c r="B641" s="3"/>
      <c r="C641" s="3"/>
      <c r="D641" s="3"/>
      <c r="E641" s="3"/>
      <c r="F641" s="3"/>
      <c r="G641" s="3"/>
      <c r="H641" s="3"/>
      <c r="I641" s="3"/>
      <c r="J641" s="3"/>
      <c r="K641" s="3"/>
      <c r="L641" s="3"/>
      <c r="M641" s="3"/>
      <c r="N641" s="3"/>
      <c r="O641" s="3"/>
      <c r="P641" s="3"/>
      <c r="Q641" s="3"/>
      <c r="R641" s="3"/>
    </row>
    <row r="642" spans="1:18" x14ac:dyDescent="0.3">
      <c r="A642" s="3"/>
      <c r="B642" s="3"/>
      <c r="C642" s="3"/>
      <c r="D642" s="3"/>
      <c r="E642" s="3"/>
      <c r="F642" s="3"/>
      <c r="G642" s="3"/>
      <c r="H642" s="3"/>
      <c r="I642" s="3"/>
      <c r="J642" s="3"/>
      <c r="K642" s="3"/>
      <c r="L642" s="3"/>
      <c r="M642" s="3"/>
      <c r="N642" s="3"/>
      <c r="O642" s="3"/>
      <c r="P642" s="3"/>
      <c r="Q642" s="3"/>
      <c r="R642" s="3"/>
    </row>
    <row r="643" spans="1:18" x14ac:dyDescent="0.3">
      <c r="A643" s="3"/>
      <c r="B643" s="3"/>
      <c r="C643" s="3"/>
      <c r="D643" s="3"/>
      <c r="E643" s="3"/>
      <c r="F643" s="3"/>
      <c r="G643" s="3"/>
      <c r="H643" s="3"/>
      <c r="I643" s="3"/>
      <c r="J643" s="3"/>
      <c r="K643" s="3"/>
      <c r="L643" s="3"/>
      <c r="M643" s="3"/>
      <c r="N643" s="3"/>
      <c r="O643" s="3"/>
      <c r="P643" s="3"/>
      <c r="Q643" s="3"/>
      <c r="R643" s="3"/>
    </row>
    <row r="644" spans="1:18" x14ac:dyDescent="0.3">
      <c r="A644" s="3"/>
      <c r="B644" s="3"/>
      <c r="C644" s="3"/>
      <c r="D644" s="3"/>
      <c r="E644" s="3"/>
      <c r="F644" s="3"/>
      <c r="G644" s="3"/>
      <c r="H644" s="3"/>
      <c r="I644" s="3"/>
      <c r="J644" s="3"/>
      <c r="K644" s="3"/>
      <c r="L644" s="3"/>
      <c r="M644" s="3"/>
      <c r="N644" s="3"/>
      <c r="O644" s="3"/>
      <c r="P644" s="3"/>
      <c r="Q644" s="3"/>
      <c r="R644" s="3"/>
    </row>
    <row r="645" spans="1:18" x14ac:dyDescent="0.3">
      <c r="A645" s="3"/>
      <c r="B645" s="3"/>
      <c r="C645" s="3"/>
      <c r="D645" s="3"/>
      <c r="E645" s="3"/>
      <c r="F645" s="3"/>
      <c r="G645" s="3"/>
      <c r="H645" s="3"/>
      <c r="I645" s="3"/>
      <c r="J645" s="3"/>
      <c r="K645" s="3"/>
      <c r="L645" s="3"/>
      <c r="M645" s="3"/>
      <c r="N645" s="3"/>
      <c r="O645" s="3"/>
      <c r="P645" s="3"/>
      <c r="Q645" s="3"/>
      <c r="R645" s="3"/>
    </row>
    <row r="646" spans="1:18" x14ac:dyDescent="0.3">
      <c r="A646" s="3"/>
      <c r="B646" s="3"/>
      <c r="C646" s="3"/>
      <c r="D646" s="3"/>
      <c r="E646" s="3"/>
      <c r="F646" s="3"/>
      <c r="G646" s="3"/>
      <c r="H646" s="3"/>
      <c r="I646" s="3"/>
      <c r="J646" s="3"/>
      <c r="K646" s="3"/>
      <c r="L646" s="3"/>
      <c r="M646" s="3"/>
      <c r="N646" s="3"/>
      <c r="O646" s="3"/>
      <c r="P646" s="3"/>
      <c r="Q646" s="3"/>
      <c r="R646" s="3"/>
    </row>
    <row r="647" spans="1:18" x14ac:dyDescent="0.3">
      <c r="A647" s="3"/>
      <c r="B647" s="3"/>
      <c r="C647" s="3"/>
      <c r="D647" s="3"/>
      <c r="E647" s="3"/>
      <c r="F647" s="3"/>
      <c r="G647" s="3"/>
      <c r="H647" s="3"/>
      <c r="I647" s="3"/>
      <c r="J647" s="3"/>
      <c r="K647" s="3"/>
      <c r="L647" s="3"/>
      <c r="M647" s="3"/>
      <c r="N647" s="3"/>
      <c r="O647" s="3"/>
      <c r="P647" s="3"/>
      <c r="Q647" s="3"/>
      <c r="R647" s="3"/>
    </row>
    <row r="648" spans="1:18" x14ac:dyDescent="0.3">
      <c r="A648" s="3"/>
      <c r="B648" s="3"/>
      <c r="C648" s="3"/>
      <c r="D648" s="3"/>
      <c r="E648" s="3"/>
      <c r="F648" s="3"/>
      <c r="G648" s="3"/>
      <c r="H648" s="3"/>
      <c r="I648" s="3"/>
      <c r="J648" s="3"/>
      <c r="K648" s="3"/>
      <c r="L648" s="3"/>
      <c r="M648" s="3"/>
      <c r="N648" s="3"/>
      <c r="O648" s="3"/>
      <c r="P648" s="3"/>
      <c r="Q648" s="3"/>
      <c r="R648" s="3"/>
    </row>
    <row r="649" spans="1:18" x14ac:dyDescent="0.3">
      <c r="A649" s="3"/>
      <c r="B649" s="3"/>
      <c r="C649" s="3"/>
      <c r="D649" s="3"/>
      <c r="E649" s="3"/>
      <c r="F649" s="3"/>
      <c r="G649" s="3"/>
      <c r="H649" s="3"/>
      <c r="I649" s="3"/>
      <c r="J649" s="3"/>
      <c r="K649" s="3"/>
      <c r="L649" s="3"/>
      <c r="M649" s="3"/>
      <c r="N649" s="3"/>
      <c r="O649" s="3"/>
      <c r="P649" s="3"/>
      <c r="Q649" s="3"/>
      <c r="R649" s="3"/>
    </row>
    <row r="650" spans="1:18" x14ac:dyDescent="0.3">
      <c r="A650" s="3"/>
      <c r="B650" s="3"/>
      <c r="C650" s="3"/>
      <c r="D650" s="3"/>
      <c r="E650" s="3"/>
      <c r="F650" s="3"/>
      <c r="G650" s="3"/>
      <c r="H650" s="3"/>
      <c r="I650" s="3"/>
      <c r="J650" s="3"/>
      <c r="K650" s="3"/>
      <c r="L650" s="3"/>
      <c r="M650" s="3"/>
      <c r="N650" s="3"/>
      <c r="O650" s="3"/>
      <c r="P650" s="3"/>
      <c r="Q650" s="3"/>
      <c r="R650" s="3"/>
    </row>
    <row r="651" spans="1:18" x14ac:dyDescent="0.3">
      <c r="A651" s="3"/>
      <c r="B651" s="3"/>
      <c r="C651" s="3"/>
      <c r="D651" s="3"/>
      <c r="E651" s="3"/>
      <c r="F651" s="3"/>
      <c r="G651" s="3"/>
      <c r="H651" s="3"/>
      <c r="I651" s="3"/>
      <c r="J651" s="3"/>
      <c r="K651" s="3"/>
      <c r="L651" s="3"/>
      <c r="M651" s="3"/>
      <c r="N651" s="3"/>
      <c r="O651" s="3"/>
      <c r="P651" s="3"/>
      <c r="Q651" s="3"/>
      <c r="R651" s="3"/>
    </row>
    <row r="652" spans="1:18" x14ac:dyDescent="0.3">
      <c r="A652" s="3"/>
      <c r="B652" s="3"/>
      <c r="C652" s="3"/>
      <c r="D652" s="3"/>
      <c r="E652" s="3"/>
      <c r="F652" s="3"/>
      <c r="G652" s="3"/>
      <c r="H652" s="3"/>
      <c r="I652" s="3"/>
      <c r="J652" s="3"/>
      <c r="K652" s="3"/>
      <c r="L652" s="3"/>
      <c r="M652" s="3"/>
      <c r="N652" s="3"/>
      <c r="O652" s="3"/>
      <c r="P652" s="3"/>
      <c r="Q652" s="3"/>
      <c r="R652" s="3"/>
    </row>
    <row r="653" spans="1:18" x14ac:dyDescent="0.3">
      <c r="A653" s="3"/>
      <c r="B653" s="3"/>
      <c r="C653" s="3"/>
      <c r="D653" s="3"/>
      <c r="E653" s="3"/>
      <c r="F653" s="3"/>
      <c r="G653" s="3"/>
      <c r="H653" s="3"/>
      <c r="I653" s="3"/>
      <c r="J653" s="3"/>
      <c r="K653" s="3"/>
      <c r="L653" s="3"/>
      <c r="M653" s="3"/>
      <c r="N653" s="3"/>
      <c r="O653" s="3"/>
      <c r="P653" s="3"/>
      <c r="Q653" s="3"/>
      <c r="R653" s="3"/>
    </row>
    <row r="654" spans="1:18" x14ac:dyDescent="0.3">
      <c r="A654" s="3"/>
      <c r="B654" s="3"/>
      <c r="C654" s="3"/>
      <c r="D654" s="3"/>
      <c r="E654" s="3"/>
      <c r="F654" s="3"/>
      <c r="G654" s="3"/>
      <c r="H654" s="3"/>
      <c r="I654" s="3"/>
      <c r="J654" s="3"/>
      <c r="K654" s="3"/>
      <c r="L654" s="3"/>
      <c r="M654" s="3"/>
      <c r="N654" s="3"/>
      <c r="O654" s="3"/>
      <c r="P654" s="3"/>
      <c r="Q654" s="3"/>
      <c r="R654" s="3"/>
    </row>
    <row r="655" spans="1:18" x14ac:dyDescent="0.3">
      <c r="A655" s="3"/>
      <c r="B655" s="3"/>
      <c r="C655" s="3"/>
      <c r="D655" s="3"/>
      <c r="E655" s="3"/>
      <c r="F655" s="3"/>
      <c r="G655" s="3"/>
      <c r="H655" s="3"/>
      <c r="I655" s="3"/>
      <c r="J655" s="3"/>
      <c r="K655" s="3"/>
      <c r="L655" s="3"/>
      <c r="M655" s="3"/>
      <c r="N655" s="3"/>
      <c r="O655" s="3"/>
      <c r="P655" s="3"/>
      <c r="Q655" s="3"/>
      <c r="R655" s="3"/>
    </row>
    <row r="656" spans="1:18" x14ac:dyDescent="0.3">
      <c r="A656" s="3"/>
      <c r="B656" s="3"/>
      <c r="C656" s="3"/>
      <c r="D656" s="3"/>
      <c r="E656" s="3"/>
      <c r="F656" s="3"/>
      <c r="G656" s="3"/>
      <c r="H656" s="3"/>
      <c r="I656" s="3"/>
      <c r="J656" s="3"/>
      <c r="K656" s="3"/>
      <c r="L656" s="3"/>
      <c r="M656" s="3"/>
      <c r="N656" s="3"/>
      <c r="O656" s="3"/>
      <c r="P656" s="3"/>
      <c r="Q656" s="3"/>
      <c r="R656" s="3"/>
    </row>
    <row r="657" spans="1:18" x14ac:dyDescent="0.3">
      <c r="A657" s="3"/>
      <c r="B657" s="3"/>
      <c r="C657" s="3"/>
      <c r="D657" s="3"/>
      <c r="E657" s="3"/>
      <c r="F657" s="3"/>
      <c r="G657" s="3"/>
      <c r="H657" s="3"/>
      <c r="I657" s="3"/>
      <c r="J657" s="3"/>
      <c r="K657" s="3"/>
      <c r="L657" s="3"/>
      <c r="M657" s="3"/>
      <c r="N657" s="3"/>
      <c r="O657" s="3"/>
      <c r="P657" s="3"/>
      <c r="Q657" s="3"/>
      <c r="R657" s="3"/>
    </row>
    <row r="658" spans="1:18" x14ac:dyDescent="0.3">
      <c r="A658" s="3"/>
      <c r="B658" s="3"/>
      <c r="C658" s="3"/>
      <c r="D658" s="3"/>
      <c r="E658" s="3"/>
      <c r="F658" s="3"/>
      <c r="G658" s="3"/>
      <c r="H658" s="3"/>
      <c r="I658" s="3"/>
      <c r="J658" s="3"/>
      <c r="K658" s="3"/>
      <c r="L658" s="3"/>
      <c r="M658" s="3"/>
      <c r="N658" s="3"/>
      <c r="O658" s="3"/>
      <c r="P658" s="3"/>
      <c r="Q658" s="3"/>
      <c r="R658" s="3"/>
    </row>
    <row r="659" spans="1:18" x14ac:dyDescent="0.3">
      <c r="A659" s="3"/>
      <c r="B659" s="3"/>
      <c r="C659" s="3"/>
      <c r="D659" s="3"/>
      <c r="E659" s="3"/>
      <c r="F659" s="3"/>
      <c r="G659" s="3"/>
      <c r="H659" s="3"/>
      <c r="I659" s="3"/>
      <c r="J659" s="3"/>
      <c r="K659" s="3"/>
      <c r="L659" s="3"/>
      <c r="M659" s="3"/>
      <c r="N659" s="3"/>
      <c r="O659" s="3"/>
      <c r="P659" s="3"/>
      <c r="Q659" s="3"/>
      <c r="R659" s="3"/>
    </row>
    <row r="660" spans="1:18" x14ac:dyDescent="0.3">
      <c r="A660" s="3"/>
      <c r="B660" s="3"/>
      <c r="C660" s="3"/>
      <c r="D660" s="3"/>
      <c r="E660" s="3"/>
      <c r="F660" s="3"/>
      <c r="G660" s="3"/>
      <c r="H660" s="3"/>
      <c r="I660" s="3"/>
      <c r="J660" s="3"/>
      <c r="K660" s="3"/>
      <c r="L660" s="3"/>
      <c r="M660" s="3"/>
      <c r="N660" s="3"/>
      <c r="O660" s="3"/>
      <c r="P660" s="3"/>
      <c r="Q660" s="3"/>
      <c r="R660" s="3"/>
    </row>
    <row r="661" spans="1:18" x14ac:dyDescent="0.3">
      <c r="A661" s="3"/>
      <c r="B661" s="3"/>
      <c r="C661" s="3"/>
      <c r="D661" s="3"/>
      <c r="E661" s="3"/>
      <c r="F661" s="3"/>
      <c r="G661" s="3"/>
      <c r="H661" s="3"/>
      <c r="I661" s="3"/>
      <c r="J661" s="3"/>
      <c r="K661" s="3"/>
      <c r="L661" s="3"/>
      <c r="M661" s="3"/>
      <c r="N661" s="3"/>
      <c r="O661" s="3"/>
      <c r="P661" s="3"/>
      <c r="Q661" s="3"/>
      <c r="R661" s="3"/>
    </row>
    <row r="662" spans="1:18" x14ac:dyDescent="0.3">
      <c r="A662" s="3"/>
      <c r="B662" s="3"/>
      <c r="C662" s="3"/>
      <c r="D662" s="3"/>
      <c r="E662" s="3"/>
      <c r="F662" s="3"/>
      <c r="G662" s="3"/>
      <c r="H662" s="3"/>
      <c r="I662" s="3"/>
      <c r="J662" s="3"/>
      <c r="K662" s="3"/>
      <c r="L662" s="3"/>
      <c r="M662" s="3"/>
      <c r="N662" s="3"/>
      <c r="O662" s="3"/>
      <c r="P662" s="3"/>
      <c r="Q662" s="3"/>
      <c r="R662" s="3"/>
    </row>
    <row r="663" spans="1:18" x14ac:dyDescent="0.3">
      <c r="A663" s="3"/>
      <c r="B663" s="3"/>
      <c r="C663" s="3"/>
      <c r="D663" s="3"/>
      <c r="E663" s="3"/>
      <c r="F663" s="3"/>
      <c r="G663" s="3"/>
      <c r="H663" s="3"/>
      <c r="I663" s="3"/>
      <c r="J663" s="3"/>
      <c r="K663" s="3"/>
      <c r="L663" s="3"/>
      <c r="M663" s="3"/>
      <c r="N663" s="3"/>
      <c r="O663" s="3"/>
      <c r="P663" s="3"/>
      <c r="Q663" s="3"/>
      <c r="R663" s="3"/>
    </row>
    <row r="664" spans="1:18" x14ac:dyDescent="0.3">
      <c r="A664" s="3"/>
      <c r="B664" s="3"/>
      <c r="C664" s="3"/>
      <c r="D664" s="3"/>
      <c r="E664" s="3"/>
      <c r="F664" s="3"/>
      <c r="G664" s="3"/>
      <c r="H664" s="3"/>
      <c r="I664" s="3"/>
      <c r="J664" s="3"/>
      <c r="K664" s="3"/>
      <c r="L664" s="3"/>
      <c r="M664" s="3"/>
      <c r="N664" s="3"/>
      <c r="O664" s="3"/>
      <c r="P664" s="3"/>
      <c r="Q664" s="3"/>
      <c r="R664" s="3"/>
    </row>
    <row r="665" spans="1:18" x14ac:dyDescent="0.3">
      <c r="A665" s="3"/>
      <c r="B665" s="3"/>
      <c r="C665" s="3"/>
      <c r="D665" s="3"/>
      <c r="E665" s="3"/>
      <c r="F665" s="3"/>
      <c r="G665" s="3"/>
      <c r="H665" s="3"/>
      <c r="I665" s="3"/>
      <c r="J665" s="3"/>
      <c r="K665" s="3"/>
      <c r="L665" s="3"/>
      <c r="M665" s="3"/>
      <c r="N665" s="3"/>
      <c r="O665" s="3"/>
      <c r="P665" s="3"/>
      <c r="Q665" s="3"/>
      <c r="R665" s="3"/>
    </row>
    <row r="666" spans="1:18" x14ac:dyDescent="0.3">
      <c r="A666" s="3"/>
      <c r="B666" s="3"/>
      <c r="C666" s="3"/>
      <c r="D666" s="3"/>
      <c r="E666" s="3"/>
      <c r="F666" s="3"/>
      <c r="G666" s="3"/>
      <c r="H666" s="3"/>
      <c r="I666" s="3"/>
      <c r="J666" s="3"/>
      <c r="K666" s="3"/>
      <c r="L666" s="3"/>
      <c r="M666" s="3"/>
      <c r="N666" s="3"/>
      <c r="O666" s="3"/>
      <c r="P666" s="3"/>
      <c r="Q666" s="3"/>
      <c r="R666" s="3"/>
    </row>
    <row r="667" spans="1:18" x14ac:dyDescent="0.3">
      <c r="A667" s="3"/>
      <c r="B667" s="3"/>
      <c r="C667" s="3"/>
      <c r="D667" s="3"/>
      <c r="E667" s="3"/>
      <c r="F667" s="3"/>
      <c r="G667" s="3"/>
      <c r="H667" s="3"/>
      <c r="I667" s="3"/>
      <c r="J667" s="3"/>
      <c r="K667" s="3"/>
      <c r="L667" s="3"/>
      <c r="M667" s="3"/>
      <c r="N667" s="3"/>
      <c r="O667" s="3"/>
      <c r="P667" s="3"/>
      <c r="Q667" s="3"/>
      <c r="R667" s="3"/>
    </row>
    <row r="668" spans="1:18" x14ac:dyDescent="0.3">
      <c r="A668" s="3"/>
      <c r="B668" s="3"/>
      <c r="C668" s="3"/>
      <c r="D668" s="3"/>
      <c r="E668" s="3"/>
      <c r="F668" s="3"/>
      <c r="G668" s="3"/>
      <c r="H668" s="3"/>
      <c r="I668" s="3"/>
      <c r="J668" s="3"/>
      <c r="K668" s="3"/>
      <c r="L668" s="3"/>
      <c r="M668" s="3"/>
      <c r="N668" s="3"/>
      <c r="O668" s="3"/>
      <c r="P668" s="3"/>
      <c r="Q668" s="3"/>
      <c r="R668" s="3"/>
    </row>
    <row r="669" spans="1:18" x14ac:dyDescent="0.3">
      <c r="A669" s="3"/>
      <c r="B669" s="3"/>
      <c r="C669" s="3"/>
      <c r="D669" s="3"/>
      <c r="E669" s="3"/>
      <c r="F669" s="3"/>
      <c r="G669" s="3"/>
      <c r="H669" s="3"/>
      <c r="I669" s="3"/>
      <c r="J669" s="3"/>
      <c r="K669" s="3"/>
      <c r="L669" s="3"/>
      <c r="M669" s="3"/>
      <c r="N669" s="3"/>
      <c r="O669" s="3"/>
      <c r="P669" s="3"/>
      <c r="Q669" s="3"/>
      <c r="R669" s="3"/>
    </row>
    <row r="670" spans="1:18" x14ac:dyDescent="0.3">
      <c r="A670" s="3"/>
      <c r="B670" s="3"/>
      <c r="C670" s="3"/>
      <c r="D670" s="3"/>
      <c r="E670" s="3"/>
      <c r="F670" s="3"/>
      <c r="G670" s="3"/>
      <c r="H670" s="3"/>
      <c r="I670" s="3"/>
      <c r="J670" s="3"/>
      <c r="K670" s="3"/>
      <c r="L670" s="3"/>
      <c r="M670" s="3"/>
      <c r="N670" s="3"/>
      <c r="O670" s="3"/>
      <c r="P670" s="3"/>
      <c r="Q670" s="3"/>
      <c r="R670" s="3"/>
    </row>
    <row r="671" spans="1:18" x14ac:dyDescent="0.3">
      <c r="A671" s="3"/>
      <c r="B671" s="3"/>
      <c r="C671" s="3"/>
      <c r="D671" s="3"/>
      <c r="E671" s="3"/>
      <c r="F671" s="3"/>
      <c r="G671" s="3"/>
      <c r="H671" s="3"/>
      <c r="I671" s="3"/>
      <c r="J671" s="3"/>
      <c r="K671" s="3"/>
      <c r="L671" s="3"/>
      <c r="M671" s="3"/>
      <c r="N671" s="3"/>
      <c r="O671" s="3"/>
      <c r="P671" s="3"/>
      <c r="Q671" s="3"/>
      <c r="R671" s="3"/>
    </row>
    <row r="672" spans="1:18" x14ac:dyDescent="0.3">
      <c r="A672" s="3"/>
      <c r="B672" s="3"/>
      <c r="C672" s="3"/>
      <c r="D672" s="3"/>
      <c r="E672" s="3"/>
      <c r="F672" s="3"/>
      <c r="G672" s="3"/>
      <c r="H672" s="3"/>
      <c r="I672" s="3"/>
      <c r="J672" s="3"/>
      <c r="K672" s="3"/>
      <c r="L672" s="3"/>
      <c r="M672" s="3"/>
      <c r="N672" s="3"/>
      <c r="O672" s="3"/>
      <c r="P672" s="3"/>
      <c r="Q672" s="3"/>
      <c r="R672" s="3"/>
    </row>
    <row r="673" spans="1:18" x14ac:dyDescent="0.3">
      <c r="A673" s="3"/>
      <c r="B673" s="3"/>
      <c r="C673" s="3"/>
      <c r="D673" s="3"/>
      <c r="E673" s="3"/>
      <c r="F673" s="3"/>
      <c r="G673" s="3"/>
      <c r="H673" s="3"/>
      <c r="I673" s="3"/>
      <c r="J673" s="3"/>
      <c r="K673" s="3"/>
      <c r="L673" s="3"/>
      <c r="M673" s="3"/>
      <c r="N673" s="3"/>
      <c r="O673" s="3"/>
      <c r="P673" s="3"/>
      <c r="Q673" s="3"/>
      <c r="R673" s="3"/>
    </row>
    <row r="674" spans="1:18" x14ac:dyDescent="0.3">
      <c r="A674" s="3"/>
      <c r="B674" s="3"/>
      <c r="C674" s="3"/>
      <c r="D674" s="3"/>
      <c r="E674" s="3"/>
      <c r="F674" s="3"/>
      <c r="G674" s="3"/>
      <c r="H674" s="3"/>
      <c r="I674" s="3"/>
      <c r="J674" s="3"/>
      <c r="K674" s="3"/>
      <c r="L674" s="3"/>
      <c r="M674" s="3"/>
      <c r="N674" s="3"/>
      <c r="O674" s="3"/>
      <c r="P674" s="3"/>
      <c r="Q674" s="3"/>
      <c r="R674" s="3"/>
    </row>
    <row r="675" spans="1:18" x14ac:dyDescent="0.3">
      <c r="A675" s="3"/>
      <c r="B675" s="3"/>
      <c r="C675" s="3"/>
      <c r="D675" s="3"/>
      <c r="E675" s="3"/>
      <c r="F675" s="3"/>
      <c r="G675" s="3"/>
      <c r="H675" s="3"/>
      <c r="I675" s="3"/>
      <c r="J675" s="3"/>
      <c r="K675" s="3"/>
      <c r="L675" s="3"/>
      <c r="M675" s="3"/>
      <c r="N675" s="3"/>
      <c r="O675" s="3"/>
      <c r="P675" s="3"/>
      <c r="Q675" s="3"/>
      <c r="R675" s="3"/>
    </row>
    <row r="676" spans="1:18" x14ac:dyDescent="0.3">
      <c r="A676" s="3"/>
      <c r="B676" s="3"/>
      <c r="C676" s="3"/>
      <c r="D676" s="3"/>
      <c r="E676" s="3"/>
      <c r="F676" s="3"/>
      <c r="G676" s="3"/>
      <c r="H676" s="3"/>
      <c r="I676" s="3"/>
      <c r="J676" s="3"/>
      <c r="K676" s="3"/>
      <c r="L676" s="3"/>
      <c r="M676" s="3"/>
      <c r="N676" s="3"/>
      <c r="O676" s="3"/>
      <c r="P676" s="3"/>
      <c r="Q676" s="3"/>
      <c r="R676" s="3"/>
    </row>
    <row r="677" spans="1:18" x14ac:dyDescent="0.3">
      <c r="A677" s="3"/>
      <c r="B677" s="3"/>
      <c r="C677" s="3"/>
      <c r="D677" s="3"/>
      <c r="E677" s="3"/>
      <c r="F677" s="3"/>
      <c r="G677" s="3"/>
      <c r="H677" s="3"/>
      <c r="I677" s="3"/>
      <c r="J677" s="3"/>
      <c r="K677" s="3"/>
      <c r="L677" s="3"/>
      <c r="M677" s="3"/>
      <c r="N677" s="3"/>
      <c r="O677" s="3"/>
      <c r="P677" s="3"/>
      <c r="Q677" s="3"/>
      <c r="R677" s="3"/>
    </row>
    <row r="678" spans="1:18" x14ac:dyDescent="0.3">
      <c r="A678" s="3"/>
      <c r="B678" s="3"/>
      <c r="C678" s="3"/>
      <c r="D678" s="3"/>
      <c r="E678" s="3"/>
      <c r="F678" s="3"/>
      <c r="G678" s="3"/>
      <c r="H678" s="3"/>
      <c r="I678" s="3"/>
      <c r="J678" s="3"/>
      <c r="K678" s="3"/>
      <c r="L678" s="3"/>
      <c r="M678" s="3"/>
      <c r="N678" s="3"/>
      <c r="O678" s="3"/>
      <c r="P678" s="3"/>
      <c r="Q678" s="3"/>
      <c r="R678" s="3"/>
    </row>
    <row r="679" spans="1:18" x14ac:dyDescent="0.3">
      <c r="A679" s="3"/>
      <c r="B679" s="3"/>
      <c r="C679" s="3"/>
      <c r="D679" s="3"/>
      <c r="E679" s="3"/>
      <c r="F679" s="3"/>
      <c r="G679" s="3"/>
      <c r="H679" s="3"/>
      <c r="I679" s="3"/>
      <c r="J679" s="3"/>
      <c r="K679" s="3"/>
      <c r="L679" s="3"/>
      <c r="M679" s="3"/>
      <c r="N679" s="3"/>
      <c r="O679" s="3"/>
      <c r="P679" s="3"/>
      <c r="Q679" s="3"/>
      <c r="R679" s="3"/>
    </row>
    <row r="680" spans="1:18" x14ac:dyDescent="0.3">
      <c r="A680" s="3"/>
      <c r="B680" s="3"/>
      <c r="C680" s="3"/>
      <c r="D680" s="3"/>
      <c r="E680" s="3"/>
      <c r="F680" s="3"/>
      <c r="G680" s="3"/>
      <c r="H680" s="3"/>
      <c r="I680" s="3"/>
      <c r="J680" s="3"/>
      <c r="K680" s="3"/>
      <c r="L680" s="3"/>
      <c r="M680" s="3"/>
      <c r="N680" s="3"/>
      <c r="O680" s="3"/>
      <c r="P680" s="3"/>
      <c r="Q680" s="3"/>
      <c r="R680" s="3"/>
    </row>
    <row r="681" spans="1:18" x14ac:dyDescent="0.3">
      <c r="A681" s="3"/>
      <c r="B681" s="3"/>
      <c r="C681" s="3"/>
      <c r="D681" s="3"/>
      <c r="E681" s="3"/>
      <c r="F681" s="3"/>
      <c r="G681" s="3"/>
      <c r="H681" s="3"/>
      <c r="I681" s="3"/>
      <c r="J681" s="3"/>
      <c r="K681" s="3"/>
      <c r="L681" s="3"/>
      <c r="M681" s="3"/>
      <c r="N681" s="3"/>
      <c r="O681" s="3"/>
      <c r="P681" s="3"/>
      <c r="Q681" s="3"/>
      <c r="R681" s="3"/>
    </row>
    <row r="682" spans="1:18" x14ac:dyDescent="0.3">
      <c r="A682" s="3"/>
      <c r="B682" s="3"/>
      <c r="C682" s="3"/>
      <c r="D682" s="3"/>
      <c r="E682" s="3"/>
      <c r="F682" s="3"/>
      <c r="G682" s="3"/>
      <c r="H682" s="3"/>
      <c r="I682" s="3"/>
      <c r="J682" s="3"/>
      <c r="K682" s="3"/>
      <c r="L682" s="3"/>
      <c r="M682" s="3"/>
      <c r="N682" s="3"/>
      <c r="O682" s="3"/>
      <c r="P682" s="3"/>
      <c r="Q682" s="3"/>
      <c r="R682" s="3"/>
    </row>
    <row r="683" spans="1:18" x14ac:dyDescent="0.3">
      <c r="A683" s="3"/>
      <c r="B683" s="3"/>
      <c r="C683" s="3"/>
      <c r="D683" s="3"/>
      <c r="E683" s="3"/>
      <c r="F683" s="3"/>
      <c r="G683" s="3"/>
      <c r="H683" s="3"/>
      <c r="I683" s="3"/>
      <c r="J683" s="3"/>
      <c r="K683" s="3"/>
      <c r="L683" s="3"/>
      <c r="M683" s="3"/>
      <c r="N683" s="3"/>
      <c r="O683" s="3"/>
      <c r="P683" s="3"/>
      <c r="Q683" s="3"/>
      <c r="R683" s="3"/>
    </row>
    <row r="684" spans="1:18" x14ac:dyDescent="0.3">
      <c r="A684" s="3"/>
      <c r="B684" s="3"/>
      <c r="C684" s="3"/>
      <c r="D684" s="3"/>
      <c r="E684" s="3"/>
      <c r="F684" s="3"/>
      <c r="G684" s="3"/>
      <c r="H684" s="3"/>
      <c r="I684" s="3"/>
      <c r="J684" s="3"/>
      <c r="K684" s="3"/>
      <c r="L684" s="3"/>
      <c r="M684" s="3"/>
      <c r="N684" s="3"/>
      <c r="O684" s="3"/>
      <c r="P684" s="3"/>
      <c r="Q684" s="3"/>
      <c r="R684" s="3"/>
    </row>
    <row r="685" spans="1:18" x14ac:dyDescent="0.3">
      <c r="A685" s="3"/>
      <c r="B685" s="3"/>
      <c r="C685" s="3"/>
      <c r="D685" s="3"/>
      <c r="E685" s="3"/>
      <c r="F685" s="3"/>
      <c r="G685" s="3"/>
      <c r="H685" s="3"/>
      <c r="I685" s="3"/>
      <c r="J685" s="3"/>
      <c r="K685" s="3"/>
      <c r="L685" s="3"/>
      <c r="M685" s="3"/>
      <c r="N685" s="3"/>
      <c r="O685" s="3"/>
      <c r="P685" s="3"/>
      <c r="Q685" s="3"/>
      <c r="R685" s="3"/>
    </row>
    <row r="686" spans="1:18" x14ac:dyDescent="0.3">
      <c r="A686" s="3"/>
      <c r="B686" s="3"/>
      <c r="C686" s="3"/>
      <c r="D686" s="3"/>
      <c r="E686" s="3"/>
      <c r="F686" s="3"/>
      <c r="G686" s="3"/>
      <c r="H686" s="3"/>
      <c r="I686" s="3"/>
      <c r="J686" s="3"/>
      <c r="K686" s="3"/>
      <c r="L686" s="3"/>
      <c r="M686" s="3"/>
      <c r="N686" s="3"/>
      <c r="O686" s="3"/>
      <c r="P686" s="3"/>
      <c r="Q686" s="3"/>
      <c r="R686" s="3"/>
    </row>
    <row r="687" spans="1:18" x14ac:dyDescent="0.3">
      <c r="A687" s="3"/>
      <c r="B687" s="3"/>
      <c r="C687" s="3"/>
      <c r="D687" s="3"/>
      <c r="E687" s="3"/>
      <c r="F687" s="3"/>
      <c r="G687" s="3"/>
      <c r="H687" s="3"/>
      <c r="I687" s="3"/>
      <c r="J687" s="3"/>
      <c r="K687" s="3"/>
      <c r="L687" s="3"/>
      <c r="M687" s="3"/>
      <c r="N687" s="3"/>
      <c r="O687" s="3"/>
      <c r="P687" s="3"/>
      <c r="Q687" s="3"/>
      <c r="R687" s="3"/>
    </row>
    <row r="688" spans="1:18" x14ac:dyDescent="0.3">
      <c r="A688" s="3"/>
      <c r="B688" s="3"/>
      <c r="C688" s="3"/>
      <c r="D688" s="3"/>
      <c r="E688" s="3"/>
      <c r="F688" s="3"/>
      <c r="G688" s="3"/>
      <c r="H688" s="3"/>
      <c r="I688" s="3"/>
      <c r="J688" s="3"/>
      <c r="K688" s="3"/>
      <c r="L688" s="3"/>
      <c r="M688" s="3"/>
      <c r="N688" s="3"/>
      <c r="O688" s="3"/>
      <c r="P688" s="3"/>
      <c r="Q688" s="3"/>
      <c r="R688" s="3"/>
    </row>
    <row r="689" spans="1:18" x14ac:dyDescent="0.3">
      <c r="A689" s="3"/>
      <c r="B689" s="3"/>
      <c r="C689" s="3"/>
      <c r="D689" s="3"/>
      <c r="E689" s="3"/>
      <c r="F689" s="3"/>
      <c r="G689" s="3"/>
      <c r="H689" s="3"/>
      <c r="I689" s="3"/>
      <c r="J689" s="3"/>
      <c r="K689" s="3"/>
      <c r="L689" s="3"/>
      <c r="M689" s="3"/>
      <c r="N689" s="3"/>
      <c r="O689" s="3"/>
      <c r="P689" s="3"/>
      <c r="Q689" s="3"/>
      <c r="R689" s="3"/>
    </row>
    <row r="690" spans="1:18" x14ac:dyDescent="0.3">
      <c r="A690" s="3"/>
      <c r="B690" s="3"/>
      <c r="C690" s="3"/>
      <c r="D690" s="3"/>
      <c r="E690" s="3"/>
      <c r="F690" s="3"/>
      <c r="G690" s="3"/>
      <c r="H690" s="3"/>
      <c r="I690" s="3"/>
      <c r="J690" s="3"/>
      <c r="K690" s="3"/>
      <c r="L690" s="3"/>
      <c r="M690" s="3"/>
      <c r="N690" s="3"/>
      <c r="O690" s="3"/>
      <c r="P690" s="3"/>
      <c r="Q690" s="3"/>
      <c r="R690" s="3"/>
    </row>
    <row r="691" spans="1:18" x14ac:dyDescent="0.3">
      <c r="A691" s="3"/>
      <c r="B691" s="3"/>
      <c r="C691" s="3"/>
      <c r="D691" s="3"/>
      <c r="E691" s="3"/>
      <c r="F691" s="3"/>
      <c r="G691" s="3"/>
      <c r="H691" s="3"/>
      <c r="I691" s="3"/>
      <c r="J691" s="3"/>
      <c r="K691" s="3"/>
      <c r="L691" s="3"/>
      <c r="M691" s="3"/>
      <c r="N691" s="3"/>
      <c r="O691" s="3"/>
      <c r="P691" s="3"/>
      <c r="Q691" s="3"/>
      <c r="R691" s="3"/>
    </row>
    <row r="692" spans="1:18" x14ac:dyDescent="0.3">
      <c r="A692" s="3"/>
      <c r="B692" s="3"/>
      <c r="C692" s="3"/>
      <c r="D692" s="3"/>
      <c r="E692" s="3"/>
      <c r="F692" s="3"/>
      <c r="G692" s="3"/>
      <c r="H692" s="3"/>
      <c r="I692" s="3"/>
      <c r="J692" s="3"/>
      <c r="K692" s="3"/>
      <c r="L692" s="3"/>
      <c r="M692" s="3"/>
      <c r="N692" s="3"/>
      <c r="O692" s="3"/>
      <c r="P692" s="3"/>
      <c r="Q692" s="3"/>
      <c r="R692" s="3"/>
    </row>
    <row r="693" spans="1:18" x14ac:dyDescent="0.3">
      <c r="A693" s="3"/>
      <c r="B693" s="3"/>
      <c r="C693" s="3"/>
      <c r="D693" s="3"/>
      <c r="E693" s="3"/>
      <c r="F693" s="3"/>
      <c r="G693" s="3"/>
      <c r="H693" s="3"/>
      <c r="I693" s="3"/>
      <c r="J693" s="3"/>
      <c r="K693" s="3"/>
      <c r="L693" s="3"/>
      <c r="M693" s="3"/>
      <c r="N693" s="3"/>
      <c r="O693" s="3"/>
      <c r="P693" s="3"/>
      <c r="Q693" s="3"/>
      <c r="R693" s="3"/>
    </row>
    <row r="694" spans="1:18" x14ac:dyDescent="0.3">
      <c r="A694" s="3"/>
      <c r="B694" s="3"/>
      <c r="C694" s="3"/>
      <c r="D694" s="3"/>
      <c r="E694" s="3"/>
      <c r="F694" s="3"/>
      <c r="G694" s="3"/>
      <c r="H694" s="3"/>
      <c r="I694" s="3"/>
      <c r="J694" s="3"/>
      <c r="K694" s="3"/>
      <c r="L694" s="3"/>
      <c r="M694" s="3"/>
      <c r="N694" s="3"/>
      <c r="O694" s="3"/>
      <c r="P694" s="3"/>
      <c r="Q694" s="3"/>
      <c r="R694" s="3"/>
    </row>
    <row r="695" spans="1:18" x14ac:dyDescent="0.3">
      <c r="A695" s="3"/>
      <c r="B695" s="3"/>
      <c r="C695" s="3"/>
      <c r="D695" s="3"/>
      <c r="E695" s="3"/>
      <c r="F695" s="3"/>
      <c r="G695" s="3"/>
      <c r="H695" s="3"/>
      <c r="I695" s="3"/>
      <c r="J695" s="3"/>
      <c r="K695" s="3"/>
      <c r="L695" s="3"/>
      <c r="M695" s="3"/>
      <c r="N695" s="3"/>
      <c r="O695" s="3"/>
      <c r="P695" s="3"/>
      <c r="Q695" s="3"/>
      <c r="R695" s="3"/>
    </row>
    <row r="696" spans="1:18" x14ac:dyDescent="0.3">
      <c r="A696" s="3"/>
      <c r="B696" s="3"/>
      <c r="C696" s="3"/>
      <c r="D696" s="3"/>
      <c r="E696" s="3"/>
      <c r="F696" s="3"/>
      <c r="G696" s="3"/>
      <c r="H696" s="3"/>
      <c r="I696" s="3"/>
      <c r="J696" s="3"/>
      <c r="K696" s="3"/>
      <c r="L696" s="3"/>
      <c r="M696" s="3"/>
      <c r="N696" s="3"/>
      <c r="O696" s="3"/>
      <c r="P696" s="3"/>
      <c r="Q696" s="3"/>
      <c r="R696" s="3"/>
    </row>
    <row r="697" spans="1:18" x14ac:dyDescent="0.3">
      <c r="A697" s="3"/>
      <c r="B697" s="3"/>
      <c r="C697" s="3"/>
      <c r="D697" s="3"/>
      <c r="E697" s="3"/>
      <c r="F697" s="3"/>
      <c r="G697" s="3"/>
      <c r="H697" s="3"/>
      <c r="I697" s="3"/>
      <c r="J697" s="3"/>
      <c r="K697" s="3"/>
      <c r="L697" s="3"/>
      <c r="M697" s="3"/>
      <c r="N697" s="3"/>
      <c r="O697" s="3"/>
      <c r="P697" s="3"/>
      <c r="Q697" s="3"/>
      <c r="R697" s="3"/>
    </row>
    <row r="698" spans="1:18" x14ac:dyDescent="0.3">
      <c r="A698" s="3"/>
      <c r="B698" s="3"/>
      <c r="C698" s="3"/>
      <c r="D698" s="3"/>
      <c r="E698" s="3"/>
      <c r="F698" s="3"/>
      <c r="G698" s="3"/>
      <c r="H698" s="3"/>
      <c r="I698" s="3"/>
      <c r="J698" s="3"/>
      <c r="K698" s="3"/>
      <c r="L698" s="3"/>
      <c r="M698" s="3"/>
      <c r="N698" s="3"/>
      <c r="O698" s="3"/>
      <c r="P698" s="3"/>
      <c r="Q698" s="3"/>
      <c r="R698" s="3"/>
    </row>
    <row r="699" spans="1:18" x14ac:dyDescent="0.3">
      <c r="A699" s="3"/>
      <c r="B699" s="3"/>
      <c r="C699" s="3"/>
      <c r="D699" s="3"/>
      <c r="E699" s="3"/>
      <c r="F699" s="3"/>
      <c r="G699" s="3"/>
      <c r="H699" s="3"/>
      <c r="I699" s="3"/>
      <c r="J699" s="3"/>
      <c r="K699" s="3"/>
      <c r="L699" s="3"/>
      <c r="M699" s="3"/>
      <c r="N699" s="3"/>
      <c r="O699" s="3"/>
      <c r="P699" s="3"/>
      <c r="Q699" s="3"/>
      <c r="R699" s="3"/>
    </row>
    <row r="700" spans="1:18" x14ac:dyDescent="0.3">
      <c r="A700" s="3"/>
      <c r="B700" s="3"/>
      <c r="C700" s="3"/>
      <c r="D700" s="3"/>
      <c r="E700" s="3"/>
      <c r="F700" s="3"/>
      <c r="G700" s="3"/>
      <c r="H700" s="3"/>
      <c r="I700" s="3"/>
      <c r="J700" s="3"/>
      <c r="K700" s="3"/>
      <c r="L700" s="3"/>
      <c r="M700" s="3"/>
      <c r="N700" s="3"/>
      <c r="O700" s="3"/>
      <c r="P700" s="3"/>
      <c r="Q700" s="3"/>
      <c r="R700" s="3"/>
    </row>
    <row r="701" spans="1:18" x14ac:dyDescent="0.3">
      <c r="A701" s="3"/>
      <c r="B701" s="3"/>
      <c r="C701" s="3"/>
      <c r="D701" s="3"/>
      <c r="E701" s="3"/>
      <c r="F701" s="3"/>
      <c r="G701" s="3"/>
      <c r="H701" s="3"/>
      <c r="I701" s="3"/>
      <c r="J701" s="3"/>
      <c r="K701" s="3"/>
      <c r="L701" s="3"/>
      <c r="M701" s="3"/>
      <c r="N701" s="3"/>
      <c r="O701" s="3"/>
      <c r="P701" s="3"/>
      <c r="Q701" s="3"/>
      <c r="R701" s="3"/>
    </row>
    <row r="702" spans="1:18" x14ac:dyDescent="0.3">
      <c r="A702" s="3"/>
      <c r="B702" s="3"/>
      <c r="C702" s="3"/>
      <c r="D702" s="3"/>
      <c r="E702" s="3"/>
      <c r="F702" s="3"/>
      <c r="G702" s="3"/>
      <c r="H702" s="3"/>
      <c r="I702" s="3"/>
      <c r="J702" s="3"/>
      <c r="K702" s="3"/>
      <c r="L702" s="3"/>
      <c r="M702" s="3"/>
      <c r="N702" s="3"/>
      <c r="O702" s="3"/>
      <c r="P702" s="3"/>
      <c r="Q702" s="3"/>
      <c r="R702" s="3"/>
    </row>
    <row r="703" spans="1:18" x14ac:dyDescent="0.3">
      <c r="A703" s="3"/>
      <c r="B703" s="3"/>
      <c r="C703" s="3"/>
      <c r="D703" s="3"/>
      <c r="E703" s="3"/>
      <c r="F703" s="3"/>
      <c r="G703" s="3"/>
      <c r="H703" s="3"/>
      <c r="I703" s="3"/>
      <c r="J703" s="3"/>
      <c r="K703" s="3"/>
      <c r="L703" s="3"/>
      <c r="M703" s="3"/>
      <c r="N703" s="3"/>
      <c r="O703" s="3"/>
      <c r="P703" s="3"/>
      <c r="Q703" s="3"/>
      <c r="R703" s="3"/>
    </row>
    <row r="704" spans="1:18" x14ac:dyDescent="0.3">
      <c r="A704" s="3"/>
      <c r="B704" s="3"/>
      <c r="C704" s="3"/>
      <c r="D704" s="3"/>
      <c r="E704" s="3"/>
      <c r="F704" s="3"/>
      <c r="G704" s="3"/>
      <c r="H704" s="3"/>
      <c r="I704" s="3"/>
      <c r="J704" s="3"/>
      <c r="K704" s="3"/>
      <c r="L704" s="3"/>
      <c r="M704" s="3"/>
      <c r="N704" s="3"/>
      <c r="O704" s="3"/>
      <c r="P704" s="3"/>
      <c r="Q704" s="3"/>
      <c r="R704" s="3"/>
    </row>
    <row r="705" spans="1:18" x14ac:dyDescent="0.3">
      <c r="A705" s="3"/>
      <c r="B705" s="3"/>
      <c r="C705" s="3"/>
      <c r="D705" s="3"/>
      <c r="E705" s="3"/>
      <c r="F705" s="3"/>
      <c r="G705" s="3"/>
      <c r="H705" s="3"/>
      <c r="I705" s="3"/>
      <c r="J705" s="3"/>
      <c r="K705" s="3"/>
      <c r="L705" s="3"/>
      <c r="M705" s="3"/>
      <c r="N705" s="3"/>
      <c r="O705" s="3"/>
      <c r="P705" s="3"/>
      <c r="Q705" s="3"/>
      <c r="R705" s="3"/>
    </row>
    <row r="706" spans="1:18" x14ac:dyDescent="0.3">
      <c r="A706" s="3"/>
      <c r="B706" s="3"/>
      <c r="C706" s="3"/>
      <c r="D706" s="3"/>
      <c r="E706" s="3"/>
      <c r="F706" s="3"/>
      <c r="G706" s="3"/>
      <c r="H706" s="3"/>
      <c r="I706" s="3"/>
      <c r="J706" s="3"/>
      <c r="K706" s="3"/>
      <c r="L706" s="3"/>
      <c r="M706" s="3"/>
      <c r="N706" s="3"/>
      <c r="O706" s="3"/>
      <c r="P706" s="3"/>
      <c r="Q706" s="3"/>
      <c r="R706" s="3"/>
    </row>
    <row r="707" spans="1:18" x14ac:dyDescent="0.3">
      <c r="A707" s="3"/>
      <c r="B707" s="3"/>
      <c r="C707" s="3"/>
      <c r="D707" s="3"/>
      <c r="E707" s="3"/>
      <c r="F707" s="3"/>
      <c r="G707" s="3"/>
      <c r="H707" s="3"/>
      <c r="I707" s="3"/>
      <c r="J707" s="3"/>
      <c r="K707" s="3"/>
      <c r="L707" s="3"/>
      <c r="M707" s="3"/>
      <c r="N707" s="3"/>
      <c r="O707" s="3"/>
      <c r="P707" s="3"/>
      <c r="Q707" s="3"/>
      <c r="R707" s="3"/>
    </row>
    <row r="708" spans="1:18" x14ac:dyDescent="0.3">
      <c r="A708" s="3"/>
      <c r="B708" s="3"/>
      <c r="C708" s="3"/>
      <c r="D708" s="3"/>
      <c r="E708" s="3"/>
      <c r="F708" s="3"/>
      <c r="G708" s="3"/>
      <c r="H708" s="3"/>
      <c r="I708" s="3"/>
      <c r="J708" s="3"/>
      <c r="K708" s="3"/>
      <c r="L708" s="3"/>
      <c r="M708" s="3"/>
      <c r="N708" s="3"/>
      <c r="O708" s="3"/>
      <c r="P708" s="3"/>
      <c r="Q708" s="3"/>
      <c r="R708" s="3"/>
    </row>
    <row r="709" spans="1:18" x14ac:dyDescent="0.3">
      <c r="A709" s="3"/>
      <c r="B709" s="3"/>
      <c r="C709" s="3"/>
      <c r="D709" s="3"/>
      <c r="E709" s="3"/>
      <c r="F709" s="3"/>
      <c r="G709" s="3"/>
      <c r="H709" s="3"/>
      <c r="I709" s="3"/>
      <c r="J709" s="3"/>
      <c r="K709" s="3"/>
      <c r="L709" s="3"/>
      <c r="M709" s="3"/>
      <c r="N709" s="3"/>
      <c r="O709" s="3"/>
      <c r="P709" s="3"/>
      <c r="Q709" s="3"/>
      <c r="R709" s="3"/>
    </row>
    <row r="710" spans="1:18" x14ac:dyDescent="0.3">
      <c r="A710" s="3"/>
      <c r="B710" s="3"/>
      <c r="C710" s="3"/>
      <c r="D710" s="3"/>
      <c r="E710" s="3"/>
      <c r="F710" s="3"/>
      <c r="G710" s="3"/>
      <c r="H710" s="3"/>
      <c r="I710" s="3"/>
      <c r="J710" s="3"/>
      <c r="K710" s="3"/>
      <c r="L710" s="3"/>
      <c r="M710" s="3"/>
      <c r="N710" s="3"/>
      <c r="O710" s="3"/>
      <c r="P710" s="3"/>
      <c r="Q710" s="3"/>
      <c r="R710" s="3"/>
    </row>
    <row r="711" spans="1:18" x14ac:dyDescent="0.3">
      <c r="A711" s="3"/>
      <c r="B711" s="3"/>
      <c r="C711" s="3"/>
      <c r="D711" s="3"/>
      <c r="E711" s="3"/>
      <c r="F711" s="3"/>
      <c r="G711" s="3"/>
      <c r="H711" s="3"/>
      <c r="I711" s="3"/>
      <c r="J711" s="3"/>
      <c r="K711" s="3"/>
      <c r="L711" s="3"/>
      <c r="M711" s="3"/>
      <c r="N711" s="3"/>
      <c r="O711" s="3"/>
      <c r="P711" s="3"/>
      <c r="Q711" s="3"/>
      <c r="R711" s="3"/>
    </row>
    <row r="712" spans="1:18" x14ac:dyDescent="0.3">
      <c r="A712" s="3"/>
      <c r="B712" s="3"/>
      <c r="C712" s="3"/>
      <c r="D712" s="3"/>
      <c r="E712" s="3"/>
      <c r="F712" s="3"/>
      <c r="G712" s="3"/>
      <c r="H712" s="3"/>
      <c r="I712" s="3"/>
      <c r="J712" s="3"/>
      <c r="K712" s="3"/>
      <c r="L712" s="3"/>
      <c r="M712" s="3"/>
      <c r="N712" s="3"/>
      <c r="O712" s="3"/>
      <c r="P712" s="3"/>
      <c r="Q712" s="3"/>
      <c r="R712" s="3"/>
    </row>
    <row r="713" spans="1:18" x14ac:dyDescent="0.3">
      <c r="A713" s="3"/>
      <c r="B713" s="3"/>
      <c r="C713" s="3"/>
      <c r="D713" s="3"/>
      <c r="E713" s="3"/>
      <c r="F713" s="3"/>
      <c r="G713" s="3"/>
      <c r="H713" s="3"/>
      <c r="I713" s="3"/>
      <c r="J713" s="3"/>
      <c r="K713" s="3"/>
      <c r="L713" s="3"/>
      <c r="M713" s="3"/>
      <c r="N713" s="3"/>
      <c r="O713" s="3"/>
      <c r="P713" s="3"/>
      <c r="Q713" s="3"/>
      <c r="R713" s="3"/>
    </row>
    <row r="714" spans="1:18" x14ac:dyDescent="0.3">
      <c r="A714" s="3"/>
      <c r="B714" s="3"/>
      <c r="C714" s="3"/>
      <c r="D714" s="3"/>
      <c r="E714" s="3"/>
      <c r="F714" s="3"/>
      <c r="G714" s="3"/>
      <c r="H714" s="3"/>
      <c r="I714" s="3"/>
      <c r="J714" s="3"/>
      <c r="K714" s="3"/>
      <c r="L714" s="3"/>
      <c r="M714" s="3"/>
      <c r="N714" s="3"/>
      <c r="O714" s="3"/>
      <c r="P714" s="3"/>
      <c r="Q714" s="3"/>
      <c r="R714" s="3"/>
    </row>
    <row r="715" spans="1:18" x14ac:dyDescent="0.3">
      <c r="A715" s="3"/>
      <c r="B715" s="3"/>
      <c r="C715" s="3"/>
      <c r="D715" s="3"/>
      <c r="E715" s="3"/>
      <c r="F715" s="3"/>
      <c r="G715" s="3"/>
      <c r="H715" s="3"/>
      <c r="I715" s="3"/>
      <c r="J715" s="3"/>
      <c r="K715" s="3"/>
      <c r="L715" s="3"/>
      <c r="M715" s="3"/>
      <c r="N715" s="3"/>
      <c r="O715" s="3"/>
      <c r="P715" s="3"/>
      <c r="Q715" s="3"/>
      <c r="R715" s="3"/>
    </row>
    <row r="716" spans="1:18" x14ac:dyDescent="0.3">
      <c r="A716" s="3"/>
      <c r="B716" s="3"/>
      <c r="C716" s="3"/>
      <c r="D716" s="3"/>
      <c r="E716" s="3"/>
      <c r="F716" s="3"/>
      <c r="G716" s="3"/>
      <c r="H716" s="3"/>
      <c r="I716" s="3"/>
      <c r="J716" s="3"/>
      <c r="K716" s="3"/>
      <c r="L716" s="3"/>
      <c r="M716" s="3"/>
      <c r="N716" s="3"/>
      <c r="O716" s="3"/>
      <c r="P716" s="3"/>
      <c r="Q716" s="3"/>
      <c r="R716" s="3"/>
    </row>
    <row r="717" spans="1:18" x14ac:dyDescent="0.3">
      <c r="A717" s="3"/>
      <c r="B717" s="3"/>
      <c r="C717" s="3"/>
      <c r="D717" s="3"/>
      <c r="E717" s="3"/>
      <c r="F717" s="3"/>
      <c r="G717" s="3"/>
      <c r="H717" s="3"/>
      <c r="I717" s="3"/>
      <c r="J717" s="3"/>
      <c r="K717" s="3"/>
      <c r="L717" s="3"/>
      <c r="M717" s="3"/>
      <c r="N717" s="3"/>
      <c r="O717" s="3"/>
      <c r="P717" s="3"/>
      <c r="Q717" s="3"/>
      <c r="R717" s="3"/>
    </row>
    <row r="718" spans="1:18" x14ac:dyDescent="0.3">
      <c r="A718" s="3"/>
      <c r="B718" s="3"/>
      <c r="C718" s="3"/>
      <c r="D718" s="3"/>
      <c r="E718" s="3"/>
      <c r="F718" s="3"/>
      <c r="G718" s="3"/>
      <c r="H718" s="3"/>
      <c r="I718" s="3"/>
      <c r="J718" s="3"/>
      <c r="K718" s="3"/>
      <c r="L718" s="3"/>
      <c r="M718" s="3"/>
      <c r="N718" s="3"/>
      <c r="O718" s="3"/>
      <c r="P718" s="3"/>
      <c r="Q718" s="3"/>
      <c r="R718" s="3"/>
    </row>
    <row r="719" spans="1:18" x14ac:dyDescent="0.3">
      <c r="A719" s="3"/>
      <c r="B719" s="3"/>
      <c r="C719" s="3"/>
      <c r="D719" s="3"/>
      <c r="E719" s="3"/>
      <c r="F719" s="3"/>
      <c r="G719" s="3"/>
      <c r="H719" s="3"/>
      <c r="I719" s="3"/>
      <c r="J719" s="3"/>
      <c r="K719" s="3"/>
      <c r="L719" s="3"/>
      <c r="M719" s="3"/>
      <c r="N719" s="3"/>
      <c r="O719" s="3"/>
      <c r="P719" s="3"/>
      <c r="Q719" s="3"/>
      <c r="R719" s="3"/>
    </row>
    <row r="720" spans="1:18" x14ac:dyDescent="0.3">
      <c r="A720" s="3"/>
      <c r="B720" s="3"/>
      <c r="C720" s="3"/>
      <c r="D720" s="3"/>
      <c r="E720" s="3"/>
      <c r="F720" s="3"/>
      <c r="G720" s="3"/>
      <c r="H720" s="3"/>
      <c r="I720" s="3"/>
      <c r="J720" s="3"/>
      <c r="K720" s="3"/>
      <c r="L720" s="3"/>
      <c r="M720" s="3"/>
      <c r="N720" s="3"/>
      <c r="O720" s="3"/>
      <c r="P720" s="3"/>
      <c r="Q720" s="3"/>
      <c r="R720" s="3"/>
    </row>
    <row r="721" spans="1:18" x14ac:dyDescent="0.3">
      <c r="A721" s="3"/>
      <c r="B721" s="3"/>
      <c r="C721" s="3"/>
      <c r="D721" s="3"/>
      <c r="E721" s="3"/>
      <c r="F721" s="3"/>
      <c r="G721" s="3"/>
      <c r="H721" s="3"/>
      <c r="I721" s="3"/>
      <c r="J721" s="3"/>
      <c r="K721" s="3"/>
      <c r="L721" s="3"/>
      <c r="M721" s="3"/>
      <c r="N721" s="3"/>
      <c r="O721" s="3"/>
      <c r="P721" s="3"/>
      <c r="Q721" s="3"/>
      <c r="R721" s="3"/>
    </row>
    <row r="722" spans="1:18" x14ac:dyDescent="0.3">
      <c r="A722" s="3"/>
      <c r="B722" s="3"/>
      <c r="C722" s="3"/>
      <c r="D722" s="3"/>
      <c r="E722" s="3"/>
      <c r="F722" s="3"/>
      <c r="G722" s="3"/>
      <c r="H722" s="3"/>
      <c r="I722" s="3"/>
      <c r="J722" s="3"/>
      <c r="K722" s="3"/>
      <c r="L722" s="3"/>
      <c r="M722" s="3"/>
      <c r="N722" s="3"/>
      <c r="O722" s="3"/>
      <c r="P722" s="3"/>
      <c r="Q722" s="3"/>
      <c r="R722" s="3"/>
    </row>
    <row r="723" spans="1:18" x14ac:dyDescent="0.3">
      <c r="A723" s="3"/>
      <c r="B723" s="3"/>
      <c r="C723" s="3"/>
      <c r="D723" s="3"/>
      <c r="E723" s="3"/>
      <c r="F723" s="3"/>
      <c r="G723" s="3"/>
      <c r="H723" s="3"/>
      <c r="I723" s="3"/>
      <c r="J723" s="3"/>
      <c r="K723" s="3"/>
      <c r="L723" s="3"/>
      <c r="M723" s="3"/>
      <c r="N723" s="3"/>
      <c r="O723" s="3"/>
      <c r="P723" s="3"/>
      <c r="Q723" s="3"/>
      <c r="R723" s="3"/>
    </row>
    <row r="724" spans="1:18" x14ac:dyDescent="0.3">
      <c r="A724" s="3"/>
      <c r="B724" s="3"/>
      <c r="C724" s="3"/>
      <c r="D724" s="3"/>
      <c r="E724" s="3"/>
      <c r="F724" s="3"/>
      <c r="G724" s="3"/>
      <c r="H724" s="3"/>
      <c r="I724" s="3"/>
      <c r="J724" s="3"/>
      <c r="K724" s="3"/>
      <c r="L724" s="3"/>
      <c r="M724" s="3"/>
      <c r="N724" s="3"/>
      <c r="O724" s="3"/>
      <c r="P724" s="3"/>
      <c r="Q724" s="3"/>
      <c r="R724" s="3"/>
    </row>
    <row r="725" spans="1:18" x14ac:dyDescent="0.3">
      <c r="A725" s="3"/>
      <c r="B725" s="3"/>
      <c r="C725" s="3"/>
      <c r="D725" s="3"/>
      <c r="E725" s="3"/>
      <c r="F725" s="3"/>
      <c r="G725" s="3"/>
      <c r="H725" s="3"/>
      <c r="I725" s="3"/>
      <c r="J725" s="3"/>
      <c r="K725" s="3"/>
      <c r="L725" s="3"/>
      <c r="M725" s="3"/>
      <c r="N725" s="3"/>
      <c r="O725" s="3"/>
      <c r="P725" s="3"/>
      <c r="Q725" s="3"/>
      <c r="R725" s="3"/>
    </row>
    <row r="726" spans="1:18" x14ac:dyDescent="0.3">
      <c r="A726" s="3"/>
      <c r="B726" s="3"/>
      <c r="C726" s="3"/>
      <c r="D726" s="3"/>
      <c r="E726" s="3"/>
      <c r="F726" s="3"/>
      <c r="G726" s="3"/>
      <c r="H726" s="3"/>
      <c r="I726" s="3"/>
      <c r="J726" s="3"/>
      <c r="K726" s="3"/>
      <c r="L726" s="3"/>
      <c r="M726" s="3"/>
      <c r="N726" s="3"/>
      <c r="O726" s="3"/>
      <c r="P726" s="3"/>
      <c r="Q726" s="3"/>
      <c r="R726" s="3"/>
    </row>
    <row r="727" spans="1:18" x14ac:dyDescent="0.3">
      <c r="A727" s="3"/>
      <c r="B727" s="3"/>
      <c r="C727" s="3"/>
      <c r="D727" s="3"/>
      <c r="E727" s="3"/>
      <c r="F727" s="3"/>
      <c r="G727" s="3"/>
      <c r="H727" s="3"/>
      <c r="I727" s="3"/>
      <c r="J727" s="3"/>
      <c r="K727" s="3"/>
      <c r="L727" s="3"/>
      <c r="M727" s="3"/>
      <c r="N727" s="3"/>
      <c r="O727" s="3"/>
      <c r="P727" s="3"/>
      <c r="Q727" s="3"/>
      <c r="R727" s="3"/>
    </row>
    <row r="728" spans="1:18" x14ac:dyDescent="0.3">
      <c r="A728" s="3"/>
      <c r="B728" s="3"/>
      <c r="C728" s="3"/>
      <c r="D728" s="3"/>
      <c r="E728" s="3"/>
      <c r="F728" s="3"/>
      <c r="G728" s="3"/>
      <c r="H728" s="3"/>
      <c r="I728" s="3"/>
      <c r="J728" s="3"/>
      <c r="K728" s="3"/>
      <c r="L728" s="3"/>
      <c r="M728" s="3"/>
      <c r="N728" s="3"/>
      <c r="O728" s="3"/>
      <c r="P728" s="3"/>
      <c r="Q728" s="3"/>
      <c r="R728" s="3"/>
    </row>
    <row r="729" spans="1:18" x14ac:dyDescent="0.3">
      <c r="A729" s="3"/>
      <c r="B729" s="3"/>
      <c r="C729" s="3"/>
      <c r="D729" s="3"/>
      <c r="E729" s="3"/>
      <c r="F729" s="3"/>
      <c r="G729" s="3"/>
      <c r="H729" s="3"/>
      <c r="I729" s="3"/>
      <c r="J729" s="3"/>
      <c r="K729" s="3"/>
      <c r="L729" s="3"/>
      <c r="M729" s="3"/>
      <c r="N729" s="3"/>
      <c r="O729" s="3"/>
      <c r="P729" s="3"/>
      <c r="Q729" s="3"/>
      <c r="R729" s="3"/>
    </row>
    <row r="730" spans="1:18" x14ac:dyDescent="0.3">
      <c r="A730" s="3"/>
      <c r="B730" s="3"/>
      <c r="C730" s="3"/>
      <c r="D730" s="3"/>
      <c r="E730" s="3"/>
      <c r="F730" s="3"/>
      <c r="G730" s="3"/>
      <c r="H730" s="3"/>
      <c r="I730" s="3"/>
      <c r="J730" s="3"/>
      <c r="K730" s="3"/>
      <c r="L730" s="3"/>
      <c r="M730" s="3"/>
      <c r="N730" s="3"/>
      <c r="O730" s="3"/>
      <c r="P730" s="3"/>
      <c r="Q730" s="3"/>
      <c r="R730" s="3"/>
    </row>
    <row r="731" spans="1:18" x14ac:dyDescent="0.3">
      <c r="A731" s="3"/>
      <c r="B731" s="3"/>
      <c r="C731" s="3"/>
      <c r="D731" s="3"/>
      <c r="E731" s="3"/>
      <c r="F731" s="3"/>
      <c r="G731" s="3"/>
      <c r="H731" s="3"/>
      <c r="I731" s="3"/>
      <c r="J731" s="3"/>
      <c r="K731" s="3"/>
      <c r="L731" s="3"/>
      <c r="M731" s="3"/>
      <c r="N731" s="3"/>
      <c r="O731" s="3"/>
      <c r="P731" s="3"/>
      <c r="Q731" s="3"/>
      <c r="R731" s="3"/>
    </row>
    <row r="732" spans="1:18" x14ac:dyDescent="0.3">
      <c r="A732" s="3"/>
      <c r="B732" s="3"/>
      <c r="C732" s="3"/>
      <c r="D732" s="3"/>
      <c r="E732" s="3"/>
      <c r="F732" s="3"/>
      <c r="G732" s="3"/>
      <c r="H732" s="3"/>
      <c r="I732" s="3"/>
      <c r="J732" s="3"/>
      <c r="K732" s="3"/>
      <c r="L732" s="3"/>
      <c r="M732" s="3"/>
      <c r="N732" s="3"/>
      <c r="O732" s="3"/>
      <c r="P732" s="3"/>
      <c r="Q732" s="3"/>
      <c r="R732" s="3"/>
    </row>
    <row r="733" spans="1:18" x14ac:dyDescent="0.3">
      <c r="A733" s="3"/>
      <c r="B733" s="3"/>
      <c r="C733" s="3"/>
      <c r="D733" s="3"/>
      <c r="E733" s="3"/>
      <c r="F733" s="3"/>
      <c r="G733" s="3"/>
      <c r="H733" s="3"/>
      <c r="I733" s="3"/>
      <c r="J733" s="3"/>
      <c r="K733" s="3"/>
      <c r="L733" s="3"/>
      <c r="M733" s="3"/>
      <c r="N733" s="3"/>
      <c r="O733" s="3"/>
      <c r="P733" s="3"/>
      <c r="Q733" s="3"/>
      <c r="R733" s="3"/>
    </row>
    <row r="734" spans="1:18" x14ac:dyDescent="0.3">
      <c r="A734" s="3"/>
      <c r="B734" s="3"/>
      <c r="C734" s="3"/>
      <c r="D734" s="3"/>
      <c r="E734" s="3"/>
      <c r="F734" s="3"/>
      <c r="G734" s="3"/>
      <c r="H734" s="3"/>
      <c r="I734" s="3"/>
      <c r="J734" s="3"/>
      <c r="K734" s="3"/>
      <c r="L734" s="3"/>
      <c r="M734" s="3"/>
      <c r="N734" s="3"/>
      <c r="O734" s="3"/>
      <c r="P734" s="3"/>
      <c r="Q734" s="3"/>
      <c r="R734" s="3"/>
    </row>
    <row r="735" spans="1:18" x14ac:dyDescent="0.3">
      <c r="A735" s="3"/>
      <c r="B735" s="3"/>
      <c r="C735" s="3"/>
      <c r="D735" s="3"/>
      <c r="E735" s="3"/>
      <c r="F735" s="3"/>
      <c r="G735" s="3"/>
      <c r="H735" s="3"/>
      <c r="I735" s="3"/>
      <c r="J735" s="3"/>
      <c r="K735" s="3"/>
      <c r="L735" s="3"/>
      <c r="M735" s="3"/>
      <c r="N735" s="3"/>
      <c r="O735" s="3"/>
      <c r="P735" s="3"/>
      <c r="Q735" s="3"/>
      <c r="R735" s="3"/>
    </row>
    <row r="736" spans="1:18" x14ac:dyDescent="0.3">
      <c r="A736" s="3"/>
      <c r="B736" s="3"/>
      <c r="C736" s="3"/>
      <c r="D736" s="3"/>
      <c r="E736" s="3"/>
      <c r="F736" s="3"/>
      <c r="G736" s="3"/>
      <c r="H736" s="3"/>
      <c r="I736" s="3"/>
      <c r="J736" s="3"/>
      <c r="K736" s="3"/>
      <c r="L736" s="3"/>
      <c r="M736" s="3"/>
      <c r="N736" s="3"/>
      <c r="O736" s="3"/>
      <c r="P736" s="3"/>
      <c r="Q736" s="3"/>
      <c r="R736" s="3"/>
    </row>
    <row r="737" spans="1:18" x14ac:dyDescent="0.3">
      <c r="A737" s="3"/>
      <c r="B737" s="3"/>
      <c r="C737" s="3"/>
      <c r="D737" s="3"/>
      <c r="E737" s="3"/>
      <c r="F737" s="3"/>
      <c r="G737" s="3"/>
      <c r="H737" s="3"/>
      <c r="I737" s="3"/>
      <c r="J737" s="3"/>
      <c r="K737" s="3"/>
      <c r="L737" s="3"/>
      <c r="M737" s="3"/>
      <c r="N737" s="3"/>
      <c r="O737" s="3"/>
      <c r="P737" s="3"/>
      <c r="Q737" s="3"/>
      <c r="R737" s="3"/>
    </row>
    <row r="738" spans="1:18" x14ac:dyDescent="0.3">
      <c r="A738" s="3"/>
      <c r="B738" s="3"/>
      <c r="C738" s="3"/>
      <c r="D738" s="3"/>
      <c r="E738" s="3"/>
      <c r="F738" s="3"/>
      <c r="G738" s="3"/>
      <c r="H738" s="3"/>
      <c r="I738" s="3"/>
      <c r="J738" s="3"/>
      <c r="K738" s="3"/>
      <c r="L738" s="3"/>
      <c r="M738" s="3"/>
      <c r="N738" s="3"/>
      <c r="O738" s="3"/>
      <c r="P738" s="3"/>
      <c r="Q738" s="3"/>
      <c r="R738" s="3"/>
    </row>
    <row r="739" spans="1:18" x14ac:dyDescent="0.3">
      <c r="A739" s="3"/>
      <c r="B739" s="3"/>
      <c r="C739" s="3"/>
      <c r="D739" s="3"/>
      <c r="E739" s="3"/>
      <c r="F739" s="3"/>
      <c r="G739" s="3"/>
      <c r="H739" s="3"/>
      <c r="I739" s="3"/>
      <c r="J739" s="3"/>
      <c r="K739" s="3"/>
      <c r="L739" s="3"/>
      <c r="M739" s="3"/>
      <c r="N739" s="3"/>
      <c r="O739" s="3"/>
      <c r="P739" s="3"/>
      <c r="Q739" s="3"/>
      <c r="R739" s="3"/>
    </row>
    <row r="740" spans="1:18" x14ac:dyDescent="0.3">
      <c r="A740" s="3"/>
      <c r="B740" s="3"/>
      <c r="C740" s="3"/>
      <c r="D740" s="3"/>
      <c r="E740" s="3"/>
      <c r="F740" s="3"/>
      <c r="G740" s="3"/>
      <c r="H740" s="3"/>
      <c r="I740" s="3"/>
      <c r="J740" s="3"/>
      <c r="K740" s="3"/>
      <c r="L740" s="3"/>
      <c r="M740" s="3"/>
      <c r="N740" s="3"/>
      <c r="O740" s="3"/>
      <c r="P740" s="3"/>
      <c r="Q740" s="3"/>
      <c r="R740" s="3"/>
    </row>
    <row r="741" spans="1:18" x14ac:dyDescent="0.3">
      <c r="A741" s="3"/>
      <c r="B741" s="3"/>
      <c r="C741" s="3"/>
      <c r="D741" s="3"/>
      <c r="E741" s="3"/>
      <c r="F741" s="3"/>
      <c r="G741" s="3"/>
      <c r="H741" s="3"/>
      <c r="I741" s="3"/>
      <c r="J741" s="3"/>
      <c r="K741" s="3"/>
      <c r="L741" s="3"/>
      <c r="M741" s="3"/>
      <c r="N741" s="3"/>
      <c r="O741" s="3"/>
      <c r="P741" s="3"/>
      <c r="Q741" s="3"/>
      <c r="R741" s="3"/>
    </row>
    <row r="742" spans="1:18" x14ac:dyDescent="0.3">
      <c r="A742" s="3"/>
      <c r="B742" s="3"/>
      <c r="C742" s="3"/>
      <c r="D742" s="3"/>
      <c r="E742" s="3"/>
      <c r="F742" s="3"/>
      <c r="G742" s="3"/>
      <c r="H742" s="3"/>
      <c r="I742" s="3"/>
      <c r="J742" s="3"/>
      <c r="K742" s="3"/>
      <c r="L742" s="3"/>
      <c r="M742" s="3"/>
      <c r="N742" s="3"/>
      <c r="O742" s="3"/>
      <c r="P742" s="3"/>
      <c r="Q742" s="3"/>
      <c r="R742" s="3"/>
    </row>
    <row r="743" spans="1:18" x14ac:dyDescent="0.3">
      <c r="A743" s="3"/>
      <c r="B743" s="3"/>
      <c r="C743" s="3"/>
      <c r="D743" s="3"/>
      <c r="E743" s="3"/>
      <c r="F743" s="3"/>
      <c r="G743" s="3"/>
      <c r="H743" s="3"/>
      <c r="I743" s="3"/>
      <c r="J743" s="3"/>
      <c r="K743" s="3"/>
      <c r="L743" s="3"/>
      <c r="M743" s="3"/>
      <c r="N743" s="3"/>
      <c r="O743" s="3"/>
      <c r="P743" s="3"/>
      <c r="Q743" s="3"/>
      <c r="R743" s="3"/>
    </row>
    <row r="744" spans="1:18" x14ac:dyDescent="0.3">
      <c r="A744" s="3"/>
      <c r="B744" s="3"/>
      <c r="C744" s="3"/>
      <c r="D744" s="3"/>
      <c r="E744" s="3"/>
      <c r="F744" s="3"/>
      <c r="G744" s="3"/>
      <c r="H744" s="3"/>
      <c r="I744" s="3"/>
      <c r="J744" s="3"/>
      <c r="K744" s="3"/>
      <c r="L744" s="3"/>
      <c r="M744" s="3"/>
      <c r="N744" s="3"/>
      <c r="O744" s="3"/>
      <c r="P744" s="3"/>
      <c r="Q744" s="3"/>
      <c r="R744" s="3"/>
    </row>
    <row r="745" spans="1:18" x14ac:dyDescent="0.3">
      <c r="A745" s="3"/>
      <c r="B745" s="3"/>
      <c r="C745" s="3"/>
      <c r="D745" s="3"/>
      <c r="E745" s="3"/>
      <c r="F745" s="3"/>
      <c r="G745" s="3"/>
      <c r="H745" s="3"/>
      <c r="I745" s="3"/>
      <c r="J745" s="3"/>
      <c r="K745" s="3"/>
      <c r="L745" s="3"/>
      <c r="M745" s="3"/>
      <c r="N745" s="3"/>
      <c r="O745" s="3"/>
      <c r="P745" s="3"/>
      <c r="Q745" s="3"/>
      <c r="R745" s="3"/>
    </row>
    <row r="746" spans="1:18" x14ac:dyDescent="0.3">
      <c r="A746" s="3"/>
      <c r="B746" s="3"/>
      <c r="C746" s="3"/>
      <c r="D746" s="3"/>
      <c r="E746" s="3"/>
      <c r="F746" s="3"/>
      <c r="G746" s="3"/>
      <c r="H746" s="3"/>
      <c r="I746" s="3"/>
      <c r="J746" s="3"/>
      <c r="K746" s="3"/>
      <c r="L746" s="3"/>
      <c r="M746" s="3"/>
      <c r="N746" s="3"/>
      <c r="O746" s="3"/>
      <c r="P746" s="3"/>
      <c r="Q746" s="3"/>
      <c r="R746" s="3"/>
    </row>
    <row r="747" spans="1:18" x14ac:dyDescent="0.3">
      <c r="A747" s="3"/>
      <c r="B747" s="3"/>
      <c r="C747" s="3"/>
      <c r="D747" s="3"/>
      <c r="E747" s="3"/>
      <c r="F747" s="3"/>
      <c r="G747" s="3"/>
      <c r="H747" s="3"/>
      <c r="I747" s="3"/>
      <c r="J747" s="3"/>
      <c r="K747" s="3"/>
      <c r="L747" s="3"/>
      <c r="M747" s="3"/>
      <c r="N747" s="3"/>
      <c r="O747" s="3"/>
      <c r="P747" s="3"/>
      <c r="Q747" s="3"/>
      <c r="R747" s="3"/>
    </row>
    <row r="748" spans="1:18" x14ac:dyDescent="0.3">
      <c r="A748" s="3"/>
      <c r="B748" s="3"/>
      <c r="C748" s="3"/>
      <c r="D748" s="3"/>
      <c r="E748" s="3"/>
      <c r="F748" s="3"/>
      <c r="G748" s="3"/>
      <c r="H748" s="3"/>
      <c r="I748" s="3"/>
      <c r="J748" s="3"/>
      <c r="K748" s="3"/>
      <c r="L748" s="3"/>
      <c r="M748" s="3"/>
      <c r="N748" s="3"/>
      <c r="O748" s="3"/>
      <c r="P748" s="3"/>
      <c r="Q748" s="3"/>
      <c r="R748" s="3"/>
    </row>
    <row r="749" spans="1:18" x14ac:dyDescent="0.3">
      <c r="A749" s="3"/>
      <c r="B749" s="3"/>
      <c r="C749" s="3"/>
      <c r="D749" s="3"/>
      <c r="E749" s="3"/>
      <c r="F749" s="3"/>
      <c r="G749" s="3"/>
      <c r="H749" s="3"/>
      <c r="I749" s="3"/>
      <c r="J749" s="3"/>
      <c r="K749" s="3"/>
      <c r="L749" s="3"/>
      <c r="M749" s="3"/>
      <c r="N749" s="3"/>
      <c r="O749" s="3"/>
      <c r="P749" s="3"/>
      <c r="Q749" s="3"/>
      <c r="R749" s="3"/>
    </row>
    <row r="750" spans="1:18" x14ac:dyDescent="0.3">
      <c r="A750" s="3"/>
      <c r="B750" s="3"/>
      <c r="C750" s="3"/>
      <c r="D750" s="3"/>
      <c r="E750" s="3"/>
      <c r="F750" s="3"/>
      <c r="G750" s="3"/>
      <c r="H750" s="3"/>
      <c r="I750" s="3"/>
      <c r="J750" s="3"/>
      <c r="K750" s="3"/>
      <c r="L750" s="3"/>
      <c r="M750" s="3"/>
      <c r="N750" s="3"/>
      <c r="O750" s="3"/>
      <c r="P750" s="3"/>
      <c r="Q750" s="3"/>
      <c r="R750" s="3"/>
    </row>
    <row r="751" spans="1:18" x14ac:dyDescent="0.3">
      <c r="A751" s="3"/>
      <c r="B751" s="3"/>
      <c r="C751" s="3"/>
      <c r="D751" s="3"/>
      <c r="E751" s="3"/>
      <c r="F751" s="3"/>
      <c r="G751" s="3"/>
      <c r="H751" s="3"/>
      <c r="I751" s="3"/>
      <c r="J751" s="3"/>
      <c r="K751" s="3"/>
      <c r="L751" s="3"/>
      <c r="M751" s="3"/>
      <c r="N751" s="3"/>
      <c r="O751" s="3"/>
      <c r="P751" s="3"/>
      <c r="Q751" s="3"/>
      <c r="R751" s="3"/>
    </row>
    <row r="752" spans="1:18" x14ac:dyDescent="0.3">
      <c r="A752" s="3"/>
      <c r="B752" s="3"/>
      <c r="C752" s="3"/>
      <c r="D752" s="3"/>
      <c r="E752" s="3"/>
      <c r="F752" s="3"/>
      <c r="G752" s="3"/>
      <c r="H752" s="3"/>
      <c r="I752" s="3"/>
      <c r="J752" s="3"/>
      <c r="K752" s="3"/>
      <c r="L752" s="3"/>
      <c r="M752" s="3"/>
      <c r="N752" s="3"/>
      <c r="O752" s="3"/>
      <c r="P752" s="3"/>
      <c r="Q752" s="3"/>
      <c r="R752" s="3"/>
    </row>
    <row r="753" spans="1:18" x14ac:dyDescent="0.3">
      <c r="A753" s="3"/>
      <c r="B753" s="3"/>
      <c r="C753" s="3"/>
      <c r="D753" s="3"/>
      <c r="E753" s="3"/>
      <c r="F753" s="3"/>
      <c r="G753" s="3"/>
      <c r="H753" s="3"/>
      <c r="I753" s="3"/>
      <c r="J753" s="3"/>
      <c r="K753" s="3"/>
      <c r="L753" s="3"/>
      <c r="M753" s="3"/>
      <c r="N753" s="3"/>
      <c r="O753" s="3"/>
      <c r="P753" s="3"/>
      <c r="Q753" s="3"/>
      <c r="R753" s="3"/>
    </row>
    <row r="754" spans="1:18" x14ac:dyDescent="0.3">
      <c r="A754" s="3"/>
      <c r="B754" s="3"/>
      <c r="C754" s="3"/>
      <c r="D754" s="3"/>
      <c r="E754" s="3"/>
      <c r="F754" s="3"/>
      <c r="G754" s="3"/>
      <c r="H754" s="3"/>
      <c r="I754" s="3"/>
      <c r="J754" s="3"/>
      <c r="K754" s="3"/>
      <c r="L754" s="3"/>
      <c r="M754" s="3"/>
      <c r="N754" s="3"/>
      <c r="O754" s="3"/>
      <c r="P754" s="3"/>
      <c r="Q754" s="3"/>
      <c r="R754" s="3"/>
    </row>
    <row r="755" spans="1:18" x14ac:dyDescent="0.3">
      <c r="A755" s="3"/>
      <c r="B755" s="3"/>
      <c r="C755" s="3"/>
      <c r="D755" s="3"/>
      <c r="E755" s="3"/>
      <c r="F755" s="3"/>
      <c r="G755" s="3"/>
      <c r="H755" s="3"/>
      <c r="I755" s="3"/>
      <c r="J755" s="3"/>
      <c r="K755" s="3"/>
      <c r="L755" s="3"/>
      <c r="M755" s="3"/>
      <c r="N755" s="3"/>
      <c r="O755" s="3"/>
      <c r="P755" s="3"/>
      <c r="Q755" s="3"/>
      <c r="R755" s="3"/>
    </row>
    <row r="756" spans="1:18" x14ac:dyDescent="0.3">
      <c r="A756" s="3"/>
      <c r="B756" s="3"/>
      <c r="C756" s="3"/>
      <c r="D756" s="3"/>
      <c r="E756" s="3"/>
      <c r="F756" s="3"/>
      <c r="G756" s="3"/>
      <c r="H756" s="3"/>
      <c r="I756" s="3"/>
      <c r="J756" s="3"/>
      <c r="K756" s="3"/>
      <c r="L756" s="3"/>
      <c r="M756" s="3"/>
      <c r="N756" s="3"/>
      <c r="O756" s="3"/>
      <c r="P756" s="3"/>
      <c r="Q756" s="3"/>
      <c r="R756" s="3"/>
    </row>
    <row r="757" spans="1:18" x14ac:dyDescent="0.3">
      <c r="A757" s="3"/>
      <c r="B757" s="3"/>
      <c r="C757" s="3"/>
      <c r="D757" s="3"/>
      <c r="E757" s="3"/>
      <c r="F757" s="3"/>
      <c r="G757" s="3"/>
      <c r="H757" s="3"/>
      <c r="I757" s="3"/>
      <c r="J757" s="3"/>
      <c r="K757" s="3"/>
      <c r="L757" s="3"/>
      <c r="M757" s="3"/>
      <c r="N757" s="3"/>
      <c r="O757" s="3"/>
      <c r="P757" s="3"/>
      <c r="Q757" s="3"/>
      <c r="R757" s="3"/>
    </row>
    <row r="758" spans="1:18" x14ac:dyDescent="0.3">
      <c r="A758" s="3"/>
      <c r="B758" s="3"/>
      <c r="C758" s="3"/>
      <c r="D758" s="3"/>
      <c r="E758" s="3"/>
      <c r="F758" s="3"/>
      <c r="G758" s="3"/>
      <c r="H758" s="3"/>
      <c r="I758" s="3"/>
      <c r="J758" s="3"/>
      <c r="K758" s="3"/>
      <c r="L758" s="3"/>
      <c r="M758" s="3"/>
      <c r="N758" s="3"/>
      <c r="O758" s="3"/>
      <c r="P758" s="3"/>
      <c r="Q758" s="3"/>
      <c r="R758" s="3"/>
    </row>
    <row r="759" spans="1:18" x14ac:dyDescent="0.3">
      <c r="A759" s="3"/>
      <c r="B759" s="3"/>
      <c r="C759" s="3"/>
      <c r="D759" s="3"/>
      <c r="E759" s="3"/>
      <c r="F759" s="3"/>
      <c r="G759" s="3"/>
      <c r="H759" s="3"/>
      <c r="I759" s="3"/>
      <c r="J759" s="3"/>
      <c r="K759" s="3"/>
      <c r="L759" s="3"/>
      <c r="M759" s="3"/>
      <c r="N759" s="3"/>
      <c r="O759" s="3"/>
      <c r="P759" s="3"/>
      <c r="Q759" s="3"/>
      <c r="R759" s="3"/>
    </row>
    <row r="760" spans="1:18" x14ac:dyDescent="0.3">
      <c r="A760" s="3"/>
      <c r="B760" s="3"/>
      <c r="C760" s="3"/>
      <c r="D760" s="3"/>
      <c r="E760" s="3"/>
      <c r="F760" s="3"/>
      <c r="G760" s="3"/>
      <c r="H760" s="3"/>
      <c r="I760" s="3"/>
      <c r="J760" s="3"/>
      <c r="K760" s="3"/>
      <c r="L760" s="3"/>
      <c r="M760" s="3"/>
      <c r="N760" s="3"/>
      <c r="O760" s="3"/>
      <c r="P760" s="3"/>
      <c r="Q760" s="3"/>
      <c r="R760" s="3"/>
    </row>
    <row r="761" spans="1:18" x14ac:dyDescent="0.3">
      <c r="A761" s="3"/>
      <c r="B761" s="3"/>
      <c r="C761" s="3"/>
      <c r="D761" s="3"/>
      <c r="E761" s="3"/>
      <c r="F761" s="3"/>
      <c r="G761" s="3"/>
      <c r="H761" s="3"/>
      <c r="I761" s="3"/>
      <c r="J761" s="3"/>
      <c r="K761" s="3"/>
      <c r="L761" s="3"/>
      <c r="M761" s="3"/>
      <c r="N761" s="3"/>
      <c r="O761" s="3"/>
      <c r="P761" s="3"/>
      <c r="Q761" s="3"/>
      <c r="R761" s="3"/>
    </row>
    <row r="762" spans="1:18" x14ac:dyDescent="0.3">
      <c r="A762" s="3"/>
      <c r="B762" s="3"/>
      <c r="C762" s="3"/>
      <c r="D762" s="3"/>
      <c r="E762" s="3"/>
      <c r="F762" s="3"/>
      <c r="G762" s="3"/>
      <c r="H762" s="3"/>
      <c r="I762" s="3"/>
      <c r="J762" s="3"/>
      <c r="K762" s="3"/>
      <c r="L762" s="3"/>
      <c r="M762" s="3"/>
      <c r="N762" s="3"/>
      <c r="O762" s="3"/>
      <c r="P762" s="3"/>
      <c r="Q762" s="3"/>
      <c r="R762" s="3"/>
    </row>
    <row r="763" spans="1:18" x14ac:dyDescent="0.3">
      <c r="A763" s="3"/>
      <c r="B763" s="3"/>
      <c r="C763" s="3"/>
      <c r="D763" s="3"/>
      <c r="E763" s="3"/>
      <c r="F763" s="3"/>
      <c r="G763" s="3"/>
      <c r="H763" s="3"/>
      <c r="I763" s="3"/>
      <c r="J763" s="3"/>
      <c r="K763" s="3"/>
      <c r="L763" s="3"/>
      <c r="M763" s="3"/>
      <c r="N763" s="3"/>
      <c r="O763" s="3"/>
      <c r="P763" s="3"/>
      <c r="Q763" s="3"/>
      <c r="R763" s="3"/>
    </row>
    <row r="764" spans="1:18" x14ac:dyDescent="0.3">
      <c r="A764" s="3"/>
      <c r="B764" s="3"/>
      <c r="C764" s="3"/>
      <c r="D764" s="3"/>
      <c r="E764" s="3"/>
      <c r="F764" s="3"/>
      <c r="G764" s="3"/>
      <c r="H764" s="3"/>
      <c r="I764" s="3"/>
      <c r="J764" s="3"/>
      <c r="K764" s="3"/>
      <c r="L764" s="3"/>
      <c r="M764" s="3"/>
      <c r="N764" s="3"/>
      <c r="O764" s="3"/>
      <c r="P764" s="3"/>
      <c r="Q764" s="3"/>
      <c r="R764" s="3"/>
    </row>
    <row r="765" spans="1:18" x14ac:dyDescent="0.3">
      <c r="A765" s="3"/>
      <c r="B765" s="3"/>
      <c r="C765" s="3"/>
      <c r="D765" s="3"/>
      <c r="E765" s="3"/>
      <c r="F765" s="3"/>
      <c r="G765" s="3"/>
      <c r="H765" s="3"/>
      <c r="I765" s="3"/>
      <c r="J765" s="3"/>
      <c r="K765" s="3"/>
      <c r="L765" s="3"/>
      <c r="M765" s="3"/>
      <c r="N765" s="3"/>
      <c r="O765" s="3"/>
      <c r="P765" s="3"/>
      <c r="Q765" s="3"/>
      <c r="R765" s="3"/>
    </row>
    <row r="766" spans="1:18" x14ac:dyDescent="0.3">
      <c r="A766" s="3"/>
      <c r="B766" s="3"/>
      <c r="C766" s="3"/>
      <c r="D766" s="3"/>
      <c r="E766" s="3"/>
      <c r="F766" s="3"/>
      <c r="G766" s="3"/>
      <c r="H766" s="3"/>
      <c r="I766" s="3"/>
      <c r="J766" s="3"/>
      <c r="K766" s="3"/>
      <c r="L766" s="3"/>
      <c r="M766" s="3"/>
      <c r="N766" s="3"/>
      <c r="O766" s="3"/>
      <c r="P766" s="3"/>
      <c r="Q766" s="3"/>
      <c r="R766" s="3"/>
    </row>
    <row r="767" spans="1:18" x14ac:dyDescent="0.3">
      <c r="A767" s="3"/>
      <c r="B767" s="3"/>
      <c r="C767" s="3"/>
      <c r="D767" s="3"/>
      <c r="E767" s="3"/>
      <c r="F767" s="3"/>
      <c r="G767" s="3"/>
      <c r="H767" s="3"/>
      <c r="I767" s="3"/>
      <c r="J767" s="3"/>
      <c r="K767" s="3"/>
      <c r="L767" s="3"/>
      <c r="M767" s="3"/>
      <c r="N767" s="3"/>
      <c r="O767" s="3"/>
      <c r="P767" s="3"/>
      <c r="Q767" s="3"/>
      <c r="R767" s="3"/>
    </row>
    <row r="768" spans="1:18" x14ac:dyDescent="0.3">
      <c r="A768" s="3"/>
      <c r="B768" s="3"/>
      <c r="C768" s="3"/>
      <c r="D768" s="3"/>
      <c r="E768" s="3"/>
      <c r="F768" s="3"/>
      <c r="G768" s="3"/>
      <c r="H768" s="3"/>
      <c r="I768" s="3"/>
      <c r="J768" s="3"/>
      <c r="K768" s="3"/>
      <c r="L768" s="3"/>
      <c r="M768" s="3"/>
      <c r="N768" s="3"/>
      <c r="O768" s="3"/>
      <c r="P768" s="3"/>
      <c r="Q768" s="3"/>
      <c r="R768" s="3"/>
    </row>
    <row r="769" spans="1:18" x14ac:dyDescent="0.3">
      <c r="A769" s="3"/>
      <c r="B769" s="3"/>
      <c r="C769" s="3"/>
      <c r="D769" s="3"/>
      <c r="E769" s="3"/>
      <c r="F769" s="3"/>
      <c r="G769" s="3"/>
      <c r="H769" s="3"/>
      <c r="I769" s="3"/>
      <c r="J769" s="3"/>
      <c r="K769" s="3"/>
      <c r="L769" s="3"/>
      <c r="M769" s="3"/>
      <c r="N769" s="3"/>
      <c r="O769" s="3"/>
      <c r="P769" s="3"/>
      <c r="Q769" s="3"/>
      <c r="R769" s="3"/>
    </row>
    <row r="770" spans="1:18" x14ac:dyDescent="0.3">
      <c r="A770" s="3"/>
      <c r="B770" s="3"/>
      <c r="C770" s="3"/>
      <c r="D770" s="3"/>
      <c r="E770" s="3"/>
      <c r="F770" s="3"/>
      <c r="G770" s="3"/>
      <c r="H770" s="3"/>
      <c r="I770" s="3"/>
      <c r="J770" s="3"/>
      <c r="K770" s="3"/>
      <c r="L770" s="3"/>
      <c r="M770" s="3"/>
      <c r="N770" s="3"/>
      <c r="O770" s="3"/>
      <c r="P770" s="3"/>
      <c r="Q770" s="3"/>
      <c r="R770" s="3"/>
    </row>
    <row r="771" spans="1:18" x14ac:dyDescent="0.3">
      <c r="A771" s="3"/>
      <c r="B771" s="3"/>
      <c r="C771" s="3"/>
      <c r="D771" s="3"/>
      <c r="E771" s="3"/>
      <c r="F771" s="3"/>
      <c r="G771" s="3"/>
      <c r="H771" s="3"/>
      <c r="I771" s="3"/>
      <c r="J771" s="3"/>
      <c r="K771" s="3"/>
      <c r="L771" s="3"/>
      <c r="M771" s="3"/>
      <c r="N771" s="3"/>
      <c r="O771" s="3"/>
      <c r="P771" s="3"/>
      <c r="Q771" s="3"/>
      <c r="R771" s="3"/>
    </row>
    <row r="772" spans="1:18" x14ac:dyDescent="0.3">
      <c r="A772" s="3"/>
      <c r="B772" s="3"/>
      <c r="C772" s="3"/>
      <c r="D772" s="3"/>
      <c r="E772" s="3"/>
      <c r="F772" s="3"/>
      <c r="G772" s="3"/>
      <c r="H772" s="3"/>
      <c r="I772" s="3"/>
      <c r="J772" s="3"/>
      <c r="K772" s="3"/>
      <c r="L772" s="3"/>
      <c r="M772" s="3"/>
      <c r="N772" s="3"/>
      <c r="O772" s="3"/>
      <c r="P772" s="3"/>
      <c r="Q772" s="3"/>
      <c r="R772" s="3"/>
    </row>
    <row r="773" spans="1:18" x14ac:dyDescent="0.3">
      <c r="A773" s="3"/>
      <c r="B773" s="3"/>
      <c r="C773" s="3"/>
      <c r="D773" s="3"/>
      <c r="E773" s="3"/>
      <c r="F773" s="3"/>
      <c r="G773" s="3"/>
      <c r="H773" s="3"/>
      <c r="I773" s="3"/>
      <c r="J773" s="3"/>
      <c r="K773" s="3"/>
      <c r="L773" s="3"/>
      <c r="M773" s="3"/>
      <c r="N773" s="3"/>
      <c r="O773" s="3"/>
      <c r="P773" s="3"/>
      <c r="Q773" s="3"/>
      <c r="R773" s="3"/>
    </row>
    <row r="774" spans="1:18" x14ac:dyDescent="0.3">
      <c r="A774" s="3"/>
      <c r="B774" s="3"/>
      <c r="C774" s="3"/>
      <c r="D774" s="3"/>
      <c r="E774" s="3"/>
      <c r="F774" s="3"/>
      <c r="G774" s="3"/>
      <c r="H774" s="3"/>
      <c r="I774" s="3"/>
      <c r="J774" s="3"/>
      <c r="K774" s="3"/>
      <c r="L774" s="3"/>
      <c r="M774" s="3"/>
      <c r="N774" s="3"/>
      <c r="O774" s="3"/>
      <c r="P774" s="3"/>
      <c r="Q774" s="3"/>
      <c r="R774" s="3"/>
    </row>
    <row r="775" spans="1:18" x14ac:dyDescent="0.3">
      <c r="A775" s="3"/>
      <c r="B775" s="3"/>
      <c r="C775" s="3"/>
      <c r="D775" s="3"/>
      <c r="E775" s="3"/>
      <c r="F775" s="3"/>
      <c r="G775" s="3"/>
      <c r="H775" s="3"/>
      <c r="I775" s="3"/>
      <c r="J775" s="3"/>
      <c r="K775" s="3"/>
      <c r="L775" s="3"/>
      <c r="M775" s="3"/>
      <c r="N775" s="3"/>
      <c r="O775" s="3"/>
      <c r="P775" s="3"/>
      <c r="Q775" s="3"/>
      <c r="R775" s="3"/>
    </row>
    <row r="776" spans="1:18" x14ac:dyDescent="0.3">
      <c r="A776" s="3"/>
      <c r="B776" s="3"/>
      <c r="C776" s="3"/>
      <c r="D776" s="3"/>
      <c r="E776" s="3"/>
      <c r="F776" s="3"/>
      <c r="G776" s="3"/>
      <c r="H776" s="3"/>
      <c r="I776" s="3"/>
      <c r="J776" s="3"/>
      <c r="K776" s="3"/>
      <c r="L776" s="3"/>
      <c r="M776" s="3"/>
      <c r="N776" s="3"/>
      <c r="O776" s="3"/>
      <c r="P776" s="3"/>
      <c r="Q776" s="3"/>
      <c r="R776" s="3"/>
    </row>
    <row r="777" spans="1:18" x14ac:dyDescent="0.3">
      <c r="A777" s="3"/>
      <c r="B777" s="3"/>
      <c r="C777" s="3"/>
      <c r="D777" s="3"/>
      <c r="E777" s="3"/>
      <c r="F777" s="3"/>
      <c r="G777" s="3"/>
      <c r="H777" s="3"/>
      <c r="I777" s="3"/>
      <c r="J777" s="3"/>
      <c r="K777" s="3"/>
      <c r="L777" s="3"/>
      <c r="M777" s="3"/>
      <c r="N777" s="3"/>
      <c r="O777" s="3"/>
      <c r="P777" s="3"/>
      <c r="Q777" s="3"/>
      <c r="R777" s="3"/>
    </row>
    <row r="778" spans="1:18" x14ac:dyDescent="0.3">
      <c r="A778" s="3"/>
      <c r="B778" s="3"/>
      <c r="C778" s="3"/>
      <c r="D778" s="3"/>
      <c r="E778" s="3"/>
      <c r="F778" s="3"/>
      <c r="G778" s="3"/>
      <c r="H778" s="3"/>
      <c r="I778" s="3"/>
      <c r="J778" s="3"/>
      <c r="K778" s="3"/>
      <c r="L778" s="3"/>
      <c r="M778" s="3"/>
      <c r="N778" s="3"/>
      <c r="O778" s="3"/>
      <c r="P778" s="3"/>
      <c r="Q778" s="3"/>
      <c r="R778" s="3"/>
    </row>
    <row r="779" spans="1:18" x14ac:dyDescent="0.3">
      <c r="A779" s="3"/>
      <c r="B779" s="3"/>
      <c r="C779" s="3"/>
      <c r="D779" s="3"/>
      <c r="E779" s="3"/>
      <c r="F779" s="3"/>
      <c r="G779" s="3"/>
      <c r="H779" s="3"/>
      <c r="I779" s="3"/>
      <c r="J779" s="3"/>
      <c r="K779" s="3"/>
      <c r="L779" s="3"/>
      <c r="M779" s="3"/>
      <c r="N779" s="3"/>
      <c r="O779" s="3"/>
      <c r="P779" s="3"/>
      <c r="Q779" s="3"/>
      <c r="R779" s="3"/>
    </row>
    <row r="780" spans="1:18" x14ac:dyDescent="0.3">
      <c r="A780" s="3"/>
      <c r="B780" s="3"/>
      <c r="C780" s="3"/>
      <c r="D780" s="3"/>
      <c r="E780" s="3"/>
      <c r="F780" s="3"/>
      <c r="G780" s="3"/>
      <c r="H780" s="3"/>
      <c r="I780" s="3"/>
      <c r="J780" s="3"/>
      <c r="K780" s="3"/>
      <c r="L780" s="3"/>
      <c r="M780" s="3"/>
      <c r="N780" s="3"/>
      <c r="O780" s="3"/>
      <c r="P780" s="3"/>
      <c r="Q780" s="3"/>
      <c r="R780" s="3"/>
    </row>
    <row r="781" spans="1:18" x14ac:dyDescent="0.3">
      <c r="A781" s="3"/>
      <c r="B781" s="3"/>
      <c r="C781" s="3"/>
      <c r="D781" s="3"/>
      <c r="E781" s="3"/>
      <c r="F781" s="3"/>
      <c r="G781" s="3"/>
      <c r="H781" s="3"/>
      <c r="I781" s="3"/>
      <c r="J781" s="3"/>
      <c r="K781" s="3"/>
      <c r="L781" s="3"/>
      <c r="M781" s="3"/>
      <c r="N781" s="3"/>
      <c r="O781" s="3"/>
      <c r="P781" s="3"/>
      <c r="Q781" s="3"/>
      <c r="R781" s="3"/>
    </row>
    <row r="782" spans="1:18" x14ac:dyDescent="0.3">
      <c r="A782" s="3"/>
      <c r="B782" s="3"/>
      <c r="C782" s="3"/>
      <c r="D782" s="3"/>
      <c r="E782" s="3"/>
      <c r="F782" s="3"/>
      <c r="G782" s="3"/>
      <c r="H782" s="3"/>
      <c r="I782" s="3"/>
      <c r="J782" s="3"/>
      <c r="K782" s="3"/>
      <c r="L782" s="3"/>
      <c r="M782" s="3"/>
      <c r="N782" s="3"/>
      <c r="O782" s="3"/>
      <c r="P782" s="3"/>
      <c r="Q782" s="3"/>
      <c r="R782" s="3"/>
    </row>
    <row r="783" spans="1:18" x14ac:dyDescent="0.3">
      <c r="A783" s="3"/>
      <c r="B783" s="3"/>
      <c r="C783" s="3"/>
      <c r="D783" s="3"/>
      <c r="E783" s="3"/>
      <c r="F783" s="3"/>
      <c r="G783" s="3"/>
      <c r="H783" s="3"/>
      <c r="I783" s="3"/>
      <c r="J783" s="3"/>
      <c r="K783" s="3"/>
      <c r="L783" s="3"/>
      <c r="M783" s="3"/>
      <c r="N783" s="3"/>
      <c r="O783" s="3"/>
      <c r="P783" s="3"/>
      <c r="Q783" s="3"/>
      <c r="R783" s="3"/>
    </row>
    <row r="784" spans="1:18" x14ac:dyDescent="0.3">
      <c r="A784" s="3"/>
      <c r="B784" s="3"/>
      <c r="C784" s="3"/>
      <c r="D784" s="3"/>
      <c r="E784" s="3"/>
      <c r="F784" s="3"/>
      <c r="G784" s="3"/>
      <c r="H784" s="3"/>
      <c r="I784" s="3"/>
      <c r="J784" s="3"/>
      <c r="K784" s="3"/>
      <c r="L784" s="3"/>
      <c r="M784" s="3"/>
      <c r="N784" s="3"/>
      <c r="O784" s="3"/>
      <c r="P784" s="3"/>
      <c r="Q784" s="3"/>
      <c r="R784" s="3"/>
    </row>
    <row r="785" spans="1:18" x14ac:dyDescent="0.3">
      <c r="A785" s="3"/>
      <c r="B785" s="3"/>
      <c r="C785" s="3"/>
      <c r="D785" s="3"/>
      <c r="E785" s="3"/>
      <c r="F785" s="3"/>
      <c r="G785" s="3"/>
      <c r="H785" s="3"/>
      <c r="I785" s="3"/>
      <c r="J785" s="3"/>
      <c r="K785" s="3"/>
      <c r="L785" s="3"/>
      <c r="M785" s="3"/>
      <c r="N785" s="3"/>
      <c r="O785" s="3"/>
      <c r="P785" s="3"/>
      <c r="Q785" s="3"/>
      <c r="R785" s="3"/>
    </row>
    <row r="786" spans="1:18" x14ac:dyDescent="0.3">
      <c r="A786" s="3"/>
      <c r="B786" s="3"/>
      <c r="C786" s="3"/>
      <c r="D786" s="3"/>
      <c r="E786" s="3"/>
      <c r="F786" s="3"/>
      <c r="G786" s="3"/>
      <c r="H786" s="3"/>
      <c r="I786" s="3"/>
      <c r="J786" s="3"/>
      <c r="K786" s="3"/>
      <c r="L786" s="3"/>
      <c r="M786" s="3"/>
      <c r="N786" s="3"/>
      <c r="O786" s="3"/>
      <c r="P786" s="3"/>
      <c r="Q786" s="3"/>
      <c r="R786" s="3"/>
    </row>
    <row r="787" spans="1:18" x14ac:dyDescent="0.3">
      <c r="A787" s="3"/>
      <c r="B787" s="3"/>
      <c r="C787" s="3"/>
      <c r="D787" s="3"/>
      <c r="E787" s="3"/>
      <c r="F787" s="3"/>
      <c r="G787" s="3"/>
      <c r="H787" s="3"/>
      <c r="I787" s="3"/>
      <c r="J787" s="3"/>
      <c r="K787" s="3"/>
      <c r="L787" s="3"/>
      <c r="M787" s="3"/>
      <c r="N787" s="3"/>
      <c r="O787" s="3"/>
      <c r="P787" s="3"/>
      <c r="Q787" s="3"/>
      <c r="R787" s="3"/>
    </row>
    <row r="788" spans="1:18" x14ac:dyDescent="0.3">
      <c r="A788" s="3"/>
      <c r="B788" s="3"/>
      <c r="C788" s="3"/>
      <c r="D788" s="3"/>
      <c r="E788" s="3"/>
      <c r="F788" s="3"/>
      <c r="G788" s="3"/>
      <c r="H788" s="3"/>
      <c r="I788" s="3"/>
      <c r="J788" s="3"/>
      <c r="K788" s="3"/>
      <c r="L788" s="3"/>
      <c r="M788" s="3"/>
      <c r="N788" s="3"/>
      <c r="O788" s="3"/>
      <c r="P788" s="3"/>
      <c r="Q788" s="3"/>
      <c r="R788" s="3"/>
    </row>
    <row r="789" spans="1:18" x14ac:dyDescent="0.3">
      <c r="A789" s="3"/>
      <c r="B789" s="3"/>
      <c r="C789" s="3"/>
      <c r="D789" s="3"/>
      <c r="E789" s="3"/>
      <c r="F789" s="3"/>
      <c r="G789" s="3"/>
      <c r="H789" s="3"/>
      <c r="I789" s="3"/>
      <c r="J789" s="3"/>
      <c r="K789" s="3"/>
      <c r="L789" s="3"/>
      <c r="M789" s="3"/>
      <c r="N789" s="3"/>
      <c r="O789" s="3"/>
      <c r="P789" s="3"/>
      <c r="Q789" s="3"/>
      <c r="R789" s="3"/>
    </row>
    <row r="790" spans="1:18" x14ac:dyDescent="0.3">
      <c r="A790" s="3"/>
      <c r="B790" s="3"/>
      <c r="C790" s="3"/>
      <c r="D790" s="3"/>
      <c r="E790" s="3"/>
      <c r="F790" s="3"/>
      <c r="G790" s="3"/>
      <c r="H790" s="3"/>
      <c r="I790" s="3"/>
      <c r="J790" s="3"/>
      <c r="K790" s="3"/>
      <c r="L790" s="3"/>
      <c r="M790" s="3"/>
      <c r="N790" s="3"/>
      <c r="O790" s="3"/>
      <c r="P790" s="3"/>
      <c r="Q790" s="3"/>
      <c r="R790" s="3"/>
    </row>
    <row r="791" spans="1:18" x14ac:dyDescent="0.3">
      <c r="A791" s="3"/>
      <c r="B791" s="3"/>
      <c r="C791" s="3"/>
      <c r="D791" s="3"/>
      <c r="E791" s="3"/>
      <c r="F791" s="3"/>
      <c r="G791" s="3"/>
      <c r="H791" s="3"/>
      <c r="I791" s="3"/>
      <c r="J791" s="3"/>
      <c r="K791" s="3"/>
      <c r="L791" s="3"/>
      <c r="M791" s="3"/>
      <c r="N791" s="3"/>
      <c r="O791" s="3"/>
      <c r="P791" s="3"/>
      <c r="Q791" s="3"/>
      <c r="R791" s="3"/>
    </row>
    <row r="792" spans="1:18" x14ac:dyDescent="0.3">
      <c r="A792" s="3"/>
      <c r="B792" s="3"/>
      <c r="C792" s="3"/>
      <c r="D792" s="3"/>
      <c r="E792" s="3"/>
      <c r="F792" s="3"/>
      <c r="G792" s="3"/>
      <c r="H792" s="3"/>
      <c r="I792" s="3"/>
      <c r="J792" s="3"/>
      <c r="K792" s="3"/>
      <c r="L792" s="3"/>
      <c r="M792" s="3"/>
      <c r="N792" s="3"/>
      <c r="O792" s="3"/>
      <c r="P792" s="3"/>
      <c r="Q792" s="3"/>
      <c r="R792" s="3"/>
    </row>
    <row r="793" spans="1:18" x14ac:dyDescent="0.3">
      <c r="A793" s="3"/>
      <c r="B793" s="3"/>
      <c r="C793" s="3"/>
      <c r="D793" s="3"/>
      <c r="E793" s="3"/>
      <c r="F793" s="3"/>
      <c r="G793" s="3"/>
      <c r="H793" s="3"/>
      <c r="I793" s="3"/>
      <c r="J793" s="3"/>
      <c r="K793" s="3"/>
      <c r="L793" s="3"/>
      <c r="M793" s="3"/>
      <c r="N793" s="3"/>
      <c r="O793" s="3"/>
      <c r="P793" s="3"/>
      <c r="Q793" s="3"/>
      <c r="R793" s="3"/>
    </row>
    <row r="794" spans="1:18" x14ac:dyDescent="0.3">
      <c r="A794" s="3"/>
      <c r="B794" s="3"/>
      <c r="C794" s="3"/>
      <c r="D794" s="3"/>
      <c r="E794" s="3"/>
      <c r="F794" s="3"/>
      <c r="G794" s="3"/>
      <c r="H794" s="3"/>
      <c r="I794" s="3"/>
      <c r="J794" s="3"/>
      <c r="K794" s="3"/>
      <c r="L794" s="3"/>
      <c r="M794" s="3"/>
      <c r="N794" s="3"/>
      <c r="O794" s="3"/>
      <c r="P794" s="3"/>
      <c r="Q794" s="3"/>
      <c r="R794" s="3"/>
    </row>
    <row r="795" spans="1:18" x14ac:dyDescent="0.3">
      <c r="A795" s="3"/>
      <c r="B795" s="3"/>
      <c r="C795" s="3"/>
      <c r="D795" s="3"/>
      <c r="E795" s="3"/>
      <c r="F795" s="3"/>
      <c r="G795" s="3"/>
      <c r="H795" s="3"/>
      <c r="I795" s="3"/>
      <c r="J795" s="3"/>
      <c r="K795" s="3"/>
      <c r="L795" s="3"/>
      <c r="M795" s="3"/>
      <c r="N795" s="3"/>
      <c r="O795" s="3"/>
      <c r="P795" s="3"/>
      <c r="Q795" s="3"/>
      <c r="R795" s="3"/>
    </row>
    <row r="796" spans="1:18" x14ac:dyDescent="0.3">
      <c r="A796" s="3"/>
      <c r="B796" s="3"/>
      <c r="C796" s="3"/>
      <c r="D796" s="3"/>
      <c r="E796" s="3"/>
      <c r="F796" s="3"/>
      <c r="G796" s="3"/>
      <c r="H796" s="3"/>
      <c r="I796" s="3"/>
      <c r="J796" s="3"/>
      <c r="K796" s="3"/>
      <c r="L796" s="3"/>
      <c r="M796" s="3"/>
      <c r="N796" s="3"/>
      <c r="O796" s="3"/>
      <c r="P796" s="3"/>
      <c r="Q796" s="3"/>
      <c r="R796" s="3"/>
    </row>
    <row r="797" spans="1:18" x14ac:dyDescent="0.3">
      <c r="A797" s="3"/>
      <c r="B797" s="3"/>
      <c r="C797" s="3"/>
      <c r="D797" s="3"/>
      <c r="E797" s="3"/>
      <c r="F797" s="3"/>
      <c r="G797" s="3"/>
      <c r="H797" s="3"/>
      <c r="I797" s="3"/>
      <c r="J797" s="3"/>
      <c r="K797" s="3"/>
      <c r="L797" s="3"/>
      <c r="M797" s="3"/>
      <c r="N797" s="3"/>
      <c r="O797" s="3"/>
      <c r="P797" s="3"/>
      <c r="Q797" s="3"/>
      <c r="R797" s="3"/>
    </row>
    <row r="798" spans="1:18" x14ac:dyDescent="0.3">
      <c r="A798" s="3"/>
      <c r="B798" s="3"/>
      <c r="C798" s="3"/>
      <c r="D798" s="3"/>
      <c r="E798" s="3"/>
      <c r="F798" s="3"/>
      <c r="G798" s="3"/>
      <c r="H798" s="3"/>
      <c r="I798" s="3"/>
      <c r="J798" s="3"/>
      <c r="K798" s="3"/>
      <c r="L798" s="3"/>
      <c r="M798" s="3"/>
      <c r="N798" s="3"/>
      <c r="O798" s="3"/>
      <c r="P798" s="3"/>
      <c r="Q798" s="3"/>
      <c r="R798" s="3"/>
    </row>
    <row r="799" spans="1:18" x14ac:dyDescent="0.3">
      <c r="A799" s="3"/>
      <c r="B799" s="3"/>
      <c r="C799" s="3"/>
      <c r="D799" s="3"/>
      <c r="E799" s="3"/>
      <c r="F799" s="3"/>
      <c r="G799" s="3"/>
      <c r="H799" s="3"/>
      <c r="I799" s="3"/>
      <c r="J799" s="3"/>
      <c r="K799" s="3"/>
      <c r="L799" s="3"/>
      <c r="M799" s="3"/>
      <c r="N799" s="3"/>
      <c r="O799" s="3"/>
      <c r="P799" s="3"/>
      <c r="Q799" s="3"/>
      <c r="R799" s="3"/>
    </row>
    <row r="800" spans="1:18" x14ac:dyDescent="0.3">
      <c r="A800" s="3"/>
      <c r="B800" s="3"/>
      <c r="C800" s="3"/>
      <c r="D800" s="3"/>
      <c r="E800" s="3"/>
      <c r="F800" s="3"/>
      <c r="G800" s="3"/>
      <c r="H800" s="3"/>
      <c r="I800" s="3"/>
      <c r="J800" s="3"/>
      <c r="K800" s="3"/>
      <c r="L800" s="3"/>
      <c r="M800" s="3"/>
      <c r="N800" s="3"/>
      <c r="O800" s="3"/>
      <c r="P800" s="3"/>
      <c r="Q800" s="3"/>
      <c r="R800" s="3"/>
    </row>
    <row r="801" spans="1:18" x14ac:dyDescent="0.3">
      <c r="A801" s="3"/>
      <c r="B801" s="3"/>
      <c r="C801" s="3"/>
      <c r="D801" s="3"/>
      <c r="E801" s="3"/>
      <c r="F801" s="3"/>
      <c r="G801" s="3"/>
      <c r="H801" s="3"/>
      <c r="I801" s="3"/>
      <c r="J801" s="3"/>
      <c r="K801" s="3"/>
      <c r="L801" s="3"/>
      <c r="M801" s="3"/>
      <c r="N801" s="3"/>
      <c r="O801" s="3"/>
      <c r="P801" s="3"/>
      <c r="Q801" s="3"/>
      <c r="R801" s="3"/>
    </row>
    <row r="802" spans="1:18" x14ac:dyDescent="0.3">
      <c r="A802" s="3"/>
      <c r="B802" s="3"/>
      <c r="C802" s="3"/>
      <c r="D802" s="3"/>
      <c r="E802" s="3"/>
      <c r="F802" s="3"/>
      <c r="G802" s="3"/>
      <c r="H802" s="3"/>
      <c r="I802" s="3"/>
      <c r="J802" s="3"/>
      <c r="K802" s="3"/>
      <c r="L802" s="3"/>
      <c r="M802" s="3"/>
      <c r="N802" s="3"/>
      <c r="O802" s="3"/>
      <c r="P802" s="3"/>
      <c r="Q802" s="3"/>
      <c r="R802" s="3"/>
    </row>
    <row r="803" spans="1:18" x14ac:dyDescent="0.3">
      <c r="A803" s="3"/>
      <c r="B803" s="3"/>
      <c r="C803" s="3"/>
      <c r="D803" s="3"/>
      <c r="E803" s="3"/>
      <c r="F803" s="3"/>
      <c r="G803" s="3"/>
      <c r="H803" s="3"/>
      <c r="I803" s="3"/>
      <c r="J803" s="3"/>
      <c r="K803" s="3"/>
      <c r="L803" s="3"/>
      <c r="M803" s="3"/>
      <c r="N803" s="3"/>
      <c r="O803" s="3"/>
      <c r="P803" s="3"/>
      <c r="Q803" s="3"/>
      <c r="R803" s="3"/>
    </row>
    <row r="804" spans="1:18" x14ac:dyDescent="0.3">
      <c r="A804" s="3"/>
      <c r="B804" s="3"/>
      <c r="C804" s="3"/>
      <c r="D804" s="3"/>
      <c r="E804" s="3"/>
      <c r="F804" s="3"/>
      <c r="G804" s="3"/>
      <c r="H804" s="3"/>
      <c r="I804" s="3"/>
      <c r="J804" s="3"/>
      <c r="K804" s="3"/>
      <c r="L804" s="3"/>
      <c r="M804" s="3"/>
      <c r="N804" s="3"/>
      <c r="O804" s="3"/>
      <c r="P804" s="3"/>
      <c r="Q804" s="3"/>
      <c r="R804" s="3"/>
    </row>
    <row r="805" spans="1:18" x14ac:dyDescent="0.3">
      <c r="A805" s="3"/>
      <c r="B805" s="3"/>
      <c r="C805" s="3"/>
      <c r="D805" s="3"/>
      <c r="E805" s="3"/>
      <c r="F805" s="3"/>
      <c r="G805" s="3"/>
      <c r="H805" s="3"/>
      <c r="I805" s="3"/>
      <c r="J805" s="3"/>
      <c r="K805" s="3"/>
      <c r="L805" s="3"/>
      <c r="M805" s="3"/>
      <c r="N805" s="3"/>
      <c r="O805" s="3"/>
      <c r="P805" s="3"/>
      <c r="Q805" s="3"/>
      <c r="R805" s="3"/>
    </row>
    <row r="806" spans="1:18" x14ac:dyDescent="0.3">
      <c r="A806" s="3"/>
      <c r="B806" s="3"/>
      <c r="C806" s="3"/>
      <c r="D806" s="3"/>
      <c r="E806" s="3"/>
      <c r="F806" s="3"/>
      <c r="G806" s="3"/>
      <c r="H806" s="3"/>
      <c r="I806" s="3"/>
      <c r="J806" s="3"/>
      <c r="K806" s="3"/>
      <c r="L806" s="3"/>
      <c r="M806" s="3"/>
      <c r="N806" s="3"/>
      <c r="O806" s="3"/>
      <c r="P806" s="3"/>
      <c r="Q806" s="3"/>
      <c r="R806" s="3"/>
    </row>
    <row r="807" spans="1:18" x14ac:dyDescent="0.3">
      <c r="A807" s="3"/>
      <c r="B807" s="3"/>
      <c r="C807" s="3"/>
      <c r="D807" s="3"/>
      <c r="E807" s="3"/>
      <c r="F807" s="3"/>
      <c r="G807" s="3"/>
      <c r="H807" s="3"/>
      <c r="I807" s="3"/>
      <c r="J807" s="3"/>
      <c r="K807" s="3"/>
      <c r="L807" s="3"/>
      <c r="M807" s="3"/>
      <c r="N807" s="3"/>
      <c r="O807" s="3"/>
      <c r="P807" s="3"/>
      <c r="Q807" s="3"/>
      <c r="R807" s="3"/>
    </row>
    <row r="808" spans="1:18" x14ac:dyDescent="0.3">
      <c r="A808" s="3"/>
      <c r="B808" s="3"/>
      <c r="C808" s="3"/>
      <c r="D808" s="3"/>
      <c r="E808" s="3"/>
      <c r="F808" s="3"/>
      <c r="G808" s="3"/>
      <c r="H808" s="3"/>
      <c r="I808" s="3"/>
      <c r="J808" s="3"/>
      <c r="K808" s="3"/>
      <c r="L808" s="3"/>
      <c r="M808" s="3"/>
      <c r="N808" s="3"/>
      <c r="O808" s="3"/>
      <c r="P808" s="3"/>
      <c r="Q808" s="3"/>
      <c r="R808" s="3"/>
    </row>
    <row r="809" spans="1:18" x14ac:dyDescent="0.3">
      <c r="A809" s="3"/>
      <c r="B809" s="3"/>
      <c r="C809" s="3"/>
      <c r="D809" s="3"/>
      <c r="E809" s="3"/>
      <c r="F809" s="3"/>
      <c r="G809" s="3"/>
      <c r="H809" s="3"/>
      <c r="I809" s="3"/>
      <c r="J809" s="3"/>
      <c r="K809" s="3"/>
      <c r="L809" s="3"/>
      <c r="M809" s="3"/>
      <c r="N809" s="3"/>
      <c r="O809" s="3"/>
      <c r="P809" s="3"/>
      <c r="Q809" s="3"/>
      <c r="R809" s="3"/>
    </row>
    <row r="810" spans="1:18" x14ac:dyDescent="0.3">
      <c r="A810" s="3"/>
      <c r="B810" s="3"/>
      <c r="C810" s="3"/>
      <c r="D810" s="3"/>
      <c r="E810" s="3"/>
      <c r="F810" s="3"/>
      <c r="G810" s="3"/>
      <c r="H810" s="3"/>
      <c r="I810" s="3"/>
      <c r="J810" s="3"/>
      <c r="K810" s="3"/>
      <c r="L810" s="3"/>
      <c r="M810" s="3"/>
      <c r="N810" s="3"/>
      <c r="O810" s="3"/>
      <c r="P810" s="3"/>
      <c r="Q810" s="3"/>
      <c r="R810" s="3"/>
    </row>
    <row r="811" spans="1:18" x14ac:dyDescent="0.3">
      <c r="A811" s="3"/>
      <c r="B811" s="3"/>
      <c r="C811" s="3"/>
      <c r="D811" s="3"/>
      <c r="E811" s="3"/>
      <c r="F811" s="3"/>
      <c r="G811" s="3"/>
      <c r="H811" s="3"/>
      <c r="I811" s="3"/>
      <c r="J811" s="3"/>
      <c r="K811" s="3"/>
      <c r="L811" s="3"/>
      <c r="M811" s="3"/>
      <c r="N811" s="3"/>
      <c r="O811" s="3"/>
      <c r="P811" s="3"/>
      <c r="Q811" s="3"/>
      <c r="R811" s="3"/>
    </row>
    <row r="812" spans="1:18" x14ac:dyDescent="0.3">
      <c r="A812" s="3"/>
      <c r="B812" s="3"/>
      <c r="C812" s="3"/>
      <c r="D812" s="3"/>
      <c r="E812" s="3"/>
      <c r="F812" s="3"/>
      <c r="G812" s="3"/>
      <c r="H812" s="3"/>
      <c r="I812" s="3"/>
      <c r="J812" s="3"/>
      <c r="K812" s="3"/>
      <c r="L812" s="3"/>
      <c r="M812" s="3"/>
      <c r="N812" s="3"/>
      <c r="O812" s="3"/>
      <c r="P812" s="3"/>
      <c r="Q812" s="3"/>
      <c r="R812" s="3"/>
    </row>
    <row r="813" spans="1:18" x14ac:dyDescent="0.3">
      <c r="A813" s="3"/>
      <c r="B813" s="3"/>
      <c r="C813" s="3"/>
      <c r="D813" s="3"/>
      <c r="E813" s="3"/>
      <c r="F813" s="3"/>
      <c r="G813" s="3"/>
      <c r="H813" s="3"/>
      <c r="I813" s="3"/>
      <c r="J813" s="3"/>
      <c r="K813" s="3"/>
      <c r="L813" s="3"/>
      <c r="M813" s="3"/>
      <c r="N813" s="3"/>
      <c r="O813" s="3"/>
      <c r="P813" s="3"/>
      <c r="Q813" s="3"/>
      <c r="R813" s="3"/>
    </row>
    <row r="814" spans="1:18" x14ac:dyDescent="0.3">
      <c r="A814" s="3"/>
      <c r="B814" s="3"/>
      <c r="C814" s="3"/>
      <c r="D814" s="3"/>
      <c r="E814" s="3"/>
      <c r="F814" s="3"/>
      <c r="G814" s="3"/>
      <c r="H814" s="3"/>
      <c r="I814" s="3"/>
      <c r="J814" s="3"/>
      <c r="K814" s="3"/>
      <c r="L814" s="3"/>
      <c r="M814" s="3"/>
      <c r="N814" s="3"/>
      <c r="O814" s="3"/>
      <c r="P814" s="3"/>
      <c r="Q814" s="3"/>
      <c r="R814" s="3"/>
    </row>
    <row r="815" spans="1:18" x14ac:dyDescent="0.3">
      <c r="A815" s="3"/>
      <c r="B815" s="3"/>
      <c r="C815" s="3"/>
      <c r="D815" s="3"/>
      <c r="E815" s="3"/>
      <c r="F815" s="3"/>
      <c r="G815" s="3"/>
      <c r="H815" s="3"/>
      <c r="I815" s="3"/>
      <c r="J815" s="3"/>
      <c r="K815" s="3"/>
      <c r="L815" s="3"/>
      <c r="M815" s="3"/>
      <c r="N815" s="3"/>
      <c r="O815" s="3"/>
      <c r="P815" s="3"/>
      <c r="Q815" s="3"/>
      <c r="R815" s="3"/>
    </row>
    <row r="816" spans="1:18" x14ac:dyDescent="0.3">
      <c r="A816" s="3"/>
      <c r="B816" s="3"/>
      <c r="C816" s="3"/>
      <c r="D816" s="3"/>
      <c r="E816" s="3"/>
      <c r="F816" s="3"/>
      <c r="G816" s="3"/>
      <c r="H816" s="3"/>
      <c r="I816" s="3"/>
      <c r="J816" s="3"/>
      <c r="K816" s="3"/>
      <c r="L816" s="3"/>
      <c r="M816" s="3"/>
      <c r="N816" s="3"/>
      <c r="O816" s="3"/>
      <c r="P816" s="3"/>
      <c r="Q816" s="3"/>
      <c r="R816" s="3"/>
    </row>
    <row r="817" spans="1:18" x14ac:dyDescent="0.3">
      <c r="A817" s="3"/>
      <c r="B817" s="3"/>
      <c r="C817" s="3"/>
      <c r="D817" s="3"/>
      <c r="E817" s="3"/>
      <c r="F817" s="3"/>
      <c r="G817" s="3"/>
      <c r="H817" s="3"/>
      <c r="I817" s="3"/>
      <c r="J817" s="3"/>
      <c r="K817" s="3"/>
      <c r="L817" s="3"/>
      <c r="M817" s="3"/>
      <c r="N817" s="3"/>
      <c r="O817" s="3"/>
      <c r="P817" s="3"/>
      <c r="Q817" s="3"/>
      <c r="R817" s="3"/>
    </row>
    <row r="818" spans="1:18" x14ac:dyDescent="0.3">
      <c r="A818" s="3"/>
      <c r="B818" s="3"/>
      <c r="C818" s="3"/>
      <c r="D818" s="3"/>
      <c r="E818" s="3"/>
      <c r="F818" s="3"/>
      <c r="G818" s="3"/>
      <c r="H818" s="3"/>
      <c r="I818" s="3"/>
      <c r="J818" s="3"/>
      <c r="K818" s="3"/>
      <c r="L818" s="3"/>
      <c r="M818" s="3"/>
      <c r="N818" s="3"/>
      <c r="O818" s="3"/>
      <c r="P818" s="3"/>
      <c r="Q818" s="3"/>
      <c r="R818" s="3"/>
    </row>
    <row r="819" spans="1:18" x14ac:dyDescent="0.3">
      <c r="A819" s="3"/>
      <c r="B819" s="3"/>
      <c r="C819" s="3"/>
      <c r="D819" s="3"/>
      <c r="E819" s="3"/>
      <c r="F819" s="3"/>
      <c r="G819" s="3"/>
      <c r="H819" s="3"/>
      <c r="I819" s="3"/>
      <c r="J819" s="3"/>
      <c r="K819" s="3"/>
      <c r="L819" s="3"/>
      <c r="M819" s="3"/>
      <c r="N819" s="3"/>
      <c r="O819" s="3"/>
      <c r="P819" s="3"/>
      <c r="Q819" s="3"/>
      <c r="R819" s="3"/>
    </row>
    <row r="820" spans="1:18" x14ac:dyDescent="0.3">
      <c r="A820" s="3"/>
      <c r="B820" s="3"/>
      <c r="C820" s="3"/>
      <c r="D820" s="3"/>
      <c r="E820" s="3"/>
      <c r="F820" s="3"/>
      <c r="G820" s="3"/>
      <c r="H820" s="3"/>
      <c r="I820" s="3"/>
      <c r="J820" s="3"/>
      <c r="K820" s="3"/>
      <c r="L820" s="3"/>
      <c r="M820" s="3"/>
      <c r="N820" s="3"/>
      <c r="O820" s="3"/>
      <c r="P820" s="3"/>
      <c r="Q820" s="3"/>
      <c r="R820" s="3"/>
    </row>
    <row r="821" spans="1:18" x14ac:dyDescent="0.3">
      <c r="A821" s="3"/>
      <c r="B821" s="3"/>
      <c r="C821" s="3"/>
      <c r="D821" s="3"/>
      <c r="E821" s="3"/>
      <c r="F821" s="3"/>
      <c r="G821" s="3"/>
      <c r="H821" s="3"/>
      <c r="I821" s="3"/>
      <c r="J821" s="3"/>
      <c r="K821" s="3"/>
      <c r="L821" s="3"/>
      <c r="M821" s="3"/>
      <c r="N821" s="3"/>
      <c r="O821" s="3"/>
      <c r="P821" s="3"/>
      <c r="Q821" s="3"/>
      <c r="R821" s="3"/>
    </row>
    <row r="822" spans="1:18" x14ac:dyDescent="0.3">
      <c r="A822" s="3"/>
      <c r="B822" s="3"/>
      <c r="C822" s="3"/>
      <c r="D822" s="3"/>
      <c r="E822" s="3"/>
      <c r="F822" s="3"/>
      <c r="G822" s="3"/>
      <c r="H822" s="3"/>
      <c r="I822" s="3"/>
      <c r="J822" s="3"/>
      <c r="K822" s="3"/>
      <c r="L822" s="3"/>
      <c r="M822" s="3"/>
      <c r="N822" s="3"/>
      <c r="O822" s="3"/>
      <c r="P822" s="3"/>
      <c r="Q822" s="3"/>
      <c r="R822" s="3"/>
    </row>
    <row r="823" spans="1:18" x14ac:dyDescent="0.3">
      <c r="A823" s="3"/>
      <c r="B823" s="3"/>
      <c r="C823" s="3"/>
      <c r="D823" s="3"/>
      <c r="E823" s="3"/>
      <c r="F823" s="3"/>
      <c r="G823" s="3"/>
      <c r="H823" s="3"/>
      <c r="I823" s="3"/>
      <c r="J823" s="3"/>
      <c r="K823" s="3"/>
      <c r="L823" s="3"/>
      <c r="M823" s="3"/>
      <c r="N823" s="3"/>
      <c r="O823" s="3"/>
      <c r="P823" s="3"/>
      <c r="Q823" s="3"/>
      <c r="R823" s="3"/>
    </row>
    <row r="824" spans="1:18" x14ac:dyDescent="0.3">
      <c r="A824" s="3"/>
      <c r="B824" s="3"/>
      <c r="C824" s="3"/>
      <c r="D824" s="3"/>
      <c r="E824" s="3"/>
      <c r="F824" s="3"/>
      <c r="G824" s="3"/>
      <c r="H824" s="3"/>
      <c r="I824" s="3"/>
      <c r="J824" s="3"/>
      <c r="K824" s="3"/>
      <c r="L824" s="3"/>
      <c r="M824" s="3"/>
      <c r="N824" s="3"/>
      <c r="O824" s="3"/>
      <c r="P824" s="3"/>
      <c r="Q824" s="3"/>
      <c r="R824" s="3"/>
    </row>
    <row r="825" spans="1:18" x14ac:dyDescent="0.3">
      <c r="A825" s="3"/>
      <c r="B825" s="3"/>
      <c r="C825" s="3"/>
      <c r="D825" s="3"/>
      <c r="E825" s="3"/>
      <c r="F825" s="3"/>
      <c r="G825" s="3"/>
      <c r="H825" s="3"/>
      <c r="I825" s="3"/>
      <c r="J825" s="3"/>
      <c r="K825" s="3"/>
      <c r="L825" s="3"/>
      <c r="M825" s="3"/>
      <c r="N825" s="3"/>
      <c r="O825" s="3"/>
      <c r="P825" s="3"/>
      <c r="Q825" s="3"/>
      <c r="R825" s="3"/>
    </row>
    <row r="826" spans="1:18" x14ac:dyDescent="0.3">
      <c r="A826" s="3"/>
      <c r="B826" s="3"/>
      <c r="C826" s="3"/>
      <c r="D826" s="3"/>
      <c r="E826" s="3"/>
      <c r="F826" s="3"/>
      <c r="G826" s="3"/>
      <c r="H826" s="3"/>
      <c r="I826" s="3"/>
      <c r="J826" s="3"/>
      <c r="K826" s="3"/>
      <c r="L826" s="3"/>
      <c r="M826" s="3"/>
      <c r="N826" s="3"/>
      <c r="O826" s="3"/>
      <c r="P826" s="3"/>
      <c r="Q826" s="3"/>
      <c r="R826" s="3"/>
    </row>
    <row r="827" spans="1:18" x14ac:dyDescent="0.3">
      <c r="A827" s="3"/>
      <c r="B827" s="3"/>
      <c r="C827" s="3"/>
      <c r="D827" s="3"/>
      <c r="E827" s="3"/>
      <c r="F827" s="3"/>
      <c r="G827" s="3"/>
      <c r="H827" s="3"/>
      <c r="I827" s="3"/>
      <c r="J827" s="3"/>
      <c r="K827" s="3"/>
      <c r="L827" s="3"/>
      <c r="M827" s="3"/>
      <c r="N827" s="3"/>
      <c r="O827" s="3"/>
      <c r="P827" s="3"/>
      <c r="Q827" s="3"/>
      <c r="R827" s="3"/>
    </row>
    <row r="828" spans="1:18" x14ac:dyDescent="0.3">
      <c r="A828" s="3"/>
      <c r="B828" s="3"/>
      <c r="C828" s="3"/>
      <c r="D828" s="3"/>
      <c r="E828" s="3"/>
      <c r="F828" s="3"/>
      <c r="G828" s="3"/>
      <c r="H828" s="3"/>
      <c r="I828" s="3"/>
      <c r="J828" s="3"/>
      <c r="K828" s="3"/>
      <c r="L828" s="3"/>
      <c r="M828" s="3"/>
      <c r="N828" s="3"/>
      <c r="O828" s="3"/>
      <c r="P828" s="3"/>
      <c r="Q828" s="3"/>
      <c r="R828" s="3"/>
    </row>
    <row r="829" spans="1:18" x14ac:dyDescent="0.3">
      <c r="A829" s="3"/>
      <c r="B829" s="3"/>
      <c r="C829" s="3"/>
      <c r="D829" s="3"/>
      <c r="E829" s="3"/>
      <c r="F829" s="3"/>
      <c r="G829" s="3"/>
      <c r="H829" s="3"/>
      <c r="I829" s="3"/>
      <c r="J829" s="3"/>
      <c r="K829" s="3"/>
      <c r="L829" s="3"/>
      <c r="M829" s="3"/>
      <c r="N829" s="3"/>
      <c r="O829" s="3"/>
      <c r="P829" s="3"/>
      <c r="Q829" s="3"/>
      <c r="R829" s="3"/>
    </row>
    <row r="830" spans="1:18" x14ac:dyDescent="0.3">
      <c r="A830" s="3"/>
      <c r="B830" s="3"/>
      <c r="C830" s="3"/>
      <c r="D830" s="3"/>
      <c r="E830" s="3"/>
      <c r="F830" s="3"/>
      <c r="G830" s="3"/>
      <c r="H830" s="3"/>
      <c r="I830" s="3"/>
      <c r="J830" s="3"/>
      <c r="K830" s="3"/>
      <c r="L830" s="3"/>
      <c r="M830" s="3"/>
      <c r="N830" s="3"/>
      <c r="O830" s="3"/>
      <c r="P830" s="3"/>
      <c r="Q830" s="3"/>
      <c r="R830" s="3"/>
    </row>
    <row r="831" spans="1:18" x14ac:dyDescent="0.3">
      <c r="A831" s="3"/>
      <c r="B831" s="3"/>
      <c r="C831" s="3"/>
      <c r="D831" s="3"/>
      <c r="E831" s="3"/>
      <c r="F831" s="3"/>
      <c r="G831" s="3"/>
      <c r="H831" s="3"/>
      <c r="I831" s="3"/>
      <c r="J831" s="3"/>
      <c r="K831" s="3"/>
      <c r="L831" s="3"/>
      <c r="M831" s="3"/>
      <c r="N831" s="3"/>
      <c r="O831" s="3"/>
      <c r="P831" s="3"/>
      <c r="Q831" s="3"/>
      <c r="R831" s="3"/>
    </row>
    <row r="832" spans="1:18" x14ac:dyDescent="0.3">
      <c r="A832" s="3"/>
      <c r="B832" s="3"/>
      <c r="C832" s="3"/>
      <c r="D832" s="3"/>
      <c r="E832" s="3"/>
      <c r="F832" s="3"/>
      <c r="G832" s="3"/>
      <c r="H832" s="3"/>
      <c r="I832" s="3"/>
      <c r="J832" s="3"/>
      <c r="K832" s="3"/>
      <c r="L832" s="3"/>
      <c r="M832" s="3"/>
      <c r="N832" s="3"/>
      <c r="O832" s="3"/>
      <c r="P832" s="3"/>
      <c r="Q832" s="3"/>
      <c r="R832" s="3"/>
    </row>
    <row r="833" spans="1:18" x14ac:dyDescent="0.3">
      <c r="A833" s="3"/>
      <c r="B833" s="3"/>
      <c r="C833" s="3"/>
      <c r="D833" s="3"/>
      <c r="E833" s="3"/>
      <c r="F833" s="3"/>
      <c r="G833" s="3"/>
      <c r="H833" s="3"/>
      <c r="I833" s="3"/>
      <c r="J833" s="3"/>
      <c r="K833" s="3"/>
      <c r="L833" s="3"/>
      <c r="M833" s="3"/>
      <c r="N833" s="3"/>
      <c r="O833" s="3"/>
      <c r="P833" s="3"/>
      <c r="Q833" s="3"/>
      <c r="R833" s="3"/>
    </row>
    <row r="834" spans="1:18" x14ac:dyDescent="0.3">
      <c r="A834" s="3"/>
      <c r="B834" s="3"/>
      <c r="C834" s="3"/>
      <c r="D834" s="3"/>
      <c r="E834" s="3"/>
      <c r="F834" s="3"/>
      <c r="G834" s="3"/>
      <c r="H834" s="3"/>
      <c r="I834" s="3"/>
      <c r="J834" s="3"/>
      <c r="K834" s="3"/>
      <c r="L834" s="3"/>
      <c r="M834" s="3"/>
      <c r="N834" s="3"/>
      <c r="O834" s="3"/>
      <c r="P834" s="3"/>
      <c r="Q834" s="3"/>
      <c r="R834" s="3"/>
    </row>
    <row r="835" spans="1:18" x14ac:dyDescent="0.3">
      <c r="A835" s="3"/>
      <c r="B835" s="3"/>
      <c r="C835" s="3"/>
      <c r="D835" s="3"/>
      <c r="E835" s="3"/>
      <c r="F835" s="3"/>
      <c r="G835" s="3"/>
      <c r="H835" s="3"/>
      <c r="I835" s="3"/>
      <c r="J835" s="3"/>
      <c r="K835" s="3"/>
      <c r="L835" s="3"/>
      <c r="M835" s="3"/>
      <c r="N835" s="3"/>
      <c r="O835" s="3"/>
      <c r="P835" s="3"/>
      <c r="Q835" s="3"/>
      <c r="R835" s="3"/>
    </row>
    <row r="836" spans="1:18" x14ac:dyDescent="0.3">
      <c r="A836" s="3"/>
      <c r="B836" s="3"/>
      <c r="C836" s="3"/>
      <c r="D836" s="3"/>
      <c r="E836" s="3"/>
      <c r="F836" s="3"/>
      <c r="G836" s="3"/>
      <c r="H836" s="3"/>
      <c r="I836" s="3"/>
      <c r="J836" s="3"/>
      <c r="K836" s="3"/>
      <c r="L836" s="3"/>
      <c r="M836" s="3"/>
      <c r="N836" s="3"/>
      <c r="O836" s="3"/>
      <c r="P836" s="3"/>
      <c r="Q836" s="3"/>
      <c r="R836" s="3"/>
    </row>
    <row r="837" spans="1:18" x14ac:dyDescent="0.3">
      <c r="A837" s="3"/>
      <c r="B837" s="3"/>
      <c r="C837" s="3"/>
      <c r="D837" s="3"/>
      <c r="E837" s="3"/>
      <c r="F837" s="3"/>
      <c r="G837" s="3"/>
      <c r="H837" s="3"/>
      <c r="I837" s="3"/>
      <c r="J837" s="3"/>
      <c r="K837" s="3"/>
      <c r="L837" s="3"/>
      <c r="M837" s="3"/>
      <c r="N837" s="3"/>
      <c r="O837" s="3"/>
      <c r="P837" s="3"/>
      <c r="Q837" s="3"/>
      <c r="R837" s="3"/>
    </row>
    <row r="838" spans="1:18" x14ac:dyDescent="0.3">
      <c r="A838" s="3"/>
      <c r="B838" s="3"/>
      <c r="C838" s="3"/>
      <c r="D838" s="3"/>
      <c r="E838" s="3"/>
      <c r="F838" s="3"/>
      <c r="G838" s="3"/>
      <c r="H838" s="3"/>
      <c r="I838" s="3"/>
      <c r="J838" s="3"/>
      <c r="K838" s="3"/>
      <c r="L838" s="3"/>
      <c r="M838" s="3"/>
      <c r="N838" s="3"/>
      <c r="O838" s="3"/>
      <c r="P838" s="3"/>
      <c r="Q838" s="3"/>
      <c r="R838" s="3"/>
    </row>
    <row r="839" spans="1:18" x14ac:dyDescent="0.3">
      <c r="A839" s="3"/>
      <c r="B839" s="3"/>
      <c r="C839" s="3"/>
      <c r="D839" s="3"/>
      <c r="E839" s="3"/>
      <c r="F839" s="3"/>
      <c r="G839" s="3"/>
      <c r="H839" s="3"/>
      <c r="I839" s="3"/>
      <c r="J839" s="3"/>
      <c r="K839" s="3"/>
      <c r="L839" s="3"/>
      <c r="M839" s="3"/>
      <c r="N839" s="3"/>
      <c r="O839" s="3"/>
      <c r="P839" s="3"/>
      <c r="Q839" s="3"/>
      <c r="R839" s="3"/>
    </row>
    <row r="840" spans="1:18" x14ac:dyDescent="0.3">
      <c r="A840" s="3"/>
      <c r="B840" s="3"/>
      <c r="C840" s="3"/>
      <c r="D840" s="3"/>
      <c r="E840" s="3"/>
      <c r="F840" s="3"/>
      <c r="G840" s="3"/>
      <c r="H840" s="3"/>
      <c r="I840" s="3"/>
      <c r="J840" s="3"/>
      <c r="K840" s="3"/>
      <c r="L840" s="3"/>
      <c r="M840" s="3"/>
      <c r="N840" s="3"/>
      <c r="O840" s="3"/>
      <c r="P840" s="3"/>
      <c r="Q840" s="3"/>
      <c r="R840" s="3"/>
    </row>
    <row r="841" spans="1:18" x14ac:dyDescent="0.3">
      <c r="A841" s="3"/>
      <c r="B841" s="3"/>
      <c r="C841" s="3"/>
      <c r="D841" s="3"/>
      <c r="E841" s="3"/>
      <c r="F841" s="3"/>
      <c r="G841" s="3"/>
      <c r="H841" s="3"/>
      <c r="I841" s="3"/>
      <c r="J841" s="3"/>
      <c r="K841" s="3"/>
      <c r="L841" s="3"/>
      <c r="M841" s="3"/>
      <c r="N841" s="3"/>
      <c r="O841" s="3"/>
      <c r="P841" s="3"/>
      <c r="Q841" s="3"/>
      <c r="R841" s="3"/>
    </row>
    <row r="842" spans="1:18" x14ac:dyDescent="0.3">
      <c r="A842" s="3"/>
      <c r="B842" s="3"/>
      <c r="C842" s="3"/>
      <c r="D842" s="3"/>
      <c r="E842" s="3"/>
      <c r="F842" s="3"/>
      <c r="G842" s="3"/>
      <c r="H842" s="3"/>
      <c r="I842" s="3"/>
      <c r="J842" s="3"/>
      <c r="K842" s="3"/>
      <c r="L842" s="3"/>
      <c r="M842" s="3"/>
      <c r="N842" s="3"/>
      <c r="O842" s="3"/>
      <c r="P842" s="3"/>
      <c r="Q842" s="3"/>
      <c r="R842" s="3"/>
    </row>
    <row r="843" spans="1:18" x14ac:dyDescent="0.3">
      <c r="A843" s="3"/>
      <c r="B843" s="3"/>
      <c r="C843" s="3"/>
      <c r="D843" s="3"/>
      <c r="E843" s="3"/>
      <c r="F843" s="3"/>
      <c r="G843" s="3"/>
      <c r="H843" s="3"/>
      <c r="I843" s="3"/>
      <c r="J843" s="3"/>
      <c r="K843" s="3"/>
      <c r="L843" s="3"/>
      <c r="M843" s="3"/>
      <c r="N843" s="3"/>
      <c r="O843" s="3"/>
      <c r="P843" s="3"/>
      <c r="Q843" s="3"/>
      <c r="R843" s="3"/>
    </row>
    <row r="844" spans="1:18" x14ac:dyDescent="0.3">
      <c r="A844" s="3"/>
      <c r="B844" s="3"/>
      <c r="C844" s="3"/>
      <c r="D844" s="3"/>
      <c r="E844" s="3"/>
      <c r="F844" s="3"/>
      <c r="G844" s="3"/>
      <c r="H844" s="3"/>
      <c r="I844" s="3"/>
      <c r="J844" s="3"/>
      <c r="K844" s="3"/>
      <c r="L844" s="3"/>
      <c r="M844" s="3"/>
      <c r="N844" s="3"/>
      <c r="O844" s="3"/>
      <c r="P844" s="3"/>
      <c r="Q844" s="3"/>
      <c r="R844" s="3"/>
    </row>
    <row r="845" spans="1:18" x14ac:dyDescent="0.3">
      <c r="A845" s="3"/>
      <c r="B845" s="3"/>
      <c r="C845" s="3"/>
      <c r="D845" s="3"/>
      <c r="E845" s="3"/>
      <c r="F845" s="3"/>
      <c r="G845" s="3"/>
      <c r="H845" s="3"/>
      <c r="I845" s="3"/>
      <c r="J845" s="3"/>
      <c r="K845" s="3"/>
      <c r="L845" s="3"/>
      <c r="M845" s="3"/>
      <c r="N845" s="3"/>
      <c r="O845" s="3"/>
      <c r="P845" s="3"/>
      <c r="Q845" s="3"/>
      <c r="R845" s="3"/>
    </row>
    <row r="846" spans="1:18" x14ac:dyDescent="0.3">
      <c r="A846" s="3"/>
      <c r="B846" s="3"/>
      <c r="C846" s="3"/>
      <c r="D846" s="3"/>
      <c r="E846" s="3"/>
      <c r="F846" s="3"/>
      <c r="G846" s="3"/>
      <c r="H846" s="3"/>
      <c r="I846" s="3"/>
      <c r="J846" s="3"/>
      <c r="K846" s="3"/>
      <c r="L846" s="3"/>
      <c r="M846" s="3"/>
      <c r="N846" s="3"/>
      <c r="O846" s="3"/>
      <c r="P846" s="3"/>
      <c r="Q846" s="3"/>
      <c r="R846" s="3"/>
    </row>
    <row r="847" spans="1:18" x14ac:dyDescent="0.3">
      <c r="A847" s="3"/>
      <c r="B847" s="3"/>
      <c r="C847" s="3"/>
      <c r="D847" s="3"/>
      <c r="E847" s="3"/>
      <c r="F847" s="3"/>
      <c r="G847" s="3"/>
      <c r="H847" s="3"/>
      <c r="I847" s="3"/>
      <c r="J847" s="3"/>
      <c r="K847" s="3"/>
      <c r="L847" s="3"/>
      <c r="M847" s="3"/>
      <c r="N847" s="3"/>
      <c r="O847" s="3"/>
      <c r="P847" s="3"/>
      <c r="Q847" s="3"/>
      <c r="R847" s="3"/>
    </row>
    <row r="848" spans="1:18" x14ac:dyDescent="0.3">
      <c r="A848" s="3"/>
      <c r="B848" s="3"/>
      <c r="C848" s="3"/>
      <c r="D848" s="3"/>
      <c r="E848" s="3"/>
      <c r="F848" s="3"/>
      <c r="G848" s="3"/>
      <c r="H848" s="3"/>
      <c r="I848" s="3"/>
      <c r="J848" s="3"/>
      <c r="K848" s="3"/>
      <c r="L848" s="3"/>
      <c r="M848" s="3"/>
      <c r="N848" s="3"/>
      <c r="O848" s="3"/>
      <c r="P848" s="3"/>
      <c r="Q848" s="3"/>
      <c r="R848" s="3"/>
    </row>
    <row r="849" spans="1:18" x14ac:dyDescent="0.3">
      <c r="A849" s="3"/>
      <c r="B849" s="3"/>
      <c r="C849" s="3"/>
      <c r="D849" s="3"/>
      <c r="E849" s="3"/>
      <c r="F849" s="3"/>
      <c r="G849" s="3"/>
      <c r="H849" s="3"/>
      <c r="I849" s="3"/>
      <c r="J849" s="3"/>
      <c r="K849" s="3"/>
      <c r="L849" s="3"/>
      <c r="M849" s="3"/>
      <c r="N849" s="3"/>
      <c r="O849" s="3"/>
      <c r="P849" s="3"/>
      <c r="Q849" s="3"/>
      <c r="R849" s="3"/>
    </row>
    <row r="850" spans="1:18" x14ac:dyDescent="0.3">
      <c r="A850" s="3"/>
      <c r="B850" s="3"/>
      <c r="C850" s="3"/>
      <c r="D850" s="3"/>
      <c r="E850" s="3"/>
      <c r="F850" s="3"/>
      <c r="G850" s="3"/>
      <c r="H850" s="3"/>
      <c r="I850" s="3"/>
      <c r="J850" s="3"/>
      <c r="K850" s="3"/>
      <c r="L850" s="3"/>
      <c r="M850" s="3"/>
      <c r="N850" s="3"/>
      <c r="O850" s="3"/>
      <c r="P850" s="3"/>
      <c r="Q850" s="3"/>
      <c r="R850" s="3"/>
    </row>
    <row r="851" spans="1:18" x14ac:dyDescent="0.3">
      <c r="A851" s="3"/>
      <c r="B851" s="3"/>
      <c r="C851" s="3"/>
      <c r="D851" s="3"/>
      <c r="E851" s="3"/>
      <c r="F851" s="3"/>
      <c r="G851" s="3"/>
      <c r="H851" s="3"/>
      <c r="I851" s="3"/>
      <c r="J851" s="3"/>
      <c r="K851" s="3"/>
      <c r="L851" s="3"/>
      <c r="M851" s="3"/>
      <c r="N851" s="3"/>
      <c r="O851" s="3"/>
      <c r="P851" s="3"/>
      <c r="Q851" s="3"/>
      <c r="R851" s="3"/>
    </row>
    <row r="852" spans="1:18" x14ac:dyDescent="0.3">
      <c r="A852" s="3"/>
      <c r="B852" s="3"/>
      <c r="C852" s="3"/>
      <c r="D852" s="3"/>
      <c r="E852" s="3"/>
      <c r="F852" s="3"/>
      <c r="G852" s="3"/>
      <c r="H852" s="3"/>
      <c r="I852" s="3"/>
      <c r="J852" s="3"/>
      <c r="K852" s="3"/>
      <c r="L852" s="3"/>
      <c r="M852" s="3"/>
      <c r="N852" s="3"/>
      <c r="O852" s="3"/>
      <c r="P852" s="3"/>
      <c r="Q852" s="3"/>
      <c r="R852" s="3"/>
    </row>
    <row r="853" spans="1:18" x14ac:dyDescent="0.3">
      <c r="A853" s="3"/>
      <c r="B853" s="3"/>
      <c r="C853" s="3"/>
      <c r="D853" s="3"/>
      <c r="E853" s="3"/>
      <c r="F853" s="3"/>
      <c r="G853" s="3"/>
      <c r="H853" s="3"/>
      <c r="I853" s="3"/>
      <c r="J853" s="3"/>
      <c r="K853" s="3"/>
      <c r="L853" s="3"/>
      <c r="M853" s="3"/>
      <c r="N853" s="3"/>
      <c r="O853" s="3"/>
      <c r="P853" s="3"/>
      <c r="Q853" s="3"/>
      <c r="R853" s="3"/>
    </row>
    <row r="854" spans="1:18" x14ac:dyDescent="0.3">
      <c r="A854" s="3"/>
      <c r="B854" s="3"/>
      <c r="C854" s="3"/>
      <c r="D854" s="3"/>
      <c r="E854" s="3"/>
      <c r="F854" s="3"/>
      <c r="G854" s="3"/>
      <c r="H854" s="3"/>
      <c r="I854" s="3"/>
      <c r="J854" s="3"/>
      <c r="K854" s="3"/>
      <c r="L854" s="3"/>
      <c r="M854" s="3"/>
      <c r="N854" s="3"/>
      <c r="O854" s="3"/>
      <c r="P854" s="3"/>
      <c r="Q854" s="3"/>
      <c r="R854" s="3"/>
    </row>
    <row r="855" spans="1:18" x14ac:dyDescent="0.3">
      <c r="A855" s="3"/>
      <c r="B855" s="3"/>
      <c r="C855" s="3"/>
      <c r="D855" s="3"/>
      <c r="E855" s="3"/>
      <c r="F855" s="3"/>
      <c r="G855" s="3"/>
      <c r="H855" s="3"/>
      <c r="I855" s="3"/>
      <c r="J855" s="3"/>
      <c r="K855" s="3"/>
      <c r="L855" s="3"/>
      <c r="M855" s="3"/>
      <c r="N855" s="3"/>
      <c r="O855" s="3"/>
      <c r="P855" s="3"/>
      <c r="Q855" s="3"/>
      <c r="R855" s="3"/>
    </row>
    <row r="856" spans="1:18" x14ac:dyDescent="0.3">
      <c r="A856" s="3"/>
      <c r="B856" s="3"/>
      <c r="C856" s="3"/>
      <c r="D856" s="3"/>
      <c r="E856" s="3"/>
      <c r="F856" s="3"/>
      <c r="G856" s="3"/>
      <c r="H856" s="3"/>
      <c r="I856" s="3"/>
      <c r="J856" s="3"/>
      <c r="K856" s="3"/>
      <c r="L856" s="3"/>
      <c r="M856" s="3"/>
      <c r="N856" s="3"/>
      <c r="O856" s="3"/>
      <c r="P856" s="3"/>
      <c r="Q856" s="3"/>
      <c r="R856" s="3"/>
    </row>
    <row r="857" spans="1:18" x14ac:dyDescent="0.3">
      <c r="A857" s="3"/>
      <c r="B857" s="3"/>
      <c r="C857" s="3"/>
      <c r="D857" s="3"/>
      <c r="E857" s="3"/>
      <c r="F857" s="3"/>
      <c r="G857" s="3"/>
      <c r="H857" s="3"/>
      <c r="I857" s="3"/>
      <c r="J857" s="3"/>
      <c r="K857" s="3"/>
      <c r="L857" s="3"/>
      <c r="M857" s="3"/>
      <c r="N857" s="3"/>
      <c r="O857" s="3"/>
      <c r="P857" s="3"/>
      <c r="Q857" s="3"/>
      <c r="R857" s="3"/>
    </row>
    <row r="858" spans="1:18" x14ac:dyDescent="0.3">
      <c r="A858" s="3"/>
      <c r="B858" s="3"/>
      <c r="C858" s="3"/>
      <c r="D858" s="3"/>
      <c r="E858" s="3"/>
      <c r="F858" s="3"/>
      <c r="G858" s="3"/>
      <c r="H858" s="3"/>
      <c r="I858" s="3"/>
      <c r="J858" s="3"/>
      <c r="K858" s="3"/>
      <c r="L858" s="3"/>
      <c r="M858" s="3"/>
      <c r="N858" s="3"/>
      <c r="O858" s="3"/>
      <c r="P858" s="3"/>
      <c r="Q858" s="3"/>
      <c r="R858" s="3"/>
    </row>
    <row r="859" spans="1:18" x14ac:dyDescent="0.3">
      <c r="A859" s="3"/>
      <c r="B859" s="3"/>
      <c r="C859" s="3"/>
      <c r="D859" s="3"/>
      <c r="E859" s="3"/>
      <c r="F859" s="3"/>
      <c r="G859" s="3"/>
      <c r="H859" s="3"/>
      <c r="I859" s="3"/>
      <c r="J859" s="3"/>
      <c r="K859" s="3"/>
      <c r="L859" s="3"/>
      <c r="M859" s="3"/>
      <c r="N859" s="3"/>
      <c r="O859" s="3"/>
      <c r="P859" s="3"/>
      <c r="Q859" s="3"/>
      <c r="R859" s="3"/>
    </row>
    <row r="860" spans="1:18" x14ac:dyDescent="0.3">
      <c r="A860" s="3"/>
      <c r="B860" s="3"/>
      <c r="C860" s="3"/>
      <c r="D860" s="3"/>
      <c r="E860" s="3"/>
      <c r="F860" s="3"/>
      <c r="G860" s="3"/>
      <c r="H860" s="3"/>
      <c r="I860" s="3"/>
      <c r="J860" s="3"/>
      <c r="K860" s="3"/>
      <c r="L860" s="3"/>
      <c r="M860" s="3"/>
      <c r="N860" s="3"/>
      <c r="O860" s="3"/>
      <c r="P860" s="3"/>
      <c r="Q860" s="3"/>
      <c r="R860" s="3"/>
    </row>
    <row r="861" spans="1:18" x14ac:dyDescent="0.3">
      <c r="A861" s="3"/>
      <c r="B861" s="3"/>
      <c r="C861" s="3"/>
      <c r="D861" s="3"/>
      <c r="E861" s="3"/>
      <c r="F861" s="3"/>
      <c r="G861" s="3"/>
      <c r="H861" s="3"/>
      <c r="I861" s="3"/>
      <c r="J861" s="3"/>
      <c r="K861" s="3"/>
      <c r="L861" s="3"/>
      <c r="M861" s="3"/>
      <c r="N861" s="3"/>
      <c r="O861" s="3"/>
      <c r="P861" s="3"/>
      <c r="Q861" s="3"/>
      <c r="R861" s="3"/>
    </row>
    <row r="862" spans="1:18" x14ac:dyDescent="0.3">
      <c r="A862" s="3"/>
      <c r="B862" s="3"/>
      <c r="C862" s="3"/>
      <c r="D862" s="3"/>
      <c r="E862" s="3"/>
      <c r="F862" s="3"/>
      <c r="G862" s="3"/>
      <c r="H862" s="3"/>
      <c r="I862" s="3"/>
      <c r="J862" s="3"/>
      <c r="K862" s="3"/>
      <c r="L862" s="3"/>
      <c r="M862" s="3"/>
      <c r="N862" s="3"/>
      <c r="O862" s="3"/>
      <c r="P862" s="3"/>
      <c r="Q862" s="3"/>
      <c r="R862" s="3"/>
    </row>
    <row r="863" spans="1:18" x14ac:dyDescent="0.3">
      <c r="A863" s="3"/>
      <c r="B863" s="3"/>
      <c r="C863" s="3"/>
      <c r="D863" s="3"/>
      <c r="E863" s="3"/>
      <c r="F863" s="3"/>
      <c r="G863" s="3"/>
      <c r="H863" s="3"/>
      <c r="I863" s="3"/>
      <c r="J863" s="3"/>
      <c r="K863" s="3"/>
      <c r="L863" s="3"/>
      <c r="M863" s="3"/>
      <c r="N863" s="3"/>
      <c r="O863" s="3"/>
      <c r="P863" s="3"/>
      <c r="Q863" s="3"/>
      <c r="R863" s="3"/>
    </row>
    <row r="864" spans="1:18" x14ac:dyDescent="0.3">
      <c r="A864" s="3"/>
      <c r="B864" s="3"/>
      <c r="C864" s="3"/>
      <c r="D864" s="3"/>
      <c r="E864" s="3"/>
      <c r="F864" s="3"/>
      <c r="G864" s="3"/>
      <c r="H864" s="3"/>
      <c r="I864" s="3"/>
      <c r="J864" s="3"/>
      <c r="K864" s="3"/>
      <c r="L864" s="3"/>
      <c r="M864" s="3"/>
      <c r="N864" s="3"/>
      <c r="O864" s="3"/>
      <c r="P864" s="3"/>
      <c r="Q864" s="3"/>
      <c r="R864" s="3"/>
    </row>
    <row r="865" spans="1:18" x14ac:dyDescent="0.3">
      <c r="A865" s="3"/>
      <c r="B865" s="3"/>
      <c r="C865" s="3"/>
      <c r="D865" s="3"/>
      <c r="E865" s="3"/>
      <c r="F865" s="3"/>
      <c r="G865" s="3"/>
      <c r="H865" s="3"/>
      <c r="I865" s="3"/>
      <c r="J865" s="3"/>
      <c r="K865" s="3"/>
      <c r="L865" s="3"/>
      <c r="M865" s="3"/>
      <c r="N865" s="3"/>
      <c r="O865" s="3"/>
      <c r="P865" s="3"/>
      <c r="Q865" s="3"/>
      <c r="R865" s="3"/>
    </row>
    <row r="866" spans="1:18" x14ac:dyDescent="0.3">
      <c r="A866" s="3"/>
      <c r="B866" s="3"/>
      <c r="C866" s="3"/>
      <c r="D866" s="3"/>
      <c r="E866" s="3"/>
      <c r="F866" s="3"/>
      <c r="G866" s="3"/>
      <c r="H866" s="3"/>
      <c r="I866" s="3"/>
      <c r="J866" s="3"/>
      <c r="K866" s="3"/>
      <c r="L866" s="3"/>
      <c r="M866" s="3"/>
      <c r="N866" s="3"/>
      <c r="O866" s="3"/>
      <c r="P866" s="3"/>
      <c r="Q866" s="3"/>
      <c r="R866" s="3"/>
    </row>
    <row r="867" spans="1:18" x14ac:dyDescent="0.3">
      <c r="A867" s="3"/>
      <c r="B867" s="3"/>
      <c r="C867" s="3"/>
      <c r="D867" s="3"/>
      <c r="E867" s="3"/>
      <c r="F867" s="3"/>
      <c r="G867" s="3"/>
      <c r="H867" s="3"/>
      <c r="I867" s="3"/>
      <c r="J867" s="3"/>
      <c r="K867" s="3"/>
      <c r="L867" s="3"/>
      <c r="M867" s="3"/>
      <c r="N867" s="3"/>
      <c r="O867" s="3"/>
      <c r="P867" s="3"/>
      <c r="Q867" s="3"/>
      <c r="R867" s="3"/>
    </row>
    <row r="868" spans="1:18" x14ac:dyDescent="0.3">
      <c r="A868" s="3"/>
      <c r="B868" s="3"/>
      <c r="C868" s="3"/>
      <c r="D868" s="3"/>
      <c r="E868" s="3"/>
      <c r="F868" s="3"/>
      <c r="G868" s="3"/>
      <c r="H868" s="3"/>
      <c r="I868" s="3"/>
      <c r="J868" s="3"/>
      <c r="K868" s="3"/>
      <c r="L868" s="3"/>
      <c r="M868" s="3"/>
      <c r="N868" s="3"/>
      <c r="O868" s="3"/>
      <c r="P868" s="3"/>
      <c r="Q868" s="3"/>
      <c r="R868" s="3"/>
    </row>
    <row r="869" spans="1:18" x14ac:dyDescent="0.3">
      <c r="A869" s="3"/>
      <c r="B869" s="3"/>
      <c r="C869" s="3"/>
      <c r="D869" s="3"/>
      <c r="E869" s="3"/>
      <c r="F869" s="3"/>
      <c r="G869" s="3"/>
      <c r="H869" s="3"/>
      <c r="I869" s="3"/>
      <c r="J869" s="3"/>
      <c r="K869" s="3"/>
      <c r="L869" s="3"/>
      <c r="M869" s="3"/>
      <c r="N869" s="3"/>
      <c r="O869" s="3"/>
      <c r="P869" s="3"/>
      <c r="Q869" s="3"/>
      <c r="R869" s="3"/>
    </row>
    <row r="870" spans="1:18" x14ac:dyDescent="0.3">
      <c r="A870" s="3"/>
      <c r="B870" s="3"/>
      <c r="C870" s="3"/>
      <c r="D870" s="3"/>
      <c r="E870" s="3"/>
      <c r="F870" s="3"/>
      <c r="G870" s="3"/>
      <c r="H870" s="3"/>
      <c r="I870" s="3"/>
      <c r="J870" s="3"/>
      <c r="K870" s="3"/>
      <c r="L870" s="3"/>
      <c r="M870" s="3"/>
      <c r="N870" s="3"/>
      <c r="O870" s="3"/>
      <c r="P870" s="3"/>
      <c r="Q870" s="3"/>
      <c r="R870" s="3"/>
    </row>
    <row r="871" spans="1:18" x14ac:dyDescent="0.3">
      <c r="A871" s="3"/>
      <c r="B871" s="3"/>
      <c r="C871" s="3"/>
      <c r="D871" s="3"/>
      <c r="E871" s="3"/>
      <c r="F871" s="3"/>
      <c r="G871" s="3"/>
      <c r="H871" s="3"/>
      <c r="I871" s="3"/>
      <c r="J871" s="3"/>
      <c r="K871" s="3"/>
      <c r="L871" s="3"/>
      <c r="M871" s="3"/>
      <c r="N871" s="3"/>
      <c r="O871" s="3"/>
      <c r="P871" s="3"/>
      <c r="Q871" s="3"/>
      <c r="R871" s="3"/>
    </row>
    <row r="872" spans="1:18" x14ac:dyDescent="0.3">
      <c r="A872" s="3"/>
      <c r="B872" s="3"/>
      <c r="C872" s="3"/>
      <c r="D872" s="3"/>
      <c r="E872" s="3"/>
      <c r="F872" s="3"/>
      <c r="G872" s="3"/>
      <c r="H872" s="3"/>
      <c r="I872" s="3"/>
      <c r="J872" s="3"/>
      <c r="K872" s="3"/>
      <c r="L872" s="3"/>
      <c r="M872" s="3"/>
      <c r="N872" s="3"/>
      <c r="O872" s="3"/>
      <c r="P872" s="3"/>
      <c r="Q872" s="3"/>
      <c r="R872" s="3"/>
    </row>
    <row r="873" spans="1:18" x14ac:dyDescent="0.3">
      <c r="A873" s="3"/>
      <c r="B873" s="3"/>
      <c r="C873" s="3"/>
      <c r="D873" s="3"/>
      <c r="E873" s="3"/>
      <c r="F873" s="3"/>
      <c r="G873" s="3"/>
      <c r="H873" s="3"/>
      <c r="I873" s="3"/>
      <c r="J873" s="3"/>
      <c r="K873" s="3"/>
      <c r="L873" s="3"/>
      <c r="M873" s="3"/>
      <c r="N873" s="3"/>
      <c r="O873" s="3"/>
      <c r="P873" s="3"/>
      <c r="Q873" s="3"/>
      <c r="R873" s="3"/>
    </row>
    <row r="874" spans="1:18" x14ac:dyDescent="0.3">
      <c r="A874" s="3"/>
      <c r="B874" s="3"/>
      <c r="C874" s="3"/>
      <c r="D874" s="3"/>
      <c r="E874" s="3"/>
      <c r="F874" s="3"/>
      <c r="G874" s="3"/>
      <c r="H874" s="3"/>
      <c r="I874" s="3"/>
      <c r="J874" s="3"/>
      <c r="K874" s="3"/>
      <c r="L874" s="3"/>
      <c r="M874" s="3"/>
      <c r="N874" s="3"/>
      <c r="O874" s="3"/>
      <c r="P874" s="3"/>
      <c r="Q874" s="3"/>
      <c r="R874" s="3"/>
    </row>
    <row r="875" spans="1:18" x14ac:dyDescent="0.3">
      <c r="A875" s="3"/>
      <c r="B875" s="3"/>
      <c r="C875" s="3"/>
      <c r="D875" s="3"/>
      <c r="E875" s="3"/>
      <c r="F875" s="3"/>
      <c r="G875" s="3"/>
      <c r="H875" s="3"/>
      <c r="I875" s="3"/>
      <c r="J875" s="3"/>
      <c r="K875" s="3"/>
      <c r="L875" s="3"/>
      <c r="M875" s="3"/>
      <c r="N875" s="3"/>
      <c r="O875" s="3"/>
      <c r="P875" s="3"/>
      <c r="Q875" s="3"/>
      <c r="R875" s="3"/>
    </row>
    <row r="876" spans="1:18" x14ac:dyDescent="0.3">
      <c r="A876" s="3"/>
      <c r="B876" s="3"/>
      <c r="C876" s="3"/>
      <c r="D876" s="3"/>
      <c r="E876" s="3"/>
      <c r="F876" s="3"/>
      <c r="G876" s="3"/>
      <c r="H876" s="3"/>
      <c r="I876" s="3"/>
      <c r="J876" s="3"/>
      <c r="K876" s="3"/>
      <c r="L876" s="3"/>
      <c r="M876" s="3"/>
      <c r="N876" s="3"/>
      <c r="O876" s="3"/>
      <c r="P876" s="3"/>
      <c r="Q876" s="3"/>
      <c r="R876" s="3"/>
    </row>
    <row r="877" spans="1:18" x14ac:dyDescent="0.3">
      <c r="A877" s="3"/>
      <c r="B877" s="3"/>
      <c r="C877" s="3"/>
      <c r="D877" s="3"/>
      <c r="E877" s="3"/>
      <c r="F877" s="3"/>
      <c r="G877" s="3"/>
      <c r="H877" s="3"/>
      <c r="I877" s="3"/>
      <c r="J877" s="3"/>
      <c r="K877" s="3"/>
      <c r="L877" s="3"/>
      <c r="M877" s="3"/>
      <c r="N877" s="3"/>
      <c r="O877" s="3"/>
      <c r="P877" s="3"/>
      <c r="Q877" s="3"/>
      <c r="R877" s="3"/>
    </row>
    <row r="878" spans="1:18" x14ac:dyDescent="0.3">
      <c r="A878" s="3"/>
      <c r="B878" s="3"/>
      <c r="C878" s="3"/>
      <c r="D878" s="3"/>
      <c r="E878" s="3"/>
      <c r="F878" s="3"/>
      <c r="G878" s="3"/>
      <c r="H878" s="3"/>
      <c r="I878" s="3"/>
      <c r="J878" s="3"/>
      <c r="K878" s="3"/>
      <c r="L878" s="3"/>
      <c r="M878" s="3"/>
      <c r="N878" s="3"/>
      <c r="O878" s="3"/>
      <c r="P878" s="3"/>
      <c r="Q878" s="3"/>
      <c r="R878" s="3"/>
    </row>
    <row r="879" spans="1:18" x14ac:dyDescent="0.3">
      <c r="A879" s="3"/>
      <c r="B879" s="3"/>
      <c r="C879" s="3"/>
      <c r="D879" s="3"/>
      <c r="E879" s="3"/>
      <c r="F879" s="3"/>
      <c r="G879" s="3"/>
      <c r="H879" s="3"/>
      <c r="I879" s="3"/>
      <c r="J879" s="3"/>
      <c r="K879" s="3"/>
      <c r="L879" s="3"/>
      <c r="M879" s="3"/>
      <c r="N879" s="3"/>
      <c r="O879" s="3"/>
      <c r="P879" s="3"/>
      <c r="Q879" s="3"/>
      <c r="R879" s="3"/>
    </row>
    <row r="880" spans="1:18" x14ac:dyDescent="0.3">
      <c r="A880" s="3"/>
      <c r="B880" s="3"/>
      <c r="C880" s="3"/>
      <c r="D880" s="3"/>
      <c r="E880" s="3"/>
      <c r="F880" s="3"/>
      <c r="G880" s="3"/>
      <c r="H880" s="3"/>
      <c r="I880" s="3"/>
      <c r="J880" s="3"/>
      <c r="K880" s="3"/>
      <c r="L880" s="3"/>
      <c r="M880" s="3"/>
      <c r="N880" s="3"/>
      <c r="O880" s="3"/>
      <c r="P880" s="3"/>
      <c r="Q880" s="3"/>
      <c r="R880" s="3"/>
    </row>
    <row r="881" spans="1:18" x14ac:dyDescent="0.3">
      <c r="A881" s="3"/>
      <c r="B881" s="3"/>
      <c r="C881" s="3"/>
      <c r="D881" s="3"/>
      <c r="E881" s="3"/>
      <c r="F881" s="3"/>
      <c r="G881" s="3"/>
      <c r="H881" s="3"/>
      <c r="I881" s="3"/>
      <c r="J881" s="3"/>
      <c r="K881" s="3"/>
      <c r="L881" s="3"/>
      <c r="M881" s="3"/>
      <c r="N881" s="3"/>
      <c r="O881" s="3"/>
      <c r="P881" s="3"/>
      <c r="Q881" s="3"/>
      <c r="R881" s="3"/>
    </row>
    <row r="882" spans="1:18" x14ac:dyDescent="0.3">
      <c r="A882" s="3"/>
      <c r="B882" s="3"/>
      <c r="C882" s="3"/>
      <c r="D882" s="3"/>
      <c r="E882" s="3"/>
      <c r="F882" s="3"/>
      <c r="G882" s="3"/>
      <c r="H882" s="3"/>
      <c r="I882" s="3"/>
      <c r="J882" s="3"/>
      <c r="K882" s="3"/>
      <c r="L882" s="3"/>
      <c r="M882" s="3"/>
      <c r="N882" s="3"/>
      <c r="O882" s="3"/>
      <c r="P882" s="3"/>
      <c r="Q882" s="3"/>
      <c r="R882" s="3"/>
    </row>
    <row r="883" spans="1:18" x14ac:dyDescent="0.3">
      <c r="A883" s="3"/>
      <c r="B883" s="3"/>
      <c r="C883" s="3"/>
      <c r="D883" s="3"/>
      <c r="E883" s="3"/>
      <c r="F883" s="3"/>
      <c r="G883" s="3"/>
      <c r="H883" s="3"/>
      <c r="I883" s="3"/>
      <c r="J883" s="3"/>
      <c r="K883" s="3"/>
      <c r="L883" s="3"/>
      <c r="M883" s="3"/>
      <c r="N883" s="3"/>
      <c r="O883" s="3"/>
      <c r="P883" s="3"/>
      <c r="Q883" s="3"/>
      <c r="R883" s="3"/>
    </row>
    <row r="884" spans="1:18" x14ac:dyDescent="0.3">
      <c r="A884" s="3"/>
      <c r="B884" s="3"/>
      <c r="C884" s="3"/>
      <c r="D884" s="3"/>
      <c r="E884" s="3"/>
      <c r="F884" s="3"/>
      <c r="G884" s="3"/>
      <c r="H884" s="3"/>
      <c r="I884" s="3"/>
      <c r="J884" s="3"/>
      <c r="K884" s="3"/>
      <c r="L884" s="3"/>
      <c r="M884" s="3"/>
      <c r="N884" s="3"/>
      <c r="O884" s="3"/>
      <c r="P884" s="3"/>
      <c r="Q884" s="3"/>
      <c r="R884" s="3"/>
    </row>
    <row r="885" spans="1:18" x14ac:dyDescent="0.3">
      <c r="A885" s="3"/>
      <c r="B885" s="3"/>
      <c r="C885" s="3"/>
      <c r="D885" s="3"/>
      <c r="E885" s="3"/>
      <c r="F885" s="3"/>
      <c r="G885" s="3"/>
      <c r="H885" s="3"/>
      <c r="I885" s="3"/>
      <c r="J885" s="3"/>
      <c r="K885" s="3"/>
      <c r="L885" s="3"/>
      <c r="M885" s="3"/>
      <c r="N885" s="3"/>
      <c r="O885" s="3"/>
      <c r="P885" s="3"/>
      <c r="Q885" s="3"/>
      <c r="R885" s="3"/>
    </row>
    <row r="886" spans="1:18" x14ac:dyDescent="0.3">
      <c r="A886" s="3"/>
      <c r="B886" s="3"/>
      <c r="C886" s="3"/>
      <c r="D886" s="3"/>
      <c r="E886" s="3"/>
      <c r="F886" s="3"/>
      <c r="G886" s="3"/>
      <c r="H886" s="3"/>
      <c r="I886" s="3"/>
      <c r="J886" s="3"/>
      <c r="K886" s="3"/>
      <c r="L886" s="3"/>
      <c r="M886" s="3"/>
      <c r="N886" s="3"/>
      <c r="O886" s="3"/>
      <c r="P886" s="3"/>
      <c r="Q886" s="3"/>
      <c r="R886" s="3"/>
    </row>
    <row r="887" spans="1:18" x14ac:dyDescent="0.3">
      <c r="A887" s="3"/>
      <c r="B887" s="3"/>
      <c r="C887" s="3"/>
      <c r="D887" s="3"/>
      <c r="E887" s="3"/>
      <c r="F887" s="3"/>
      <c r="G887" s="3"/>
      <c r="H887" s="3"/>
      <c r="I887" s="3"/>
      <c r="J887" s="3"/>
      <c r="K887" s="3"/>
      <c r="L887" s="3"/>
      <c r="M887" s="3"/>
      <c r="N887" s="3"/>
      <c r="O887" s="3"/>
      <c r="P887" s="3"/>
      <c r="Q887" s="3"/>
      <c r="R887" s="3"/>
    </row>
    <row r="888" spans="1:18" x14ac:dyDescent="0.3">
      <c r="A888" s="3"/>
      <c r="B888" s="3"/>
      <c r="C888" s="3"/>
      <c r="D888" s="3"/>
      <c r="E888" s="3"/>
      <c r="F888" s="3"/>
      <c r="G888" s="3"/>
      <c r="H888" s="3"/>
      <c r="I888" s="3"/>
      <c r="J888" s="3"/>
      <c r="K888" s="3"/>
      <c r="L888" s="3"/>
      <c r="M888" s="3"/>
      <c r="N888" s="3"/>
      <c r="O888" s="3"/>
      <c r="P888" s="3"/>
      <c r="Q888" s="3"/>
      <c r="R888" s="3"/>
    </row>
    <row r="889" spans="1:18" x14ac:dyDescent="0.3">
      <c r="A889" s="3"/>
      <c r="B889" s="3"/>
      <c r="C889" s="3"/>
      <c r="D889" s="3"/>
      <c r="E889" s="3"/>
      <c r="F889" s="3"/>
      <c r="G889" s="3"/>
      <c r="H889" s="3"/>
      <c r="I889" s="3"/>
      <c r="J889" s="3"/>
      <c r="K889" s="3"/>
      <c r="L889" s="3"/>
      <c r="M889" s="3"/>
      <c r="N889" s="3"/>
      <c r="O889" s="3"/>
      <c r="P889" s="3"/>
      <c r="Q889" s="3"/>
      <c r="R889" s="3"/>
    </row>
    <row r="890" spans="1:18" x14ac:dyDescent="0.3">
      <c r="A890" s="3"/>
      <c r="B890" s="3"/>
      <c r="C890" s="3"/>
      <c r="D890" s="3"/>
      <c r="E890" s="3"/>
      <c r="F890" s="3"/>
      <c r="G890" s="3"/>
      <c r="H890" s="3"/>
      <c r="I890" s="3"/>
      <c r="J890" s="3"/>
      <c r="K890" s="3"/>
      <c r="L890" s="3"/>
      <c r="M890" s="3"/>
      <c r="N890" s="3"/>
      <c r="O890" s="3"/>
      <c r="P890" s="3"/>
      <c r="Q890" s="3"/>
      <c r="R890" s="3"/>
    </row>
    <row r="891" spans="1:18" x14ac:dyDescent="0.3">
      <c r="A891" s="3"/>
      <c r="B891" s="3"/>
      <c r="C891" s="3"/>
      <c r="D891" s="3"/>
      <c r="E891" s="3"/>
      <c r="F891" s="3"/>
      <c r="G891" s="3"/>
      <c r="H891" s="3"/>
      <c r="I891" s="3"/>
      <c r="J891" s="3"/>
      <c r="K891" s="3"/>
      <c r="L891" s="3"/>
      <c r="M891" s="3"/>
      <c r="N891" s="3"/>
      <c r="O891" s="3"/>
      <c r="P891" s="3"/>
      <c r="Q891" s="3"/>
      <c r="R891" s="3"/>
    </row>
    <row r="892" spans="1:18" x14ac:dyDescent="0.3">
      <c r="A892" s="3"/>
      <c r="B892" s="3"/>
      <c r="C892" s="3"/>
      <c r="D892" s="3"/>
      <c r="E892" s="3"/>
      <c r="F892" s="3"/>
      <c r="G892" s="3"/>
      <c r="H892" s="3"/>
      <c r="I892" s="3"/>
      <c r="J892" s="3"/>
      <c r="K892" s="3"/>
      <c r="L892" s="3"/>
      <c r="M892" s="3"/>
      <c r="N892" s="3"/>
      <c r="O892" s="3"/>
      <c r="P892" s="3"/>
      <c r="Q892" s="3"/>
      <c r="R892" s="3"/>
    </row>
    <row r="893" spans="1:18" x14ac:dyDescent="0.3">
      <c r="A893" s="3"/>
      <c r="B893" s="3"/>
      <c r="C893" s="3"/>
      <c r="D893" s="3"/>
      <c r="E893" s="3"/>
      <c r="F893" s="3"/>
      <c r="G893" s="3"/>
      <c r="H893" s="3"/>
      <c r="I893" s="3"/>
      <c r="J893" s="3"/>
      <c r="K893" s="3"/>
      <c r="L893" s="3"/>
      <c r="M893" s="3"/>
      <c r="N893" s="3"/>
      <c r="O893" s="3"/>
      <c r="P893" s="3"/>
      <c r="Q893" s="3"/>
      <c r="R893" s="3"/>
    </row>
    <row r="894" spans="1:18" x14ac:dyDescent="0.3">
      <c r="A894" s="3"/>
      <c r="B894" s="3"/>
      <c r="C894" s="3"/>
      <c r="D894" s="3"/>
      <c r="E894" s="3"/>
      <c r="F894" s="3"/>
      <c r="G894" s="3"/>
      <c r="H894" s="3"/>
      <c r="I894" s="3"/>
      <c r="J894" s="3"/>
      <c r="K894" s="3"/>
      <c r="L894" s="3"/>
      <c r="M894" s="3"/>
      <c r="N894" s="3"/>
      <c r="O894" s="3"/>
      <c r="P894" s="3"/>
      <c r="Q894" s="3"/>
      <c r="R894" s="3"/>
    </row>
    <row r="895" spans="1:18" x14ac:dyDescent="0.3">
      <c r="A895" s="3"/>
      <c r="B895" s="3"/>
      <c r="C895" s="3"/>
      <c r="D895" s="3"/>
      <c r="E895" s="3"/>
      <c r="F895" s="3"/>
      <c r="G895" s="3"/>
      <c r="H895" s="3"/>
      <c r="I895" s="3"/>
      <c r="J895" s="3"/>
      <c r="K895" s="3"/>
      <c r="L895" s="3"/>
      <c r="M895" s="3"/>
      <c r="N895" s="3"/>
      <c r="O895" s="3"/>
      <c r="P895" s="3"/>
      <c r="Q895" s="3"/>
      <c r="R895" s="3"/>
    </row>
    <row r="896" spans="1:18" x14ac:dyDescent="0.3">
      <c r="A896" s="3"/>
      <c r="B896" s="3"/>
      <c r="C896" s="3"/>
      <c r="D896" s="3"/>
      <c r="E896" s="3"/>
      <c r="F896" s="3"/>
      <c r="G896" s="3"/>
      <c r="H896" s="3"/>
      <c r="I896" s="3"/>
      <c r="J896" s="3"/>
      <c r="K896" s="3"/>
      <c r="L896" s="3"/>
      <c r="M896" s="3"/>
      <c r="N896" s="3"/>
      <c r="O896" s="3"/>
      <c r="P896" s="3"/>
      <c r="Q896" s="3"/>
      <c r="R896" s="3"/>
    </row>
    <row r="897" spans="1:18" x14ac:dyDescent="0.3">
      <c r="A897" s="3"/>
      <c r="B897" s="3"/>
      <c r="C897" s="3"/>
      <c r="D897" s="3"/>
      <c r="E897" s="3"/>
      <c r="F897" s="3"/>
      <c r="G897" s="3"/>
      <c r="H897" s="3"/>
      <c r="I897" s="3"/>
      <c r="J897" s="3"/>
      <c r="K897" s="3"/>
      <c r="L897" s="3"/>
      <c r="M897" s="3"/>
      <c r="N897" s="3"/>
      <c r="O897" s="3"/>
      <c r="P897" s="3"/>
      <c r="Q897" s="3"/>
      <c r="R897" s="3"/>
    </row>
    <row r="898" spans="1:18" x14ac:dyDescent="0.3">
      <c r="A898" s="3"/>
      <c r="B898" s="3"/>
      <c r="C898" s="3"/>
      <c r="D898" s="3"/>
      <c r="E898" s="3"/>
      <c r="F898" s="3"/>
      <c r="G898" s="3"/>
      <c r="H898" s="3"/>
      <c r="I898" s="3"/>
      <c r="J898" s="3"/>
      <c r="K898" s="3"/>
      <c r="L898" s="3"/>
      <c r="M898" s="3"/>
      <c r="N898" s="3"/>
      <c r="O898" s="3"/>
      <c r="P898" s="3"/>
      <c r="Q898" s="3"/>
      <c r="R898" s="3"/>
    </row>
    <row r="899" spans="1:18" x14ac:dyDescent="0.3">
      <c r="A899" s="3"/>
      <c r="B899" s="3"/>
      <c r="C899" s="3"/>
      <c r="D899" s="3"/>
      <c r="E899" s="3"/>
      <c r="F899" s="3"/>
      <c r="G899" s="3"/>
      <c r="H899" s="3"/>
      <c r="I899" s="3"/>
      <c r="J899" s="3"/>
      <c r="K899" s="3"/>
      <c r="L899" s="3"/>
      <c r="M899" s="3"/>
      <c r="N899" s="3"/>
      <c r="O899" s="3"/>
      <c r="P899" s="3"/>
      <c r="Q899" s="3"/>
      <c r="R899" s="3"/>
    </row>
    <row r="900" spans="1:18" x14ac:dyDescent="0.3">
      <c r="A900" s="3"/>
      <c r="B900" s="3"/>
      <c r="C900" s="3"/>
      <c r="D900" s="3"/>
      <c r="E900" s="3"/>
      <c r="F900" s="3"/>
      <c r="G900" s="3"/>
      <c r="H900" s="3"/>
      <c r="I900" s="3"/>
      <c r="J900" s="3"/>
      <c r="K900" s="3"/>
      <c r="L900" s="3"/>
      <c r="M900" s="3"/>
      <c r="N900" s="3"/>
      <c r="O900" s="3"/>
      <c r="P900" s="3"/>
      <c r="Q900" s="3"/>
      <c r="R900" s="3"/>
    </row>
    <row r="901" spans="1:18" x14ac:dyDescent="0.3">
      <c r="A901" s="3"/>
      <c r="B901" s="3"/>
      <c r="C901" s="3"/>
      <c r="D901" s="3"/>
      <c r="E901" s="3"/>
      <c r="F901" s="3"/>
      <c r="G901" s="3"/>
      <c r="H901" s="3"/>
      <c r="I901" s="3"/>
      <c r="J901" s="3"/>
      <c r="K901" s="3"/>
      <c r="L901" s="3"/>
      <c r="M901" s="3"/>
      <c r="N901" s="3"/>
      <c r="O901" s="3"/>
      <c r="P901" s="3"/>
      <c r="Q901" s="3"/>
      <c r="R901" s="3"/>
    </row>
    <row r="902" spans="1:18" x14ac:dyDescent="0.3">
      <c r="A902" s="3"/>
      <c r="B902" s="3"/>
      <c r="C902" s="3"/>
      <c r="D902" s="3"/>
      <c r="E902" s="3"/>
      <c r="F902" s="3"/>
      <c r="G902" s="3"/>
      <c r="H902" s="3"/>
      <c r="I902" s="3"/>
      <c r="J902" s="3"/>
      <c r="K902" s="3"/>
      <c r="L902" s="3"/>
      <c r="M902" s="3"/>
      <c r="N902" s="3"/>
      <c r="O902" s="3"/>
      <c r="P902" s="3"/>
      <c r="Q902" s="3"/>
      <c r="R902" s="3"/>
    </row>
    <row r="903" spans="1:18" x14ac:dyDescent="0.3">
      <c r="A903" s="3"/>
      <c r="B903" s="3"/>
      <c r="C903" s="3"/>
      <c r="D903" s="3"/>
      <c r="E903" s="3"/>
      <c r="F903" s="3"/>
      <c r="G903" s="3"/>
      <c r="H903" s="3"/>
      <c r="I903" s="3"/>
      <c r="J903" s="3"/>
      <c r="K903" s="3"/>
      <c r="L903" s="3"/>
      <c r="M903" s="3"/>
      <c r="N903" s="3"/>
      <c r="O903" s="3"/>
      <c r="P903" s="3"/>
      <c r="Q903" s="3"/>
      <c r="R903" s="3"/>
    </row>
    <row r="904" spans="1:18" x14ac:dyDescent="0.3">
      <c r="A904" s="3"/>
      <c r="B904" s="3"/>
      <c r="C904" s="3"/>
      <c r="D904" s="3"/>
      <c r="E904" s="3"/>
      <c r="F904" s="3"/>
      <c r="G904" s="3"/>
      <c r="H904" s="3"/>
      <c r="I904" s="3"/>
      <c r="J904" s="3"/>
      <c r="K904" s="3"/>
      <c r="L904" s="3"/>
      <c r="M904" s="3"/>
      <c r="N904" s="3"/>
      <c r="O904" s="3"/>
      <c r="P904" s="3"/>
      <c r="Q904" s="3"/>
      <c r="R904" s="3"/>
    </row>
    <row r="905" spans="1:18" x14ac:dyDescent="0.3">
      <c r="A905" s="3"/>
      <c r="B905" s="3"/>
      <c r="C905" s="3"/>
      <c r="D905" s="3"/>
      <c r="E905" s="3"/>
      <c r="F905" s="3"/>
      <c r="G905" s="3"/>
      <c r="H905" s="3"/>
      <c r="I905" s="3"/>
      <c r="J905" s="3"/>
      <c r="K905" s="3"/>
      <c r="L905" s="3"/>
      <c r="M905" s="3"/>
      <c r="N905" s="3"/>
      <c r="O905" s="3"/>
      <c r="P905" s="3"/>
      <c r="Q905" s="3"/>
      <c r="R905" s="3"/>
    </row>
    <row r="906" spans="1:18" x14ac:dyDescent="0.3">
      <c r="A906" s="3"/>
      <c r="B906" s="3"/>
      <c r="C906" s="3"/>
      <c r="D906" s="3"/>
      <c r="E906" s="3"/>
      <c r="F906" s="3"/>
      <c r="G906" s="3"/>
      <c r="H906" s="3"/>
      <c r="I906" s="3"/>
      <c r="J906" s="3"/>
      <c r="K906" s="3"/>
      <c r="L906" s="3"/>
      <c r="M906" s="3"/>
      <c r="N906" s="3"/>
      <c r="O906" s="3"/>
      <c r="P906" s="3"/>
      <c r="Q906" s="3"/>
      <c r="R906" s="3"/>
    </row>
    <row r="907" spans="1:18" x14ac:dyDescent="0.3">
      <c r="A907" s="3"/>
      <c r="B907" s="3"/>
      <c r="C907" s="3"/>
      <c r="D907" s="3"/>
      <c r="E907" s="3"/>
      <c r="F907" s="3"/>
      <c r="G907" s="3"/>
      <c r="H907" s="3"/>
      <c r="I907" s="3"/>
      <c r="J907" s="3"/>
      <c r="K907" s="3"/>
      <c r="L907" s="3"/>
      <c r="M907" s="3"/>
      <c r="N907" s="3"/>
      <c r="O907" s="3"/>
      <c r="P907" s="3"/>
      <c r="Q907" s="3"/>
      <c r="R907" s="3"/>
    </row>
    <row r="908" spans="1:18" x14ac:dyDescent="0.3">
      <c r="A908" s="3"/>
      <c r="B908" s="3"/>
      <c r="C908" s="3"/>
      <c r="D908" s="3"/>
      <c r="E908" s="3"/>
      <c r="F908" s="3"/>
      <c r="G908" s="3"/>
      <c r="H908" s="3"/>
      <c r="I908" s="3"/>
      <c r="J908" s="3"/>
      <c r="K908" s="3"/>
      <c r="L908" s="3"/>
      <c r="M908" s="3"/>
      <c r="N908" s="3"/>
      <c r="O908" s="3"/>
      <c r="P908" s="3"/>
      <c r="Q908" s="3"/>
      <c r="R908" s="3"/>
    </row>
    <row r="909" spans="1:18" x14ac:dyDescent="0.3">
      <c r="A909" s="3"/>
      <c r="B909" s="3"/>
      <c r="C909" s="3"/>
      <c r="D909" s="3"/>
      <c r="E909" s="3"/>
      <c r="F909" s="3"/>
      <c r="G909" s="3"/>
      <c r="H909" s="3"/>
      <c r="I909" s="3"/>
      <c r="J909" s="3"/>
      <c r="K909" s="3"/>
      <c r="L909" s="3"/>
      <c r="M909" s="3"/>
      <c r="N909" s="3"/>
      <c r="O909" s="3"/>
      <c r="P909" s="3"/>
      <c r="Q909" s="3"/>
      <c r="R909" s="3"/>
    </row>
    <row r="910" spans="1:18" x14ac:dyDescent="0.3">
      <c r="A910" s="3"/>
      <c r="B910" s="3"/>
      <c r="C910" s="3"/>
      <c r="D910" s="3"/>
      <c r="E910" s="3"/>
      <c r="F910" s="3"/>
      <c r="G910" s="3"/>
      <c r="H910" s="3"/>
      <c r="I910" s="3"/>
      <c r="J910" s="3"/>
      <c r="K910" s="3"/>
      <c r="L910" s="3"/>
      <c r="M910" s="3"/>
      <c r="N910" s="3"/>
      <c r="O910" s="3"/>
      <c r="P910" s="3"/>
      <c r="Q910" s="3"/>
      <c r="R910" s="3"/>
    </row>
    <row r="911" spans="1:18" x14ac:dyDescent="0.3">
      <c r="A911" s="3"/>
      <c r="B911" s="3"/>
      <c r="C911" s="3"/>
      <c r="D911" s="3"/>
      <c r="E911" s="3"/>
      <c r="F911" s="3"/>
      <c r="G911" s="3"/>
      <c r="H911" s="3"/>
      <c r="I911" s="3"/>
      <c r="J911" s="3"/>
      <c r="K911" s="3"/>
      <c r="L911" s="3"/>
      <c r="M911" s="3"/>
      <c r="N911" s="3"/>
      <c r="O911" s="3"/>
      <c r="P911" s="3"/>
      <c r="Q911" s="3"/>
      <c r="R911" s="3"/>
    </row>
    <row r="912" spans="1:18" x14ac:dyDescent="0.3">
      <c r="A912" s="3"/>
      <c r="B912" s="3"/>
      <c r="C912" s="3"/>
      <c r="D912" s="3"/>
      <c r="E912" s="3"/>
      <c r="F912" s="3"/>
      <c r="G912" s="3"/>
      <c r="H912" s="3"/>
      <c r="I912" s="3"/>
      <c r="J912" s="3"/>
      <c r="K912" s="3"/>
      <c r="L912" s="3"/>
      <c r="M912" s="3"/>
      <c r="N912" s="3"/>
      <c r="O912" s="3"/>
      <c r="P912" s="3"/>
      <c r="Q912" s="3"/>
      <c r="R912" s="3"/>
    </row>
    <row r="913" spans="1:18" x14ac:dyDescent="0.3">
      <c r="A913" s="3"/>
      <c r="B913" s="3"/>
      <c r="C913" s="3"/>
      <c r="D913" s="3"/>
      <c r="E913" s="3"/>
      <c r="F913" s="3"/>
      <c r="G913" s="3"/>
      <c r="H913" s="3"/>
      <c r="I913" s="3"/>
      <c r="J913" s="3"/>
      <c r="K913" s="3"/>
      <c r="L913" s="3"/>
      <c r="M913" s="3"/>
      <c r="N913" s="3"/>
      <c r="O913" s="3"/>
      <c r="P913" s="3"/>
      <c r="Q913" s="3"/>
      <c r="R913" s="3"/>
    </row>
    <row r="914" spans="1:18" x14ac:dyDescent="0.3">
      <c r="A914" s="3"/>
      <c r="B914" s="3"/>
      <c r="C914" s="3"/>
      <c r="D914" s="3"/>
      <c r="E914" s="3"/>
      <c r="F914" s="3"/>
      <c r="G914" s="3"/>
      <c r="H914" s="3"/>
      <c r="I914" s="3"/>
      <c r="J914" s="3"/>
      <c r="K914" s="3"/>
      <c r="L914" s="3"/>
      <c r="M914" s="3"/>
      <c r="N914" s="3"/>
      <c r="O914" s="3"/>
      <c r="P914" s="3"/>
      <c r="Q914" s="3"/>
      <c r="R914" s="3"/>
    </row>
    <row r="915" spans="1:18" x14ac:dyDescent="0.3">
      <c r="A915" s="3"/>
      <c r="B915" s="3"/>
      <c r="C915" s="3"/>
      <c r="D915" s="3"/>
      <c r="E915" s="3"/>
      <c r="F915" s="3"/>
      <c r="G915" s="3"/>
      <c r="H915" s="3"/>
      <c r="I915" s="3"/>
      <c r="J915" s="3"/>
      <c r="K915" s="3"/>
      <c r="L915" s="3"/>
      <c r="M915" s="3"/>
      <c r="N915" s="3"/>
      <c r="O915" s="3"/>
      <c r="P915" s="3"/>
      <c r="Q915" s="3"/>
      <c r="R915" s="3"/>
    </row>
    <row r="916" spans="1:18" x14ac:dyDescent="0.3">
      <c r="A916" s="3"/>
      <c r="B916" s="3"/>
      <c r="C916" s="3"/>
      <c r="D916" s="3"/>
      <c r="E916" s="3"/>
      <c r="F916" s="3"/>
      <c r="G916" s="3"/>
      <c r="H916" s="3"/>
      <c r="I916" s="3"/>
      <c r="J916" s="3"/>
      <c r="K916" s="3"/>
      <c r="L916" s="3"/>
      <c r="M916" s="3"/>
      <c r="N916" s="3"/>
      <c r="O916" s="3"/>
      <c r="P916" s="3"/>
      <c r="Q916" s="3"/>
      <c r="R916" s="3"/>
    </row>
    <row r="917" spans="1:18" x14ac:dyDescent="0.3">
      <c r="A917" s="3"/>
      <c r="B917" s="3"/>
      <c r="C917" s="3"/>
      <c r="D917" s="3"/>
      <c r="E917" s="3"/>
      <c r="F917" s="3"/>
      <c r="G917" s="3"/>
      <c r="H917" s="3"/>
      <c r="I917" s="3"/>
      <c r="J917" s="3"/>
      <c r="K917" s="3"/>
      <c r="L917" s="3"/>
      <c r="M917" s="3"/>
      <c r="N917" s="3"/>
      <c r="O917" s="3"/>
      <c r="P917" s="3"/>
      <c r="Q917" s="3"/>
      <c r="R917" s="3"/>
    </row>
    <row r="918" spans="1:18" x14ac:dyDescent="0.3">
      <c r="A918" s="3"/>
      <c r="B918" s="3"/>
      <c r="C918" s="3"/>
      <c r="D918" s="3"/>
      <c r="E918" s="3"/>
      <c r="F918" s="3"/>
      <c r="G918" s="3"/>
      <c r="H918" s="3"/>
      <c r="I918" s="3"/>
      <c r="J918" s="3"/>
      <c r="K918" s="3"/>
      <c r="L918" s="3"/>
      <c r="M918" s="3"/>
      <c r="N918" s="3"/>
      <c r="O918" s="3"/>
      <c r="P918" s="3"/>
      <c r="Q918" s="3"/>
      <c r="R918" s="3"/>
    </row>
    <row r="919" spans="1:18" x14ac:dyDescent="0.3">
      <c r="A919" s="3"/>
      <c r="B919" s="3"/>
      <c r="C919" s="3"/>
      <c r="D919" s="3"/>
      <c r="E919" s="3"/>
      <c r="F919" s="3"/>
      <c r="G919" s="3"/>
      <c r="H919" s="3"/>
      <c r="I919" s="3"/>
      <c r="J919" s="3"/>
      <c r="K919" s="3"/>
      <c r="L919" s="3"/>
      <c r="M919" s="3"/>
      <c r="N919" s="3"/>
      <c r="O919" s="3"/>
      <c r="P919" s="3"/>
      <c r="Q919" s="3"/>
      <c r="R919" s="3"/>
    </row>
    <row r="920" spans="1:18" x14ac:dyDescent="0.3">
      <c r="A920" s="3"/>
      <c r="B920" s="3"/>
      <c r="C920" s="3"/>
      <c r="D920" s="3"/>
      <c r="E920" s="3"/>
      <c r="F920" s="3"/>
      <c r="G920" s="3"/>
      <c r="H920" s="3"/>
      <c r="I920" s="3"/>
      <c r="J920" s="3"/>
      <c r="K920" s="3"/>
      <c r="L920" s="3"/>
      <c r="M920" s="3"/>
      <c r="N920" s="3"/>
      <c r="O920" s="3"/>
      <c r="P920" s="3"/>
      <c r="Q920" s="3"/>
      <c r="R920" s="3"/>
    </row>
    <row r="921" spans="1:18" x14ac:dyDescent="0.3">
      <c r="A921" s="3"/>
      <c r="B921" s="3"/>
      <c r="C921" s="3"/>
      <c r="D921" s="3"/>
      <c r="E921" s="3"/>
      <c r="F921" s="3"/>
      <c r="G921" s="3"/>
      <c r="H921" s="3"/>
      <c r="I921" s="3"/>
      <c r="J921" s="3"/>
      <c r="K921" s="3"/>
      <c r="L921" s="3"/>
      <c r="M921" s="3"/>
      <c r="N921" s="3"/>
      <c r="O921" s="3"/>
      <c r="P921" s="3"/>
      <c r="Q921" s="3"/>
      <c r="R921" s="3"/>
    </row>
    <row r="922" spans="1:18" x14ac:dyDescent="0.3">
      <c r="A922" s="3"/>
      <c r="B922" s="3"/>
      <c r="C922" s="3"/>
      <c r="D922" s="3"/>
      <c r="E922" s="3"/>
      <c r="F922" s="3"/>
      <c r="G922" s="3"/>
      <c r="H922" s="3"/>
      <c r="I922" s="3"/>
      <c r="J922" s="3"/>
      <c r="K922" s="3"/>
      <c r="L922" s="3"/>
      <c r="M922" s="3"/>
      <c r="N922" s="3"/>
      <c r="O922" s="3"/>
      <c r="P922" s="3"/>
      <c r="Q922" s="3"/>
      <c r="R922" s="3"/>
    </row>
    <row r="923" spans="1:18" x14ac:dyDescent="0.3">
      <c r="A923" s="3"/>
      <c r="B923" s="3"/>
      <c r="C923" s="3"/>
      <c r="D923" s="3"/>
      <c r="E923" s="3"/>
      <c r="F923" s="3"/>
      <c r="G923" s="3"/>
      <c r="H923" s="3"/>
      <c r="I923" s="3"/>
      <c r="J923" s="3"/>
      <c r="K923" s="3"/>
      <c r="L923" s="3"/>
      <c r="M923" s="3"/>
      <c r="N923" s="3"/>
      <c r="O923" s="3"/>
      <c r="P923" s="3"/>
      <c r="Q923" s="3"/>
      <c r="R923" s="3"/>
    </row>
    <row r="924" spans="1:18" x14ac:dyDescent="0.3">
      <c r="A924" s="3"/>
      <c r="B924" s="3"/>
      <c r="C924" s="3"/>
      <c r="D924" s="3"/>
      <c r="E924" s="3"/>
      <c r="F924" s="3"/>
      <c r="G924" s="3"/>
      <c r="H924" s="3"/>
      <c r="I924" s="3"/>
      <c r="J924" s="3"/>
      <c r="K924" s="3"/>
      <c r="L924" s="3"/>
      <c r="M924" s="3"/>
      <c r="N924" s="3"/>
      <c r="O924" s="3"/>
      <c r="P924" s="3"/>
      <c r="Q924" s="3"/>
      <c r="R924" s="3"/>
    </row>
    <row r="925" spans="1:18" x14ac:dyDescent="0.3">
      <c r="A925" s="3"/>
      <c r="B925" s="3"/>
      <c r="C925" s="3"/>
      <c r="D925" s="3"/>
      <c r="E925" s="3"/>
      <c r="F925" s="3"/>
      <c r="G925" s="3"/>
      <c r="H925" s="3"/>
      <c r="I925" s="3"/>
      <c r="J925" s="3"/>
      <c r="K925" s="3"/>
      <c r="L925" s="3"/>
      <c r="M925" s="3"/>
      <c r="N925" s="3"/>
      <c r="O925" s="3"/>
      <c r="P925" s="3"/>
      <c r="Q925" s="3"/>
      <c r="R925" s="3"/>
    </row>
    <row r="926" spans="1:18" x14ac:dyDescent="0.3">
      <c r="A926" s="3"/>
      <c r="B926" s="3"/>
      <c r="C926" s="3"/>
      <c r="D926" s="3"/>
      <c r="E926" s="3"/>
      <c r="F926" s="3"/>
      <c r="G926" s="3"/>
      <c r="H926" s="3"/>
      <c r="I926" s="3"/>
      <c r="J926" s="3"/>
      <c r="K926" s="3"/>
      <c r="L926" s="3"/>
      <c r="M926" s="3"/>
      <c r="N926" s="3"/>
      <c r="O926" s="3"/>
      <c r="P926" s="3"/>
      <c r="Q926" s="3"/>
      <c r="R926" s="3"/>
    </row>
    <row r="927" spans="1:18" x14ac:dyDescent="0.3">
      <c r="A927" s="3"/>
      <c r="B927" s="3"/>
      <c r="C927" s="3"/>
      <c r="D927" s="3"/>
      <c r="E927" s="3"/>
      <c r="F927" s="3"/>
      <c r="G927" s="3"/>
      <c r="H927" s="3"/>
      <c r="I927" s="3"/>
      <c r="J927" s="3"/>
      <c r="K927" s="3"/>
      <c r="L927" s="3"/>
      <c r="M927" s="3"/>
      <c r="N927" s="3"/>
      <c r="O927" s="3"/>
      <c r="P927" s="3"/>
      <c r="Q927" s="3"/>
      <c r="R927" s="3"/>
    </row>
    <row r="928" spans="1:18" x14ac:dyDescent="0.3">
      <c r="A928" s="3"/>
      <c r="B928" s="3"/>
      <c r="C928" s="3"/>
      <c r="D928" s="3"/>
      <c r="E928" s="3"/>
      <c r="F928" s="3"/>
      <c r="G928" s="3"/>
      <c r="H928" s="3"/>
      <c r="I928" s="3"/>
      <c r="J928" s="3"/>
      <c r="K928" s="3"/>
      <c r="L928" s="3"/>
      <c r="M928" s="3"/>
      <c r="N928" s="3"/>
      <c r="O928" s="3"/>
      <c r="P928" s="3"/>
      <c r="Q928" s="3"/>
      <c r="R928" s="3"/>
    </row>
    <row r="929" spans="1:18" x14ac:dyDescent="0.3">
      <c r="A929" s="3"/>
      <c r="B929" s="3"/>
      <c r="C929" s="3"/>
      <c r="D929" s="3"/>
      <c r="E929" s="3"/>
      <c r="F929" s="3"/>
      <c r="G929" s="3"/>
      <c r="H929" s="3"/>
      <c r="I929" s="3"/>
      <c r="J929" s="3"/>
      <c r="K929" s="3"/>
      <c r="L929" s="3"/>
      <c r="M929" s="3"/>
      <c r="N929" s="3"/>
      <c r="O929" s="3"/>
      <c r="P929" s="3"/>
      <c r="Q929" s="3"/>
      <c r="R929" s="3"/>
    </row>
    <row r="930" spans="1:18" x14ac:dyDescent="0.3">
      <c r="A930" s="3"/>
      <c r="B930" s="3"/>
      <c r="C930" s="3"/>
      <c r="D930" s="3"/>
      <c r="E930" s="3"/>
      <c r="F930" s="3"/>
      <c r="G930" s="3"/>
      <c r="H930" s="3"/>
      <c r="I930" s="3"/>
      <c r="J930" s="3"/>
      <c r="K930" s="3"/>
      <c r="L930" s="3"/>
      <c r="M930" s="3"/>
      <c r="N930" s="3"/>
      <c r="O930" s="3"/>
      <c r="P930" s="3"/>
      <c r="Q930" s="3"/>
      <c r="R930" s="3"/>
    </row>
    <row r="931" spans="1:18" x14ac:dyDescent="0.3">
      <c r="A931" s="3"/>
      <c r="B931" s="3"/>
      <c r="C931" s="3"/>
      <c r="D931" s="3"/>
      <c r="E931" s="3"/>
      <c r="F931" s="3"/>
      <c r="G931" s="3"/>
      <c r="H931" s="3"/>
      <c r="I931" s="3"/>
      <c r="J931" s="3"/>
      <c r="K931" s="3"/>
      <c r="L931" s="3"/>
      <c r="M931" s="3"/>
      <c r="N931" s="3"/>
      <c r="O931" s="3"/>
      <c r="P931" s="3"/>
      <c r="Q931" s="3"/>
      <c r="R931" s="3"/>
    </row>
    <row r="932" spans="1:18" x14ac:dyDescent="0.3">
      <c r="A932" s="3"/>
      <c r="B932" s="3"/>
      <c r="C932" s="3"/>
      <c r="D932" s="3"/>
      <c r="E932" s="3"/>
      <c r="F932" s="3"/>
      <c r="G932" s="3"/>
      <c r="H932" s="3"/>
      <c r="I932" s="3"/>
      <c r="J932" s="3"/>
      <c r="K932" s="3"/>
      <c r="L932" s="3"/>
      <c r="M932" s="3"/>
      <c r="N932" s="3"/>
      <c r="O932" s="3"/>
      <c r="P932" s="3"/>
      <c r="Q932" s="3"/>
      <c r="R932" s="3"/>
    </row>
    <row r="933" spans="1:18" x14ac:dyDescent="0.3">
      <c r="A933" s="3"/>
      <c r="B933" s="3"/>
      <c r="C933" s="3"/>
      <c r="D933" s="3"/>
      <c r="E933" s="3"/>
      <c r="F933" s="3"/>
      <c r="G933" s="3"/>
      <c r="H933" s="3"/>
      <c r="I933" s="3"/>
      <c r="J933" s="3"/>
      <c r="K933" s="3"/>
      <c r="L933" s="3"/>
      <c r="M933" s="3"/>
      <c r="N933" s="3"/>
      <c r="O933" s="3"/>
      <c r="P933" s="3"/>
      <c r="Q933" s="3"/>
      <c r="R933" s="3"/>
    </row>
    <row r="934" spans="1:18" x14ac:dyDescent="0.3">
      <c r="A934" s="3"/>
      <c r="B934" s="3"/>
      <c r="C934" s="3"/>
      <c r="D934" s="3"/>
      <c r="E934" s="3"/>
      <c r="F934" s="3"/>
      <c r="G934" s="3"/>
      <c r="H934" s="3"/>
      <c r="I934" s="3"/>
      <c r="J934" s="3"/>
      <c r="K934" s="3"/>
      <c r="L934" s="3"/>
      <c r="M934" s="3"/>
      <c r="N934" s="3"/>
      <c r="O934" s="3"/>
      <c r="P934" s="3"/>
      <c r="Q934" s="3"/>
      <c r="R934" s="3"/>
    </row>
    <row r="935" spans="1:18" x14ac:dyDescent="0.3">
      <c r="A935" s="3"/>
      <c r="B935" s="3"/>
      <c r="C935" s="3"/>
      <c r="D935" s="3"/>
      <c r="E935" s="3"/>
      <c r="F935" s="3"/>
      <c r="G935" s="3"/>
      <c r="H935" s="3"/>
      <c r="I935" s="3"/>
      <c r="J935" s="3"/>
      <c r="K935" s="3"/>
      <c r="L935" s="3"/>
      <c r="M935" s="3"/>
      <c r="N935" s="3"/>
      <c r="O935" s="3"/>
      <c r="P935" s="3"/>
      <c r="Q935" s="3"/>
      <c r="R935" s="3"/>
    </row>
    <row r="936" spans="1:18" x14ac:dyDescent="0.3">
      <c r="A936" s="3"/>
      <c r="B936" s="3"/>
      <c r="C936" s="3"/>
      <c r="D936" s="3"/>
      <c r="E936" s="3"/>
      <c r="F936" s="3"/>
      <c r="G936" s="3"/>
      <c r="H936" s="3"/>
      <c r="I936" s="3"/>
      <c r="J936" s="3"/>
      <c r="K936" s="3"/>
      <c r="L936" s="3"/>
      <c r="M936" s="3"/>
      <c r="N936" s="3"/>
      <c r="O936" s="3"/>
      <c r="P936" s="3"/>
      <c r="Q936" s="3"/>
      <c r="R936" s="3"/>
    </row>
    <row r="937" spans="1:18" x14ac:dyDescent="0.3">
      <c r="A937" s="3"/>
      <c r="B937" s="3"/>
      <c r="C937" s="3"/>
      <c r="D937" s="3"/>
      <c r="E937" s="3"/>
      <c r="F937" s="3"/>
      <c r="G937" s="3"/>
      <c r="H937" s="3"/>
      <c r="I937" s="3"/>
      <c r="J937" s="3"/>
      <c r="K937" s="3"/>
      <c r="L937" s="3"/>
      <c r="M937" s="3"/>
      <c r="N937" s="3"/>
      <c r="O937" s="3"/>
      <c r="P937" s="3"/>
      <c r="Q937" s="3"/>
      <c r="R937" s="3"/>
    </row>
    <row r="938" spans="1:18" x14ac:dyDescent="0.3">
      <c r="A938" s="3"/>
      <c r="B938" s="3"/>
      <c r="C938" s="3"/>
      <c r="D938" s="3"/>
      <c r="E938" s="3"/>
      <c r="F938" s="3"/>
      <c r="G938" s="3"/>
      <c r="H938" s="3"/>
      <c r="I938" s="3"/>
      <c r="J938" s="3"/>
      <c r="K938" s="3"/>
      <c r="L938" s="3"/>
      <c r="M938" s="3"/>
      <c r="N938" s="3"/>
      <c r="O938" s="3"/>
      <c r="P938" s="3"/>
      <c r="Q938" s="3"/>
      <c r="R938" s="3"/>
    </row>
    <row r="939" spans="1:18" x14ac:dyDescent="0.3">
      <c r="A939" s="3"/>
      <c r="B939" s="3"/>
      <c r="C939" s="3"/>
      <c r="D939" s="3"/>
      <c r="E939" s="3"/>
      <c r="F939" s="3"/>
      <c r="G939" s="3"/>
      <c r="H939" s="3"/>
      <c r="I939" s="3"/>
      <c r="J939" s="3"/>
      <c r="K939" s="3"/>
      <c r="L939" s="3"/>
      <c r="M939" s="3"/>
      <c r="N939" s="3"/>
      <c r="O939" s="3"/>
      <c r="P939" s="3"/>
      <c r="Q939" s="3"/>
      <c r="R939" s="3"/>
    </row>
    <row r="940" spans="1:18" x14ac:dyDescent="0.3">
      <c r="A940" s="3"/>
      <c r="B940" s="3"/>
      <c r="C940" s="3"/>
      <c r="D940" s="3"/>
      <c r="E940" s="3"/>
      <c r="F940" s="3"/>
      <c r="G940" s="3"/>
      <c r="H940" s="3"/>
      <c r="I940" s="3"/>
      <c r="J940" s="3"/>
      <c r="K940" s="3"/>
      <c r="L940" s="3"/>
      <c r="M940" s="3"/>
      <c r="N940" s="3"/>
      <c r="O940" s="3"/>
      <c r="P940" s="3"/>
      <c r="Q940" s="3"/>
      <c r="R940" s="3"/>
    </row>
    <row r="941" spans="1:18" x14ac:dyDescent="0.3">
      <c r="A941" s="3"/>
      <c r="B941" s="3"/>
      <c r="C941" s="3"/>
      <c r="D941" s="3"/>
      <c r="E941" s="3"/>
      <c r="F941" s="3"/>
      <c r="G941" s="3"/>
      <c r="H941" s="3"/>
      <c r="I941" s="3"/>
      <c r="J941" s="3"/>
      <c r="K941" s="3"/>
      <c r="L941" s="3"/>
      <c r="M941" s="3"/>
      <c r="N941" s="3"/>
      <c r="O941" s="3"/>
      <c r="P941" s="3"/>
      <c r="Q941" s="3"/>
      <c r="R941" s="3"/>
    </row>
    <row r="942" spans="1:18" x14ac:dyDescent="0.3">
      <c r="A942" s="3"/>
      <c r="B942" s="3"/>
      <c r="C942" s="3"/>
      <c r="D942" s="3"/>
      <c r="E942" s="3"/>
      <c r="F942" s="3"/>
      <c r="G942" s="3"/>
      <c r="H942" s="3"/>
      <c r="I942" s="3"/>
      <c r="J942" s="3"/>
      <c r="K942" s="3"/>
      <c r="L942" s="3"/>
      <c r="M942" s="3"/>
      <c r="N942" s="3"/>
      <c r="O942" s="3"/>
      <c r="P942" s="3"/>
      <c r="Q942" s="3"/>
      <c r="R942" s="3"/>
    </row>
    <row r="943" spans="1:18" x14ac:dyDescent="0.3">
      <c r="A943" s="3"/>
      <c r="B943" s="3"/>
      <c r="C943" s="3"/>
      <c r="D943" s="3"/>
      <c r="E943" s="3"/>
      <c r="F943" s="3"/>
      <c r="G943" s="3"/>
      <c r="H943" s="3"/>
      <c r="I943" s="3"/>
      <c r="J943" s="3"/>
      <c r="K943" s="3"/>
      <c r="L943" s="3"/>
      <c r="M943" s="3"/>
      <c r="N943" s="3"/>
      <c r="O943" s="3"/>
      <c r="P943" s="3"/>
      <c r="Q943" s="3"/>
      <c r="R943" s="3"/>
    </row>
    <row r="944" spans="1:18" x14ac:dyDescent="0.3">
      <c r="A944" s="3"/>
      <c r="B944" s="3"/>
      <c r="C944" s="3"/>
      <c r="D944" s="3"/>
      <c r="E944" s="3"/>
      <c r="F944" s="3"/>
      <c r="G944" s="3"/>
      <c r="H944" s="3"/>
      <c r="I944" s="3"/>
      <c r="J944" s="3"/>
      <c r="K944" s="3"/>
      <c r="L944" s="3"/>
      <c r="M944" s="3"/>
      <c r="N944" s="3"/>
      <c r="O944" s="3"/>
      <c r="P944" s="3"/>
      <c r="Q944" s="3"/>
      <c r="R944" s="3"/>
    </row>
    <row r="945" spans="1:18" x14ac:dyDescent="0.3">
      <c r="A945" s="3"/>
      <c r="B945" s="3"/>
      <c r="C945" s="3"/>
      <c r="D945" s="3"/>
      <c r="E945" s="3"/>
      <c r="F945" s="3"/>
      <c r="G945" s="3"/>
      <c r="H945" s="3"/>
      <c r="I945" s="3"/>
      <c r="J945" s="3"/>
      <c r="K945" s="3"/>
      <c r="L945" s="3"/>
      <c r="M945" s="3"/>
      <c r="N945" s="3"/>
      <c r="O945" s="3"/>
      <c r="P945" s="3"/>
      <c r="Q945" s="3"/>
      <c r="R945" s="3"/>
    </row>
    <row r="946" spans="1:18" x14ac:dyDescent="0.3">
      <c r="A946" s="3"/>
      <c r="B946" s="3"/>
      <c r="C946" s="3"/>
      <c r="D946" s="3"/>
      <c r="E946" s="3"/>
      <c r="F946" s="3"/>
      <c r="G946" s="3"/>
      <c r="H946" s="3"/>
      <c r="I946" s="3"/>
      <c r="J946" s="3"/>
      <c r="K946" s="3"/>
      <c r="L946" s="3"/>
      <c r="M946" s="3"/>
      <c r="N946" s="3"/>
      <c r="O946" s="3"/>
      <c r="P946" s="3"/>
      <c r="Q946" s="3"/>
      <c r="R946" s="3"/>
    </row>
    <row r="947" spans="1:18" x14ac:dyDescent="0.3">
      <c r="A947" s="3"/>
      <c r="B947" s="3"/>
      <c r="C947" s="3"/>
      <c r="D947" s="3"/>
      <c r="E947" s="3"/>
      <c r="F947" s="3"/>
      <c r="G947" s="3"/>
      <c r="H947" s="3"/>
      <c r="I947" s="3"/>
      <c r="J947" s="3"/>
      <c r="K947" s="3"/>
      <c r="L947" s="3"/>
      <c r="M947" s="3"/>
      <c r="N947" s="3"/>
      <c r="O947" s="3"/>
      <c r="P947" s="3"/>
      <c r="Q947" s="3"/>
      <c r="R947" s="3"/>
    </row>
    <row r="948" spans="1:18" x14ac:dyDescent="0.3">
      <c r="A948" s="3"/>
      <c r="B948" s="3"/>
      <c r="C948" s="3"/>
      <c r="D948" s="3"/>
      <c r="E948" s="3"/>
      <c r="F948" s="3"/>
      <c r="G948" s="3"/>
      <c r="H948" s="3"/>
      <c r="I948" s="3"/>
      <c r="J948" s="3"/>
      <c r="K948" s="3"/>
      <c r="L948" s="3"/>
      <c r="M948" s="3"/>
      <c r="N948" s="3"/>
      <c r="O948" s="3"/>
      <c r="P948" s="3"/>
      <c r="Q948" s="3"/>
      <c r="R948" s="3"/>
    </row>
    <row r="949" spans="1:18" x14ac:dyDescent="0.3">
      <c r="A949" s="3"/>
      <c r="B949" s="3"/>
      <c r="C949" s="3"/>
      <c r="D949" s="3"/>
      <c r="E949" s="3"/>
      <c r="F949" s="3"/>
      <c r="G949" s="3"/>
      <c r="H949" s="3"/>
      <c r="I949" s="3"/>
      <c r="J949" s="3"/>
      <c r="K949" s="3"/>
      <c r="L949" s="3"/>
      <c r="M949" s="3"/>
      <c r="N949" s="3"/>
      <c r="O949" s="3"/>
      <c r="P949" s="3"/>
      <c r="Q949" s="3"/>
      <c r="R949" s="3"/>
    </row>
    <row r="950" spans="1:18" x14ac:dyDescent="0.3">
      <c r="A950" s="3"/>
      <c r="B950" s="3"/>
      <c r="C950" s="3"/>
      <c r="D950" s="3"/>
      <c r="E950" s="3"/>
      <c r="F950" s="3"/>
      <c r="G950" s="3"/>
      <c r="H950" s="3"/>
      <c r="I950" s="3"/>
      <c r="J950" s="3"/>
      <c r="K950" s="3"/>
      <c r="L950" s="3"/>
      <c r="M950" s="3"/>
      <c r="N950" s="3"/>
      <c r="O950" s="3"/>
      <c r="P950" s="3"/>
      <c r="Q950" s="3"/>
      <c r="R950" s="3"/>
    </row>
    <row r="951" spans="1:18" x14ac:dyDescent="0.3">
      <c r="A951" s="3"/>
      <c r="B951" s="3"/>
      <c r="C951" s="3"/>
      <c r="D951" s="3"/>
      <c r="E951" s="3"/>
      <c r="F951" s="3"/>
      <c r="G951" s="3"/>
      <c r="H951" s="3"/>
      <c r="I951" s="3"/>
      <c r="J951" s="3"/>
      <c r="K951" s="3"/>
      <c r="L951" s="3"/>
      <c r="M951" s="3"/>
      <c r="N951" s="3"/>
      <c r="O951" s="3"/>
      <c r="P951" s="3"/>
      <c r="Q951" s="3"/>
      <c r="R951" s="3"/>
    </row>
    <row r="952" spans="1:18" x14ac:dyDescent="0.3">
      <c r="A952" s="3"/>
      <c r="B952" s="3"/>
      <c r="C952" s="3"/>
      <c r="D952" s="3"/>
      <c r="E952" s="3"/>
      <c r="F952" s="3"/>
      <c r="G952" s="3"/>
      <c r="H952" s="3"/>
      <c r="I952" s="3"/>
      <c r="J952" s="3"/>
      <c r="K952" s="3"/>
      <c r="L952" s="3"/>
      <c r="M952" s="3"/>
      <c r="N952" s="3"/>
      <c r="O952" s="3"/>
      <c r="P952" s="3"/>
      <c r="Q952" s="3"/>
      <c r="R952" s="3"/>
    </row>
    <row r="953" spans="1:18" x14ac:dyDescent="0.3">
      <c r="A953" s="3"/>
      <c r="B953" s="3"/>
      <c r="C953" s="3"/>
      <c r="D953" s="3"/>
      <c r="E953" s="3"/>
      <c r="F953" s="3"/>
      <c r="G953" s="3"/>
      <c r="H953" s="3"/>
      <c r="I953" s="3"/>
      <c r="J953" s="3"/>
      <c r="K953" s="3"/>
      <c r="L953" s="3"/>
      <c r="M953" s="3"/>
      <c r="N953" s="3"/>
      <c r="O953" s="3"/>
      <c r="P953" s="3"/>
      <c r="Q953" s="3"/>
      <c r="R953" s="3"/>
    </row>
    <row r="954" spans="1:18" x14ac:dyDescent="0.3">
      <c r="A954" s="3"/>
      <c r="B954" s="3"/>
      <c r="C954" s="3"/>
      <c r="D954" s="3"/>
      <c r="E954" s="3"/>
      <c r="F954" s="3"/>
      <c r="G954" s="3"/>
      <c r="H954" s="3"/>
      <c r="I954" s="3"/>
      <c r="J954" s="3"/>
      <c r="K954" s="3"/>
      <c r="L954" s="3"/>
      <c r="M954" s="3"/>
      <c r="N954" s="3"/>
      <c r="O954" s="3"/>
      <c r="P954" s="3"/>
      <c r="Q954" s="3"/>
      <c r="R954" s="3"/>
    </row>
    <row r="955" spans="1:18" x14ac:dyDescent="0.3">
      <c r="A955" s="3"/>
      <c r="B955" s="3"/>
      <c r="C955" s="3"/>
      <c r="D955" s="3"/>
      <c r="E955" s="3"/>
      <c r="F955" s="3"/>
      <c r="G955" s="3"/>
      <c r="H955" s="3"/>
      <c r="I955" s="3"/>
      <c r="J955" s="3"/>
      <c r="K955" s="3"/>
      <c r="L955" s="3"/>
      <c r="M955" s="3"/>
      <c r="N955" s="3"/>
      <c r="O955" s="3"/>
      <c r="P955" s="3"/>
      <c r="Q955" s="3"/>
      <c r="R955" s="3"/>
    </row>
    <row r="956" spans="1:18" x14ac:dyDescent="0.3">
      <c r="A956" s="3"/>
      <c r="B956" s="3"/>
      <c r="C956" s="3"/>
      <c r="D956" s="3"/>
      <c r="E956" s="3"/>
      <c r="F956" s="3"/>
      <c r="G956" s="3"/>
      <c r="H956" s="3"/>
      <c r="I956" s="3"/>
      <c r="J956" s="3"/>
      <c r="K956" s="3"/>
      <c r="L956" s="3"/>
      <c r="M956" s="3"/>
      <c r="N956" s="3"/>
      <c r="O956" s="3"/>
      <c r="P956" s="3"/>
      <c r="Q956" s="3"/>
      <c r="R956" s="3"/>
    </row>
    <row r="957" spans="1:18" x14ac:dyDescent="0.3">
      <c r="A957" s="3"/>
      <c r="B957" s="3"/>
      <c r="C957" s="3"/>
      <c r="D957" s="3"/>
      <c r="E957" s="3"/>
      <c r="F957" s="3"/>
      <c r="G957" s="3"/>
      <c r="H957" s="3"/>
      <c r="I957" s="3"/>
      <c r="J957" s="3"/>
      <c r="K957" s="3"/>
      <c r="L957" s="3"/>
      <c r="M957" s="3"/>
      <c r="N957" s="3"/>
      <c r="O957" s="3"/>
      <c r="P957" s="3"/>
      <c r="Q957" s="3"/>
      <c r="R957" s="3"/>
    </row>
    <row r="958" spans="1:18" x14ac:dyDescent="0.3">
      <c r="A958" s="3"/>
      <c r="B958" s="3"/>
      <c r="C958" s="3"/>
      <c r="D958" s="3"/>
      <c r="E958" s="3"/>
      <c r="F958" s="3"/>
      <c r="G958" s="3"/>
      <c r="H958" s="3"/>
      <c r="I958" s="3"/>
      <c r="J958" s="3"/>
      <c r="K958" s="3"/>
      <c r="L958" s="3"/>
      <c r="M958" s="3"/>
      <c r="N958" s="3"/>
      <c r="O958" s="3"/>
      <c r="P958" s="3"/>
      <c r="Q958" s="3"/>
      <c r="R958" s="3"/>
    </row>
    <row r="959" spans="1:18" x14ac:dyDescent="0.3">
      <c r="A959" s="3"/>
      <c r="B959" s="3"/>
      <c r="C959" s="3"/>
      <c r="D959" s="3"/>
      <c r="E959" s="3"/>
      <c r="F959" s="3"/>
      <c r="G959" s="3"/>
      <c r="H959" s="3"/>
      <c r="I959" s="3"/>
      <c r="J959" s="3"/>
      <c r="K959" s="3"/>
      <c r="L959" s="3"/>
      <c r="M959" s="3"/>
      <c r="N959" s="3"/>
      <c r="O959" s="3"/>
      <c r="P959" s="3"/>
      <c r="Q959" s="3"/>
      <c r="R959" s="3"/>
    </row>
    <row r="960" spans="1:18" x14ac:dyDescent="0.3">
      <c r="A960" s="3"/>
      <c r="B960" s="3"/>
      <c r="C960" s="3"/>
      <c r="D960" s="3"/>
      <c r="E960" s="3"/>
      <c r="F960" s="3"/>
      <c r="G960" s="3"/>
      <c r="H960" s="3"/>
      <c r="I960" s="3"/>
      <c r="J960" s="3"/>
      <c r="K960" s="3"/>
      <c r="L960" s="3"/>
      <c r="M960" s="3"/>
      <c r="N960" s="3"/>
      <c r="O960" s="3"/>
      <c r="P960" s="3"/>
      <c r="Q960" s="3"/>
      <c r="R960" s="3"/>
    </row>
    <row r="961" spans="1:18" x14ac:dyDescent="0.3">
      <c r="A961" s="3"/>
      <c r="B961" s="3"/>
      <c r="C961" s="3"/>
      <c r="D961" s="3"/>
      <c r="E961" s="3"/>
      <c r="F961" s="3"/>
      <c r="G961" s="3"/>
      <c r="H961" s="3"/>
      <c r="I961" s="3"/>
      <c r="J961" s="3"/>
      <c r="K961" s="3"/>
      <c r="L961" s="3"/>
      <c r="M961" s="3"/>
      <c r="N961" s="3"/>
      <c r="O961" s="3"/>
      <c r="P961" s="3"/>
      <c r="Q961" s="3"/>
      <c r="R961" s="3"/>
    </row>
    <row r="962" spans="1:18" x14ac:dyDescent="0.3">
      <c r="A962" s="3"/>
      <c r="B962" s="3"/>
      <c r="C962" s="3"/>
      <c r="D962" s="3"/>
      <c r="E962" s="3"/>
      <c r="F962" s="3"/>
      <c r="G962" s="3"/>
      <c r="H962" s="3"/>
      <c r="I962" s="3"/>
      <c r="J962" s="3"/>
      <c r="K962" s="3"/>
      <c r="L962" s="3"/>
      <c r="M962" s="3"/>
      <c r="N962" s="3"/>
      <c r="O962" s="3"/>
      <c r="P962" s="3"/>
      <c r="Q962" s="3"/>
      <c r="R962" s="3"/>
    </row>
    <row r="963" spans="1:18" x14ac:dyDescent="0.3">
      <c r="A963" s="3"/>
      <c r="B963" s="3"/>
      <c r="C963" s="3"/>
      <c r="D963" s="3"/>
      <c r="E963" s="3"/>
      <c r="F963" s="3"/>
      <c r="G963" s="3"/>
      <c r="H963" s="3"/>
      <c r="I963" s="3"/>
      <c r="J963" s="3"/>
      <c r="K963" s="3"/>
      <c r="L963" s="3"/>
      <c r="M963" s="3"/>
      <c r="N963" s="3"/>
      <c r="O963" s="3"/>
      <c r="P963" s="3"/>
      <c r="Q963" s="3"/>
      <c r="R963" s="3"/>
    </row>
    <row r="964" spans="1:18" x14ac:dyDescent="0.3">
      <c r="A964" s="3"/>
      <c r="B964" s="3"/>
      <c r="C964" s="3"/>
      <c r="D964" s="3"/>
      <c r="E964" s="3"/>
      <c r="F964" s="3"/>
      <c r="G964" s="3"/>
      <c r="H964" s="3"/>
      <c r="I964" s="3"/>
      <c r="J964" s="3"/>
      <c r="K964" s="3"/>
      <c r="L964" s="3"/>
      <c r="M964" s="3"/>
      <c r="N964" s="3"/>
      <c r="O964" s="3"/>
      <c r="P964" s="3"/>
      <c r="Q964" s="3"/>
      <c r="R964" s="3"/>
    </row>
    <row r="965" spans="1:18" x14ac:dyDescent="0.3">
      <c r="A965" s="3"/>
      <c r="B965" s="3"/>
      <c r="C965" s="3"/>
      <c r="D965" s="3"/>
      <c r="E965" s="3"/>
      <c r="F965" s="3"/>
      <c r="G965" s="3"/>
      <c r="H965" s="3"/>
      <c r="I965" s="3"/>
      <c r="J965" s="3"/>
      <c r="K965" s="3"/>
      <c r="L965" s="3"/>
      <c r="M965" s="3"/>
      <c r="N965" s="3"/>
      <c r="O965" s="3"/>
      <c r="P965" s="3"/>
      <c r="Q965" s="3"/>
      <c r="R965" s="3"/>
    </row>
    <row r="966" spans="1:18" x14ac:dyDescent="0.3">
      <c r="A966" s="3"/>
      <c r="B966" s="3"/>
      <c r="C966" s="3"/>
      <c r="D966" s="3"/>
      <c r="E966" s="3"/>
      <c r="F966" s="3"/>
      <c r="G966" s="3"/>
      <c r="H966" s="3"/>
      <c r="I966" s="3"/>
      <c r="J966" s="3"/>
      <c r="K966" s="3"/>
      <c r="L966" s="3"/>
      <c r="M966" s="3"/>
      <c r="N966" s="3"/>
      <c r="O966" s="3"/>
      <c r="P966" s="3"/>
      <c r="Q966" s="3"/>
      <c r="R966" s="3"/>
    </row>
    <row r="967" spans="1:18" x14ac:dyDescent="0.3">
      <c r="A967" s="3"/>
      <c r="B967" s="3"/>
      <c r="C967" s="3"/>
      <c r="D967" s="3"/>
      <c r="E967" s="3"/>
      <c r="F967" s="3"/>
      <c r="G967" s="3"/>
      <c r="H967" s="3"/>
      <c r="I967" s="3"/>
      <c r="J967" s="3"/>
      <c r="K967" s="3"/>
      <c r="L967" s="3"/>
      <c r="M967" s="3"/>
      <c r="N967" s="3"/>
      <c r="O967" s="3"/>
      <c r="P967" s="3"/>
      <c r="Q967" s="3"/>
      <c r="R967" s="3"/>
    </row>
    <row r="968" spans="1:18" x14ac:dyDescent="0.3">
      <c r="A968" s="3"/>
      <c r="B968" s="3"/>
      <c r="C968" s="3"/>
      <c r="D968" s="3"/>
      <c r="E968" s="3"/>
      <c r="F968" s="3"/>
      <c r="G968" s="3"/>
      <c r="H968" s="3"/>
      <c r="I968" s="3"/>
      <c r="J968" s="3"/>
      <c r="K968" s="3"/>
      <c r="L968" s="3"/>
      <c r="M968" s="3"/>
      <c r="N968" s="3"/>
      <c r="O968" s="3"/>
      <c r="P968" s="3"/>
      <c r="Q968" s="3"/>
      <c r="R968" s="3"/>
    </row>
    <row r="969" spans="1:18" x14ac:dyDescent="0.3">
      <c r="A969" s="3"/>
      <c r="B969" s="3"/>
      <c r="C969" s="3"/>
      <c r="D969" s="3"/>
      <c r="E969" s="3"/>
      <c r="F969" s="3"/>
      <c r="G969" s="3"/>
      <c r="H969" s="3"/>
      <c r="I969" s="3"/>
      <c r="J969" s="3"/>
      <c r="K969" s="3"/>
      <c r="L969" s="3"/>
      <c r="M969" s="3"/>
      <c r="N969" s="3"/>
      <c r="O969" s="3"/>
      <c r="P969" s="3"/>
      <c r="Q969" s="3"/>
      <c r="R969" s="3"/>
    </row>
    <row r="970" spans="1:18" x14ac:dyDescent="0.3">
      <c r="A970" s="3"/>
      <c r="B970" s="3"/>
      <c r="C970" s="3"/>
      <c r="D970" s="3"/>
      <c r="E970" s="3"/>
      <c r="F970" s="3"/>
      <c r="G970" s="3"/>
      <c r="H970" s="3"/>
      <c r="I970" s="3"/>
      <c r="J970" s="3"/>
      <c r="K970" s="3"/>
      <c r="L970" s="3"/>
      <c r="M970" s="3"/>
      <c r="N970" s="3"/>
      <c r="O970" s="3"/>
      <c r="P970" s="3"/>
      <c r="Q970" s="3"/>
      <c r="R970" s="3"/>
    </row>
    <row r="971" spans="1:18" x14ac:dyDescent="0.3">
      <c r="A971" s="3"/>
      <c r="B971" s="3"/>
      <c r="C971" s="3"/>
      <c r="D971" s="3"/>
      <c r="E971" s="3"/>
      <c r="F971" s="3"/>
      <c r="G971" s="3"/>
      <c r="H971" s="3"/>
      <c r="I971" s="3"/>
      <c r="J971" s="3"/>
      <c r="K971" s="3"/>
      <c r="L971" s="3"/>
      <c r="M971" s="3"/>
      <c r="N971" s="3"/>
      <c r="O971" s="3"/>
      <c r="P971" s="3"/>
      <c r="Q971" s="3"/>
      <c r="R971" s="3"/>
    </row>
    <row r="972" spans="1:18" x14ac:dyDescent="0.3">
      <c r="A972" s="3"/>
      <c r="B972" s="3"/>
      <c r="C972" s="3"/>
      <c r="D972" s="3"/>
      <c r="E972" s="3"/>
      <c r="F972" s="3"/>
      <c r="G972" s="3"/>
      <c r="H972" s="3"/>
      <c r="I972" s="3"/>
      <c r="J972" s="3"/>
      <c r="K972" s="3"/>
      <c r="L972" s="3"/>
      <c r="M972" s="3"/>
      <c r="N972" s="3"/>
      <c r="O972" s="3"/>
      <c r="P972" s="3"/>
      <c r="Q972" s="3"/>
      <c r="R972" s="3"/>
    </row>
    <row r="973" spans="1:18" x14ac:dyDescent="0.3">
      <c r="A973" s="3"/>
      <c r="B973" s="3"/>
      <c r="C973" s="3"/>
      <c r="D973" s="3"/>
      <c r="E973" s="3"/>
      <c r="F973" s="3"/>
      <c r="G973" s="3"/>
      <c r="H973" s="3"/>
      <c r="I973" s="3"/>
      <c r="J973" s="3"/>
      <c r="K973" s="3"/>
      <c r="L973" s="3"/>
      <c r="M973" s="3"/>
      <c r="N973" s="3"/>
      <c r="O973" s="3"/>
      <c r="P973" s="3"/>
      <c r="Q973" s="3"/>
      <c r="R973" s="3"/>
    </row>
    <row r="974" spans="1:18" x14ac:dyDescent="0.3">
      <c r="A974" s="3"/>
      <c r="B974" s="3"/>
      <c r="C974" s="3"/>
      <c r="D974" s="3"/>
      <c r="E974" s="3"/>
      <c r="F974" s="3"/>
      <c r="G974" s="3"/>
      <c r="H974" s="3"/>
      <c r="I974" s="3"/>
      <c r="J974" s="3"/>
      <c r="K974" s="3"/>
      <c r="L974" s="3"/>
      <c r="M974" s="3"/>
      <c r="N974" s="3"/>
      <c r="O974" s="3"/>
      <c r="P974" s="3"/>
      <c r="Q974" s="3"/>
      <c r="R974" s="3"/>
    </row>
    <row r="975" spans="1:18" x14ac:dyDescent="0.3">
      <c r="A975" s="3"/>
      <c r="B975" s="3"/>
      <c r="C975" s="3"/>
      <c r="D975" s="3"/>
      <c r="E975" s="3"/>
      <c r="F975" s="3"/>
      <c r="G975" s="3"/>
      <c r="H975" s="3"/>
      <c r="I975" s="3"/>
      <c r="J975" s="3"/>
      <c r="K975" s="3"/>
      <c r="L975" s="3"/>
      <c r="M975" s="3"/>
      <c r="N975" s="3"/>
      <c r="O975" s="3"/>
      <c r="P975" s="3"/>
      <c r="Q975" s="3"/>
      <c r="R975" s="3"/>
    </row>
    <row r="976" spans="1:18" x14ac:dyDescent="0.3">
      <c r="A976" s="3"/>
      <c r="B976" s="3"/>
      <c r="C976" s="3"/>
      <c r="D976" s="3"/>
      <c r="E976" s="3"/>
      <c r="F976" s="3"/>
      <c r="G976" s="3"/>
      <c r="H976" s="3"/>
      <c r="I976" s="3"/>
      <c r="J976" s="3"/>
      <c r="K976" s="3"/>
      <c r="L976" s="3"/>
      <c r="M976" s="3"/>
      <c r="N976" s="3"/>
      <c r="O976" s="3"/>
      <c r="P976" s="3"/>
      <c r="Q976" s="3"/>
      <c r="R976" s="3"/>
    </row>
    <row r="977" spans="1:18" x14ac:dyDescent="0.3">
      <c r="A977" s="3"/>
      <c r="B977" s="3"/>
      <c r="C977" s="3"/>
      <c r="D977" s="3"/>
      <c r="E977" s="3"/>
      <c r="F977" s="3"/>
      <c r="G977" s="3"/>
      <c r="H977" s="3"/>
      <c r="I977" s="3"/>
      <c r="J977" s="3"/>
      <c r="K977" s="3"/>
      <c r="L977" s="3"/>
      <c r="M977" s="3"/>
      <c r="N977" s="3"/>
      <c r="O977" s="3"/>
      <c r="P977" s="3"/>
      <c r="Q977" s="3"/>
      <c r="R977" s="3"/>
    </row>
    <row r="978" spans="1:18" x14ac:dyDescent="0.3">
      <c r="A978" s="3"/>
      <c r="B978" s="3"/>
      <c r="C978" s="3"/>
      <c r="D978" s="3"/>
      <c r="E978" s="3"/>
      <c r="F978" s="3"/>
      <c r="G978" s="3"/>
      <c r="H978" s="3"/>
      <c r="I978" s="3"/>
      <c r="J978" s="3"/>
      <c r="K978" s="3"/>
      <c r="L978" s="3"/>
      <c r="M978" s="3"/>
      <c r="N978" s="3"/>
      <c r="O978" s="3"/>
      <c r="P978" s="3"/>
      <c r="Q978" s="3"/>
      <c r="R978" s="3"/>
    </row>
    <row r="979" spans="1:18" x14ac:dyDescent="0.3">
      <c r="A979" s="3"/>
      <c r="B979" s="3"/>
      <c r="C979" s="3"/>
      <c r="D979" s="3"/>
      <c r="E979" s="3"/>
      <c r="F979" s="3"/>
      <c r="G979" s="3"/>
      <c r="H979" s="3"/>
      <c r="I979" s="3"/>
      <c r="J979" s="3"/>
      <c r="K979" s="3"/>
      <c r="L979" s="3"/>
      <c r="M979" s="3"/>
      <c r="N979" s="3"/>
      <c r="O979" s="3"/>
      <c r="P979" s="3"/>
      <c r="Q979" s="3"/>
      <c r="R979" s="3"/>
    </row>
    <row r="980" spans="1:18" x14ac:dyDescent="0.3">
      <c r="A980" s="3"/>
      <c r="B980" s="3"/>
      <c r="C980" s="3"/>
      <c r="D980" s="3"/>
      <c r="E980" s="3"/>
      <c r="F980" s="3"/>
      <c r="G980" s="3"/>
      <c r="H980" s="3"/>
      <c r="I980" s="3"/>
      <c r="J980" s="3"/>
      <c r="K980" s="3"/>
      <c r="L980" s="3"/>
      <c r="M980" s="3"/>
      <c r="N980" s="3"/>
      <c r="O980" s="3"/>
      <c r="P980" s="3"/>
      <c r="Q980" s="3"/>
      <c r="R980" s="3"/>
    </row>
    <row r="981" spans="1:18" x14ac:dyDescent="0.3">
      <c r="A981" s="3"/>
      <c r="B981" s="3"/>
      <c r="C981" s="3"/>
      <c r="D981" s="3"/>
      <c r="E981" s="3"/>
      <c r="F981" s="3"/>
      <c r="G981" s="3"/>
      <c r="H981" s="3"/>
      <c r="I981" s="3"/>
      <c r="J981" s="3"/>
      <c r="K981" s="3"/>
      <c r="L981" s="3"/>
      <c r="M981" s="3"/>
      <c r="N981" s="3"/>
      <c r="O981" s="3"/>
      <c r="P981" s="3"/>
      <c r="Q981" s="3"/>
      <c r="R981" s="3"/>
    </row>
    <row r="982" spans="1:18" x14ac:dyDescent="0.3">
      <c r="A982" s="3"/>
      <c r="B982" s="3"/>
      <c r="C982" s="3"/>
      <c r="D982" s="3"/>
      <c r="E982" s="3"/>
      <c r="F982" s="3"/>
      <c r="G982" s="3"/>
      <c r="H982" s="3"/>
      <c r="I982" s="3"/>
      <c r="J982" s="3"/>
      <c r="K982" s="3"/>
      <c r="L982" s="3"/>
      <c r="M982" s="3"/>
      <c r="N982" s="3"/>
      <c r="O982" s="3"/>
      <c r="P982" s="3"/>
      <c r="Q982" s="3"/>
      <c r="R982" s="3"/>
    </row>
    <row r="983" spans="1:18" x14ac:dyDescent="0.3">
      <c r="A983" s="3"/>
      <c r="B983" s="3"/>
      <c r="C983" s="3"/>
      <c r="D983" s="3"/>
      <c r="E983" s="3"/>
      <c r="F983" s="3"/>
      <c r="G983" s="3"/>
      <c r="H983" s="3"/>
      <c r="I983" s="3"/>
      <c r="J983" s="3"/>
      <c r="K983" s="3"/>
      <c r="L983" s="3"/>
      <c r="M983" s="3"/>
      <c r="N983" s="3"/>
      <c r="O983" s="3"/>
      <c r="P983" s="3"/>
      <c r="Q983" s="3"/>
      <c r="R983" s="3"/>
    </row>
    <row r="984" spans="1:18" x14ac:dyDescent="0.3">
      <c r="A984" s="3"/>
      <c r="B984" s="3"/>
      <c r="C984" s="3"/>
      <c r="D984" s="3"/>
      <c r="E984" s="3"/>
      <c r="F984" s="3"/>
      <c r="G984" s="3"/>
      <c r="H984" s="3"/>
      <c r="I984" s="3"/>
      <c r="J984" s="3"/>
      <c r="K984" s="3"/>
      <c r="L984" s="3"/>
      <c r="M984" s="3"/>
      <c r="N984" s="3"/>
      <c r="O984" s="3"/>
      <c r="P984" s="3"/>
      <c r="Q984" s="3"/>
      <c r="R984" s="3"/>
    </row>
    <row r="985" spans="1:18" x14ac:dyDescent="0.3">
      <c r="A985" s="3"/>
      <c r="B985" s="3"/>
      <c r="C985" s="3"/>
      <c r="D985" s="3"/>
      <c r="E985" s="3"/>
      <c r="F985" s="3"/>
      <c r="G985" s="3"/>
      <c r="H985" s="3"/>
      <c r="I985" s="3"/>
      <c r="J985" s="3"/>
      <c r="K985" s="3"/>
      <c r="L985" s="3"/>
      <c r="M985" s="3"/>
      <c r="N985" s="3"/>
      <c r="O985" s="3"/>
      <c r="P985" s="3"/>
      <c r="Q985" s="3"/>
      <c r="R985" s="3"/>
    </row>
    <row r="986" spans="1:18" x14ac:dyDescent="0.3">
      <c r="A986" s="3"/>
      <c r="B986" s="3"/>
      <c r="C986" s="3"/>
      <c r="D986" s="3"/>
      <c r="E986" s="3"/>
      <c r="F986" s="3"/>
      <c r="G986" s="3"/>
      <c r="H986" s="3"/>
      <c r="I986" s="3"/>
      <c r="J986" s="3"/>
      <c r="K986" s="3"/>
      <c r="L986" s="3"/>
      <c r="M986" s="3"/>
      <c r="N986" s="3"/>
      <c r="O986" s="3"/>
      <c r="P986" s="3"/>
      <c r="Q986" s="3"/>
      <c r="R986" s="3"/>
    </row>
    <row r="987" spans="1:18" x14ac:dyDescent="0.3">
      <c r="A987" s="3"/>
      <c r="B987" s="3"/>
      <c r="C987" s="3"/>
      <c r="D987" s="3"/>
      <c r="E987" s="3"/>
      <c r="F987" s="3"/>
      <c r="G987" s="3"/>
      <c r="H987" s="3"/>
      <c r="I987" s="3"/>
      <c r="J987" s="3"/>
      <c r="K987" s="3"/>
      <c r="L987" s="3"/>
      <c r="M987" s="3"/>
      <c r="N987" s="3"/>
      <c r="O987" s="3"/>
      <c r="P987" s="3"/>
      <c r="Q987" s="3"/>
      <c r="R987" s="3"/>
    </row>
    <row r="988" spans="1:18" x14ac:dyDescent="0.3">
      <c r="A988" s="3"/>
      <c r="B988" s="3"/>
      <c r="C988" s="3"/>
      <c r="D988" s="3"/>
      <c r="E988" s="3"/>
      <c r="F988" s="3"/>
      <c r="G988" s="3"/>
      <c r="H988" s="3"/>
      <c r="I988" s="3"/>
      <c r="J988" s="3"/>
      <c r="K988" s="3"/>
      <c r="L988" s="3"/>
      <c r="M988" s="3"/>
      <c r="N988" s="3"/>
      <c r="O988" s="3"/>
      <c r="P988" s="3"/>
      <c r="Q988" s="3"/>
      <c r="R988" s="3"/>
    </row>
    <row r="989" spans="1:18" x14ac:dyDescent="0.3">
      <c r="A989" s="3"/>
      <c r="B989" s="3"/>
      <c r="C989" s="3"/>
      <c r="D989" s="3"/>
      <c r="E989" s="3"/>
      <c r="F989" s="3"/>
      <c r="G989" s="3"/>
      <c r="H989" s="3"/>
      <c r="I989" s="3"/>
      <c r="J989" s="3"/>
      <c r="K989" s="3"/>
      <c r="L989" s="3"/>
      <c r="M989" s="3"/>
      <c r="N989" s="3"/>
      <c r="O989" s="3"/>
      <c r="P989" s="3"/>
      <c r="Q989" s="3"/>
      <c r="R989" s="3"/>
    </row>
    <row r="990" spans="1:18" x14ac:dyDescent="0.3">
      <c r="A990" s="3"/>
      <c r="B990" s="3"/>
      <c r="C990" s="3"/>
      <c r="D990" s="3"/>
      <c r="E990" s="3"/>
      <c r="F990" s="3"/>
      <c r="G990" s="3"/>
      <c r="H990" s="3"/>
      <c r="I990" s="3"/>
      <c r="J990" s="3"/>
      <c r="K990" s="3"/>
      <c r="L990" s="3"/>
      <c r="M990" s="3"/>
      <c r="N990" s="3"/>
      <c r="O990" s="3"/>
      <c r="P990" s="3"/>
      <c r="Q990" s="3"/>
      <c r="R990" s="3"/>
    </row>
    <row r="991" spans="1:18" x14ac:dyDescent="0.3">
      <c r="A991" s="3"/>
      <c r="B991" s="3"/>
      <c r="C991" s="3"/>
      <c r="D991" s="3"/>
      <c r="E991" s="3"/>
      <c r="F991" s="3"/>
      <c r="G991" s="3"/>
      <c r="H991" s="3"/>
      <c r="I991" s="3"/>
      <c r="J991" s="3"/>
      <c r="K991" s="3"/>
      <c r="L991" s="3"/>
      <c r="M991" s="3"/>
      <c r="N991" s="3"/>
      <c r="O991" s="3"/>
      <c r="P991" s="3"/>
      <c r="Q991" s="3"/>
      <c r="R991" s="3"/>
    </row>
    <row r="992" spans="1:18" x14ac:dyDescent="0.3">
      <c r="A992" s="3"/>
      <c r="B992" s="3"/>
      <c r="C992" s="3"/>
      <c r="D992" s="3"/>
      <c r="E992" s="3"/>
      <c r="F992" s="3"/>
      <c r="G992" s="3"/>
      <c r="H992" s="3"/>
      <c r="I992" s="3"/>
      <c r="J992" s="3"/>
      <c r="K992" s="3"/>
      <c r="L992" s="3"/>
      <c r="M992" s="3"/>
      <c r="N992" s="3"/>
      <c r="O992" s="3"/>
      <c r="P992" s="3"/>
      <c r="Q992" s="3"/>
      <c r="R992" s="3"/>
    </row>
    <row r="993" spans="1:18" x14ac:dyDescent="0.3">
      <c r="A993" s="3"/>
      <c r="B993" s="3"/>
      <c r="C993" s="3"/>
      <c r="D993" s="3"/>
      <c r="E993" s="3"/>
      <c r="F993" s="3"/>
      <c r="G993" s="3"/>
      <c r="H993" s="3"/>
      <c r="I993" s="3"/>
      <c r="J993" s="3"/>
      <c r="K993" s="3"/>
      <c r="L993" s="3"/>
      <c r="M993" s="3"/>
      <c r="N993" s="3"/>
      <c r="O993" s="3"/>
      <c r="P993" s="3"/>
      <c r="Q993" s="3"/>
      <c r="R993" s="3"/>
    </row>
    <row r="994" spans="1:18" x14ac:dyDescent="0.3">
      <c r="A994" s="3"/>
      <c r="B994" s="3"/>
      <c r="C994" s="3"/>
      <c r="D994" s="3"/>
      <c r="E994" s="3"/>
      <c r="F994" s="3"/>
      <c r="G994" s="3"/>
      <c r="H994" s="3"/>
      <c r="I994" s="3"/>
      <c r="J994" s="3"/>
      <c r="K994" s="3"/>
      <c r="L994" s="3"/>
      <c r="M994" s="3"/>
      <c r="N994" s="3"/>
      <c r="O994" s="3"/>
      <c r="P994" s="3"/>
      <c r="Q994" s="3"/>
      <c r="R994" s="3"/>
    </row>
    <row r="995" spans="1:18" x14ac:dyDescent="0.3">
      <c r="A995" s="3"/>
      <c r="B995" s="3"/>
      <c r="C995" s="3"/>
      <c r="D995" s="3"/>
      <c r="E995" s="3"/>
      <c r="F995" s="3"/>
      <c r="G995" s="3"/>
      <c r="H995" s="3"/>
      <c r="I995" s="3"/>
      <c r="J995" s="3"/>
      <c r="K995" s="3"/>
      <c r="L995" s="3"/>
      <c r="M995" s="3"/>
      <c r="N995" s="3"/>
      <c r="O995" s="3"/>
      <c r="P995" s="3"/>
      <c r="Q995" s="3"/>
      <c r="R995" s="3"/>
    </row>
    <row r="996" spans="1:18" x14ac:dyDescent="0.3">
      <c r="A996" s="3"/>
      <c r="B996" s="3"/>
      <c r="C996" s="3"/>
      <c r="D996" s="3"/>
      <c r="E996" s="3"/>
      <c r="F996" s="3"/>
      <c r="G996" s="3"/>
      <c r="H996" s="3"/>
      <c r="I996" s="3"/>
      <c r="J996" s="3"/>
      <c r="K996" s="3"/>
      <c r="L996" s="3"/>
      <c r="M996" s="3"/>
      <c r="N996" s="3"/>
      <c r="O996" s="3"/>
      <c r="P996" s="3"/>
      <c r="Q996" s="3"/>
      <c r="R996" s="3"/>
    </row>
    <row r="997" spans="1:18" x14ac:dyDescent="0.3">
      <c r="A997" s="3"/>
      <c r="B997" s="3"/>
      <c r="C997" s="3"/>
      <c r="D997" s="3"/>
      <c r="E997" s="3"/>
      <c r="F997" s="3"/>
      <c r="G997" s="3"/>
      <c r="H997" s="3"/>
      <c r="I997" s="3"/>
      <c r="J997" s="3"/>
      <c r="K997" s="3"/>
      <c r="L997" s="3"/>
      <c r="M997" s="3"/>
      <c r="N997" s="3"/>
      <c r="O997" s="3"/>
      <c r="P997" s="3"/>
      <c r="Q997" s="3"/>
      <c r="R997" s="3"/>
    </row>
    <row r="998" spans="1:18" x14ac:dyDescent="0.3">
      <c r="A998" s="3"/>
      <c r="B998" s="3"/>
      <c r="C998" s="3"/>
      <c r="D998" s="3"/>
      <c r="E998" s="3"/>
      <c r="F998" s="3"/>
      <c r="G998" s="3"/>
      <c r="H998" s="3"/>
      <c r="I998" s="3"/>
      <c r="J998" s="3"/>
      <c r="K998" s="3"/>
      <c r="L998" s="3"/>
      <c r="M998" s="3"/>
      <c r="N998" s="3"/>
      <c r="O998" s="3"/>
      <c r="P998" s="3"/>
      <c r="Q998" s="3"/>
      <c r="R998" s="3"/>
    </row>
    <row r="999" spans="1:18" x14ac:dyDescent="0.3">
      <c r="A999" s="3"/>
      <c r="B999" s="3"/>
      <c r="C999" s="3"/>
      <c r="D999" s="3"/>
      <c r="E999" s="3"/>
      <c r="F999" s="3"/>
      <c r="G999" s="3"/>
      <c r="H999" s="3"/>
      <c r="I999" s="3"/>
      <c r="J999" s="3"/>
      <c r="K999" s="3"/>
      <c r="L999" s="3"/>
      <c r="M999" s="3"/>
      <c r="N999" s="3"/>
      <c r="O999" s="3"/>
      <c r="P999" s="3"/>
      <c r="Q999" s="3"/>
      <c r="R999" s="3"/>
    </row>
    <row r="1000" spans="1:18" x14ac:dyDescent="0.3">
      <c r="A1000" s="3"/>
      <c r="B1000" s="3"/>
      <c r="C1000" s="3"/>
      <c r="D1000" s="3"/>
      <c r="E1000" s="3"/>
      <c r="F1000" s="3"/>
      <c r="G1000" s="3"/>
      <c r="H1000" s="3"/>
      <c r="I1000" s="3"/>
      <c r="J1000" s="3"/>
      <c r="K1000" s="3"/>
      <c r="L1000" s="3"/>
      <c r="M1000" s="3"/>
      <c r="N1000" s="3"/>
      <c r="O1000" s="3"/>
      <c r="P1000" s="3"/>
      <c r="Q1000" s="3"/>
      <c r="R1000" s="3"/>
    </row>
    <row r="1001" spans="1:18" x14ac:dyDescent="0.3">
      <c r="A1001" s="3"/>
      <c r="B1001" s="3"/>
      <c r="C1001" s="3"/>
      <c r="D1001" s="3"/>
      <c r="E1001" s="3"/>
      <c r="F1001" s="3"/>
      <c r="G1001" s="3"/>
      <c r="H1001" s="3"/>
      <c r="I1001" s="3"/>
      <c r="J1001" s="3"/>
      <c r="K1001" s="3"/>
      <c r="L1001" s="3"/>
      <c r="M1001" s="3"/>
      <c r="N1001" s="3"/>
      <c r="O1001" s="3"/>
      <c r="P1001" s="3"/>
      <c r="Q1001" s="3"/>
      <c r="R1001" s="3"/>
    </row>
    <row r="1002" spans="1:18" x14ac:dyDescent="0.3">
      <c r="A1002" s="3"/>
      <c r="B1002" s="3"/>
      <c r="C1002" s="3"/>
      <c r="D1002" s="3"/>
      <c r="E1002" s="3"/>
      <c r="F1002" s="3"/>
      <c r="G1002" s="3"/>
      <c r="H1002" s="3"/>
      <c r="I1002" s="3"/>
      <c r="J1002" s="3"/>
      <c r="K1002" s="3"/>
      <c r="L1002" s="3"/>
      <c r="M1002" s="3"/>
      <c r="N1002" s="3"/>
      <c r="O1002" s="3"/>
      <c r="P1002" s="3"/>
      <c r="Q1002" s="3"/>
      <c r="R1002" s="3"/>
    </row>
    <row r="1003" spans="1:18" x14ac:dyDescent="0.3">
      <c r="A1003" s="3"/>
      <c r="B1003" s="3"/>
      <c r="C1003" s="3"/>
      <c r="D1003" s="3"/>
      <c r="E1003" s="3"/>
      <c r="F1003" s="3"/>
      <c r="G1003" s="3"/>
      <c r="H1003" s="3"/>
      <c r="I1003" s="3"/>
      <c r="J1003" s="3"/>
      <c r="K1003" s="3"/>
      <c r="L1003" s="3"/>
      <c r="M1003" s="3"/>
      <c r="N1003" s="3"/>
      <c r="O1003" s="3"/>
      <c r="P1003" s="3"/>
      <c r="Q1003" s="3"/>
      <c r="R1003" s="3"/>
    </row>
    <row r="1004" spans="1:18" x14ac:dyDescent="0.3">
      <c r="A1004" s="3"/>
      <c r="B1004" s="3"/>
      <c r="C1004" s="3"/>
      <c r="D1004" s="3"/>
      <c r="E1004" s="3"/>
      <c r="F1004" s="3"/>
      <c r="G1004" s="3"/>
      <c r="H1004" s="3"/>
      <c r="I1004" s="3"/>
      <c r="J1004" s="3"/>
      <c r="K1004" s="3"/>
      <c r="L1004" s="3"/>
      <c r="M1004" s="3"/>
      <c r="N1004" s="3"/>
      <c r="O1004" s="3"/>
      <c r="P1004" s="3"/>
      <c r="Q1004" s="3"/>
      <c r="R1004" s="3"/>
    </row>
    <row r="1005" spans="1:18" x14ac:dyDescent="0.3">
      <c r="A1005" s="3"/>
      <c r="B1005" s="3"/>
      <c r="C1005" s="3"/>
      <c r="D1005" s="3"/>
      <c r="E1005" s="3"/>
      <c r="F1005" s="3"/>
      <c r="G1005" s="3"/>
      <c r="H1005" s="3"/>
      <c r="I1005" s="3"/>
      <c r="J1005" s="3"/>
      <c r="K1005" s="3"/>
      <c r="L1005" s="3"/>
      <c r="M1005" s="3"/>
      <c r="N1005" s="3"/>
      <c r="O1005" s="3"/>
      <c r="P1005" s="3"/>
      <c r="Q1005" s="3"/>
      <c r="R1005" s="3"/>
    </row>
    <row r="1006" spans="1:18" x14ac:dyDescent="0.3">
      <c r="A1006" s="3"/>
      <c r="B1006" s="3"/>
      <c r="C1006" s="3"/>
      <c r="D1006" s="3"/>
      <c r="E1006" s="3"/>
      <c r="F1006" s="3"/>
      <c r="G1006" s="3"/>
      <c r="H1006" s="3"/>
      <c r="I1006" s="3"/>
      <c r="J1006" s="3"/>
      <c r="K1006" s="3"/>
      <c r="L1006" s="3"/>
      <c r="M1006" s="3"/>
      <c r="N1006" s="3"/>
      <c r="O1006" s="3"/>
      <c r="P1006" s="3"/>
      <c r="Q1006" s="3"/>
      <c r="R1006" s="3"/>
    </row>
    <row r="1007" spans="1:18" x14ac:dyDescent="0.3">
      <c r="A1007" s="3"/>
      <c r="B1007" s="3"/>
      <c r="C1007" s="3"/>
      <c r="D1007" s="3"/>
      <c r="E1007" s="3"/>
      <c r="F1007" s="3"/>
      <c r="G1007" s="3"/>
      <c r="H1007" s="3"/>
      <c r="I1007" s="3"/>
      <c r="J1007" s="3"/>
      <c r="K1007" s="3"/>
      <c r="L1007" s="3"/>
      <c r="M1007" s="3"/>
      <c r="N1007" s="3"/>
      <c r="O1007" s="3"/>
      <c r="P1007" s="3"/>
      <c r="Q1007" s="3"/>
      <c r="R1007" s="3"/>
    </row>
    <row r="1008" spans="1:18" x14ac:dyDescent="0.3">
      <c r="A1008" s="3"/>
      <c r="B1008" s="3"/>
      <c r="C1008" s="3"/>
      <c r="D1008" s="3"/>
      <c r="E1008" s="3"/>
      <c r="F1008" s="3"/>
      <c r="G1008" s="3"/>
      <c r="H1008" s="3"/>
      <c r="I1008" s="3"/>
      <c r="J1008" s="3"/>
      <c r="K1008" s="3"/>
      <c r="L1008" s="3"/>
      <c r="M1008" s="3"/>
      <c r="N1008" s="3"/>
      <c r="O1008" s="3"/>
      <c r="P1008" s="3"/>
      <c r="Q1008" s="3"/>
      <c r="R1008" s="3"/>
    </row>
    <row r="1009" spans="1:18" x14ac:dyDescent="0.3">
      <c r="A1009" s="3"/>
      <c r="B1009" s="3"/>
      <c r="C1009" s="3"/>
      <c r="D1009" s="3"/>
      <c r="E1009" s="3"/>
      <c r="F1009" s="3"/>
      <c r="G1009" s="3"/>
      <c r="H1009" s="3"/>
      <c r="I1009" s="3"/>
      <c r="J1009" s="3"/>
      <c r="K1009" s="3"/>
      <c r="L1009" s="3"/>
      <c r="M1009" s="3"/>
      <c r="N1009" s="3"/>
      <c r="O1009" s="3"/>
      <c r="P1009" s="3"/>
      <c r="Q1009" s="3"/>
      <c r="R1009" s="3"/>
    </row>
    <row r="1010" spans="1:18" x14ac:dyDescent="0.3">
      <c r="A1010" s="3"/>
      <c r="B1010" s="3"/>
      <c r="C1010" s="3"/>
      <c r="D1010" s="3"/>
      <c r="E1010" s="3"/>
      <c r="F1010" s="3"/>
      <c r="G1010" s="3"/>
      <c r="H1010" s="3"/>
      <c r="I1010" s="3"/>
      <c r="J1010" s="3"/>
      <c r="K1010" s="3"/>
      <c r="L1010" s="3"/>
      <c r="M1010" s="3"/>
      <c r="N1010" s="3"/>
      <c r="O1010" s="3"/>
      <c r="P1010" s="3"/>
      <c r="Q1010" s="3"/>
      <c r="R1010" s="3"/>
    </row>
    <row r="1011" spans="1:18" x14ac:dyDescent="0.3">
      <c r="A1011" s="3"/>
      <c r="B1011" s="3"/>
      <c r="C1011" s="3"/>
      <c r="D1011" s="3"/>
      <c r="E1011" s="3"/>
      <c r="F1011" s="3"/>
      <c r="G1011" s="3"/>
      <c r="H1011" s="3"/>
      <c r="I1011" s="3"/>
      <c r="J1011" s="3"/>
      <c r="K1011" s="3"/>
      <c r="L1011" s="3"/>
      <c r="M1011" s="3"/>
      <c r="N1011" s="3"/>
      <c r="O1011" s="3"/>
      <c r="P1011" s="3"/>
      <c r="Q1011" s="3"/>
      <c r="R1011" s="3"/>
    </row>
    <row r="1012" spans="1:18" x14ac:dyDescent="0.3">
      <c r="A1012" s="3"/>
      <c r="B1012" s="3"/>
      <c r="C1012" s="3"/>
      <c r="D1012" s="3"/>
      <c r="E1012" s="3"/>
      <c r="F1012" s="3"/>
      <c r="G1012" s="3"/>
      <c r="H1012" s="3"/>
      <c r="I1012" s="3"/>
      <c r="J1012" s="3"/>
      <c r="K1012" s="3"/>
      <c r="L1012" s="3"/>
      <c r="M1012" s="3"/>
      <c r="N1012" s="3"/>
      <c r="O1012" s="3"/>
      <c r="P1012" s="3"/>
      <c r="Q1012" s="3"/>
      <c r="R1012" s="3"/>
    </row>
    <row r="1013" spans="1:18" x14ac:dyDescent="0.3">
      <c r="A1013" s="3"/>
      <c r="B1013" s="3"/>
      <c r="C1013" s="3"/>
      <c r="D1013" s="3"/>
      <c r="E1013" s="3"/>
      <c r="F1013" s="3"/>
      <c r="G1013" s="3"/>
      <c r="H1013" s="3"/>
      <c r="I1013" s="3"/>
      <c r="J1013" s="3"/>
      <c r="K1013" s="3"/>
      <c r="L1013" s="3"/>
      <c r="M1013" s="3"/>
      <c r="N1013" s="3"/>
      <c r="O1013" s="3"/>
      <c r="P1013" s="3"/>
      <c r="Q1013" s="3"/>
      <c r="R1013" s="3"/>
    </row>
    <row r="1014" spans="1:18" x14ac:dyDescent="0.3">
      <c r="A1014" s="3"/>
      <c r="B1014" s="3"/>
      <c r="C1014" s="3"/>
      <c r="D1014" s="3"/>
      <c r="E1014" s="3"/>
      <c r="F1014" s="3"/>
      <c r="G1014" s="3"/>
      <c r="H1014" s="3"/>
      <c r="I1014" s="3"/>
      <c r="J1014" s="3"/>
      <c r="K1014" s="3"/>
      <c r="L1014" s="3"/>
      <c r="M1014" s="3"/>
      <c r="N1014" s="3"/>
      <c r="O1014" s="3"/>
      <c r="P1014" s="3"/>
      <c r="Q1014" s="3"/>
      <c r="R1014" s="3"/>
    </row>
    <row r="1015" spans="1:18" x14ac:dyDescent="0.3">
      <c r="A1015" s="3"/>
      <c r="B1015" s="3"/>
      <c r="C1015" s="3"/>
      <c r="D1015" s="3"/>
      <c r="E1015" s="3"/>
      <c r="F1015" s="3"/>
      <c r="G1015" s="3"/>
      <c r="H1015" s="3"/>
      <c r="I1015" s="3"/>
      <c r="J1015" s="3"/>
      <c r="K1015" s="3"/>
      <c r="L1015" s="3"/>
      <c r="M1015" s="3"/>
      <c r="N1015" s="3"/>
      <c r="O1015" s="3"/>
      <c r="P1015" s="3"/>
      <c r="Q1015" s="3"/>
      <c r="R1015" s="3"/>
    </row>
    <row r="1016" spans="1:18" x14ac:dyDescent="0.3">
      <c r="A1016" s="3"/>
      <c r="B1016" s="3"/>
      <c r="C1016" s="3"/>
      <c r="D1016" s="3"/>
      <c r="E1016" s="3"/>
      <c r="F1016" s="3"/>
      <c r="G1016" s="3"/>
      <c r="H1016" s="3"/>
      <c r="I1016" s="3"/>
      <c r="J1016" s="3"/>
      <c r="K1016" s="3"/>
      <c r="L1016" s="3"/>
      <c r="M1016" s="3"/>
      <c r="N1016" s="3"/>
      <c r="O1016" s="3"/>
      <c r="P1016" s="3"/>
      <c r="Q1016" s="3"/>
      <c r="R1016" s="3"/>
    </row>
    <row r="1017" spans="1:18" x14ac:dyDescent="0.3">
      <c r="A1017" s="3"/>
      <c r="B1017" s="3"/>
      <c r="C1017" s="3"/>
      <c r="D1017" s="3"/>
      <c r="E1017" s="3"/>
      <c r="F1017" s="3"/>
      <c r="G1017" s="3"/>
      <c r="H1017" s="3"/>
      <c r="I1017" s="3"/>
      <c r="J1017" s="3"/>
      <c r="K1017" s="3"/>
      <c r="L1017" s="3"/>
      <c r="M1017" s="3"/>
      <c r="N1017" s="3"/>
      <c r="O1017" s="3"/>
      <c r="P1017" s="3"/>
      <c r="Q1017" s="3"/>
      <c r="R1017" s="3"/>
    </row>
    <row r="1018" spans="1:18" x14ac:dyDescent="0.3">
      <c r="A1018" s="3"/>
      <c r="B1018" s="3"/>
      <c r="C1018" s="3"/>
      <c r="D1018" s="3"/>
      <c r="E1018" s="3"/>
      <c r="F1018" s="3"/>
      <c r="G1018" s="3"/>
      <c r="H1018" s="3"/>
      <c r="I1018" s="3"/>
      <c r="J1018" s="3"/>
      <c r="K1018" s="3"/>
      <c r="L1018" s="3"/>
      <c r="M1018" s="3"/>
      <c r="N1018" s="3"/>
      <c r="O1018" s="3"/>
      <c r="P1018" s="3"/>
      <c r="Q1018" s="3"/>
      <c r="R1018" s="3"/>
    </row>
    <row r="1019" spans="1:18" x14ac:dyDescent="0.3">
      <c r="A1019" s="3"/>
      <c r="B1019" s="3"/>
      <c r="C1019" s="3"/>
      <c r="D1019" s="3"/>
      <c r="E1019" s="3"/>
      <c r="F1019" s="3"/>
      <c r="G1019" s="3"/>
      <c r="H1019" s="3"/>
      <c r="I1019" s="3"/>
      <c r="J1019" s="3"/>
      <c r="K1019" s="3"/>
      <c r="L1019" s="3"/>
      <c r="M1019" s="3"/>
      <c r="N1019" s="3"/>
      <c r="O1019" s="3"/>
      <c r="P1019" s="3"/>
      <c r="Q1019" s="3"/>
      <c r="R1019" s="3"/>
    </row>
    <row r="1020" spans="1:18" x14ac:dyDescent="0.3">
      <c r="A1020" s="3"/>
      <c r="B1020" s="3"/>
      <c r="C1020" s="3"/>
      <c r="D1020" s="3"/>
      <c r="E1020" s="3"/>
      <c r="F1020" s="3"/>
      <c r="G1020" s="3"/>
      <c r="H1020" s="3"/>
      <c r="I1020" s="3"/>
      <c r="J1020" s="3"/>
      <c r="K1020" s="3"/>
      <c r="L1020" s="3"/>
      <c r="M1020" s="3"/>
      <c r="N1020" s="3"/>
      <c r="O1020" s="3"/>
      <c r="P1020" s="3"/>
      <c r="Q1020" s="3"/>
      <c r="R1020" s="3"/>
    </row>
    <row r="1021" spans="1:18" x14ac:dyDescent="0.3">
      <c r="A1021" s="3"/>
      <c r="B1021" s="3"/>
      <c r="C1021" s="3"/>
      <c r="D1021" s="3"/>
      <c r="E1021" s="3"/>
      <c r="F1021" s="3"/>
      <c r="G1021" s="3"/>
      <c r="H1021" s="3"/>
      <c r="I1021" s="3"/>
      <c r="J1021" s="3"/>
      <c r="K1021" s="3"/>
      <c r="L1021" s="3"/>
      <c r="M1021" s="3"/>
      <c r="N1021" s="3"/>
      <c r="O1021" s="3"/>
      <c r="P1021" s="3"/>
      <c r="Q1021" s="3"/>
      <c r="R1021" s="3"/>
    </row>
    <row r="1022" spans="1:18" x14ac:dyDescent="0.3">
      <c r="A1022" s="3"/>
      <c r="B1022" s="3"/>
      <c r="C1022" s="3"/>
      <c r="D1022" s="3"/>
      <c r="E1022" s="3"/>
      <c r="F1022" s="3"/>
      <c r="G1022" s="3"/>
      <c r="H1022" s="3"/>
      <c r="I1022" s="3"/>
      <c r="J1022" s="3"/>
      <c r="K1022" s="3"/>
      <c r="L1022" s="3"/>
      <c r="M1022" s="3"/>
      <c r="N1022" s="3"/>
      <c r="O1022" s="3"/>
      <c r="P1022" s="3"/>
      <c r="Q1022" s="3"/>
      <c r="R1022" s="3"/>
    </row>
    <row r="1023" spans="1:18" x14ac:dyDescent="0.3">
      <c r="A1023" s="3"/>
      <c r="B1023" s="3"/>
      <c r="C1023" s="3"/>
      <c r="D1023" s="3"/>
      <c r="E1023" s="3"/>
      <c r="F1023" s="3"/>
      <c r="G1023" s="3"/>
      <c r="H1023" s="3"/>
      <c r="I1023" s="3"/>
      <c r="J1023" s="3"/>
      <c r="K1023" s="3"/>
      <c r="L1023" s="3"/>
      <c r="M1023" s="3"/>
      <c r="N1023" s="3"/>
      <c r="O1023" s="3"/>
      <c r="P1023" s="3"/>
      <c r="Q1023" s="3"/>
      <c r="R1023" s="3"/>
    </row>
    <row r="1024" spans="1:18" x14ac:dyDescent="0.3">
      <c r="A1024" s="3"/>
      <c r="B1024" s="3"/>
      <c r="C1024" s="3"/>
      <c r="D1024" s="3"/>
      <c r="E1024" s="3"/>
      <c r="F1024" s="3"/>
      <c r="G1024" s="3"/>
      <c r="H1024" s="3"/>
      <c r="I1024" s="3"/>
      <c r="J1024" s="3"/>
      <c r="K1024" s="3"/>
      <c r="L1024" s="3"/>
      <c r="M1024" s="3"/>
      <c r="N1024" s="3"/>
      <c r="O1024" s="3"/>
      <c r="P1024" s="3"/>
      <c r="Q1024" s="3"/>
      <c r="R1024" s="3"/>
    </row>
    <row r="1025" spans="1:18" x14ac:dyDescent="0.3">
      <c r="A1025" s="3"/>
      <c r="B1025" s="3"/>
      <c r="C1025" s="3"/>
      <c r="D1025" s="3"/>
      <c r="E1025" s="3"/>
      <c r="F1025" s="3"/>
      <c r="G1025" s="3"/>
      <c r="H1025" s="3"/>
      <c r="I1025" s="3"/>
      <c r="J1025" s="3"/>
      <c r="K1025" s="3"/>
      <c r="L1025" s="3"/>
      <c r="M1025" s="3"/>
      <c r="N1025" s="3"/>
      <c r="O1025" s="3"/>
      <c r="P1025" s="3"/>
      <c r="Q1025" s="3"/>
      <c r="R1025" s="3"/>
    </row>
    <row r="1026" spans="1:18" x14ac:dyDescent="0.3">
      <c r="A1026" s="3"/>
      <c r="B1026" s="3"/>
      <c r="C1026" s="3"/>
      <c r="D1026" s="3"/>
      <c r="E1026" s="3"/>
      <c r="F1026" s="3"/>
      <c r="G1026" s="3"/>
      <c r="H1026" s="3"/>
      <c r="I1026" s="3"/>
      <c r="J1026" s="3"/>
      <c r="K1026" s="3"/>
      <c r="L1026" s="3"/>
      <c r="M1026" s="3"/>
      <c r="N1026" s="3"/>
      <c r="O1026" s="3"/>
      <c r="P1026" s="3"/>
      <c r="Q1026" s="3"/>
      <c r="R1026" s="3"/>
    </row>
    <row r="1027" spans="1:18" x14ac:dyDescent="0.3">
      <c r="A1027" s="3"/>
      <c r="B1027" s="3"/>
      <c r="C1027" s="3"/>
      <c r="D1027" s="3"/>
      <c r="E1027" s="3"/>
      <c r="F1027" s="3"/>
      <c r="G1027" s="3"/>
      <c r="H1027" s="3"/>
      <c r="I1027" s="3"/>
      <c r="J1027" s="3"/>
      <c r="K1027" s="3"/>
      <c r="L1027" s="3"/>
      <c r="M1027" s="3"/>
      <c r="N1027" s="3"/>
      <c r="O1027" s="3"/>
      <c r="P1027" s="3"/>
      <c r="Q1027" s="3"/>
      <c r="R1027" s="3"/>
    </row>
    <row r="1028" spans="1:18" x14ac:dyDescent="0.3">
      <c r="A1028" s="3"/>
      <c r="B1028" s="3"/>
      <c r="C1028" s="3"/>
      <c r="D1028" s="3"/>
      <c r="E1028" s="3"/>
      <c r="F1028" s="3"/>
      <c r="G1028" s="3"/>
      <c r="H1028" s="3"/>
      <c r="I1028" s="3"/>
      <c r="J1028" s="3"/>
      <c r="K1028" s="3"/>
      <c r="L1028" s="3"/>
      <c r="M1028" s="3"/>
      <c r="N1028" s="3"/>
      <c r="O1028" s="3"/>
      <c r="P1028" s="3"/>
      <c r="Q1028" s="3"/>
      <c r="R1028" s="3"/>
    </row>
    <row r="1029" spans="1:18" x14ac:dyDescent="0.3">
      <c r="A1029" s="3"/>
      <c r="B1029" s="3"/>
      <c r="C1029" s="3"/>
      <c r="D1029" s="3"/>
      <c r="E1029" s="3"/>
      <c r="F1029" s="3"/>
      <c r="G1029" s="3"/>
      <c r="H1029" s="3"/>
      <c r="I1029" s="3"/>
      <c r="J1029" s="3"/>
      <c r="K1029" s="3"/>
      <c r="L1029" s="3"/>
      <c r="M1029" s="3"/>
      <c r="N1029" s="3"/>
      <c r="O1029" s="3"/>
      <c r="P1029" s="3"/>
      <c r="Q1029" s="3"/>
      <c r="R1029" s="3"/>
    </row>
    <row r="1030" spans="1:18" x14ac:dyDescent="0.3">
      <c r="A1030" s="3"/>
      <c r="B1030" s="3"/>
      <c r="C1030" s="3"/>
      <c r="D1030" s="3"/>
      <c r="E1030" s="3"/>
      <c r="F1030" s="3"/>
      <c r="G1030" s="3"/>
      <c r="H1030" s="3"/>
      <c r="I1030" s="3"/>
      <c r="J1030" s="3"/>
      <c r="K1030" s="3"/>
      <c r="L1030" s="3"/>
      <c r="M1030" s="3"/>
      <c r="N1030" s="3"/>
      <c r="O1030" s="3"/>
      <c r="P1030" s="3"/>
      <c r="Q1030" s="3"/>
      <c r="R1030" s="3"/>
    </row>
    <row r="1031" spans="1:18" x14ac:dyDescent="0.3">
      <c r="A1031" s="3"/>
      <c r="B1031" s="3"/>
      <c r="C1031" s="3"/>
      <c r="D1031" s="3"/>
      <c r="E1031" s="3"/>
      <c r="F1031" s="3"/>
      <c r="G1031" s="3"/>
      <c r="H1031" s="3"/>
      <c r="I1031" s="3"/>
      <c r="J1031" s="3"/>
      <c r="K1031" s="3"/>
      <c r="L1031" s="3"/>
      <c r="M1031" s="3"/>
      <c r="N1031" s="3"/>
      <c r="O1031" s="3"/>
      <c r="P1031" s="3"/>
      <c r="Q1031" s="3"/>
      <c r="R1031" s="3"/>
    </row>
    <row r="1032" spans="1:18" x14ac:dyDescent="0.3">
      <c r="A1032" s="3"/>
      <c r="B1032" s="3"/>
      <c r="C1032" s="3"/>
      <c r="D1032" s="3"/>
      <c r="E1032" s="3"/>
      <c r="F1032" s="3"/>
      <c r="G1032" s="3"/>
      <c r="H1032" s="3"/>
      <c r="I1032" s="3"/>
      <c r="J1032" s="3"/>
      <c r="K1032" s="3"/>
      <c r="L1032" s="3"/>
      <c r="M1032" s="3"/>
      <c r="N1032" s="3"/>
      <c r="O1032" s="3"/>
      <c r="P1032" s="3"/>
      <c r="Q1032" s="3"/>
      <c r="R1032" s="3"/>
    </row>
    <row r="1033" spans="1:18" x14ac:dyDescent="0.3">
      <c r="A1033" s="3"/>
      <c r="B1033" s="3"/>
      <c r="C1033" s="3"/>
      <c r="D1033" s="3"/>
      <c r="E1033" s="3"/>
      <c r="F1033" s="3"/>
      <c r="G1033" s="3"/>
      <c r="H1033" s="3"/>
      <c r="I1033" s="3"/>
      <c r="J1033" s="3"/>
      <c r="K1033" s="3"/>
      <c r="L1033" s="3"/>
      <c r="M1033" s="3"/>
      <c r="N1033" s="3"/>
      <c r="O1033" s="3"/>
      <c r="P1033" s="3"/>
      <c r="Q1033" s="3"/>
      <c r="R1033" s="3"/>
    </row>
    <row r="1034" spans="1:18" x14ac:dyDescent="0.3">
      <c r="A1034" s="3"/>
      <c r="B1034" s="3"/>
      <c r="C1034" s="3"/>
      <c r="D1034" s="3"/>
      <c r="E1034" s="3"/>
      <c r="F1034" s="3"/>
      <c r="G1034" s="3"/>
      <c r="H1034" s="3"/>
      <c r="I1034" s="3"/>
      <c r="J1034" s="3"/>
      <c r="K1034" s="3"/>
      <c r="L1034" s="3"/>
      <c r="M1034" s="3"/>
      <c r="N1034" s="3"/>
      <c r="O1034" s="3"/>
      <c r="P1034" s="3"/>
      <c r="Q1034" s="3"/>
      <c r="R1034" s="3"/>
    </row>
    <row r="1035" spans="1:18" x14ac:dyDescent="0.3">
      <c r="A1035" s="3"/>
      <c r="B1035" s="3"/>
      <c r="C1035" s="3"/>
      <c r="D1035" s="3"/>
      <c r="E1035" s="3"/>
      <c r="F1035" s="3"/>
      <c r="G1035" s="3"/>
      <c r="H1035" s="3"/>
      <c r="I1035" s="3"/>
      <c r="J1035" s="3"/>
      <c r="K1035" s="3"/>
      <c r="L1035" s="3"/>
      <c r="M1035" s="3"/>
      <c r="N1035" s="3"/>
      <c r="O1035" s="3"/>
      <c r="P1035" s="3"/>
      <c r="Q1035" s="3"/>
      <c r="R1035" s="3"/>
    </row>
    <row r="1036" spans="1:18" x14ac:dyDescent="0.3">
      <c r="A1036" s="3"/>
      <c r="B1036" s="3"/>
      <c r="C1036" s="3"/>
      <c r="D1036" s="3"/>
      <c r="E1036" s="3"/>
      <c r="F1036" s="3"/>
      <c r="G1036" s="3"/>
      <c r="H1036" s="3"/>
      <c r="I1036" s="3"/>
      <c r="J1036" s="3"/>
      <c r="K1036" s="3"/>
      <c r="L1036" s="3"/>
      <c r="M1036" s="3"/>
      <c r="N1036" s="3"/>
      <c r="O1036" s="3"/>
      <c r="P1036" s="3"/>
      <c r="Q1036" s="3"/>
      <c r="R1036" s="3"/>
    </row>
    <row r="1037" spans="1:18" x14ac:dyDescent="0.3">
      <c r="A1037" s="3"/>
      <c r="B1037" s="3"/>
      <c r="C1037" s="3"/>
      <c r="D1037" s="3"/>
      <c r="E1037" s="3"/>
      <c r="F1037" s="3"/>
      <c r="G1037" s="3"/>
      <c r="H1037" s="3"/>
      <c r="I1037" s="3"/>
      <c r="J1037" s="3"/>
      <c r="K1037" s="3"/>
      <c r="L1037" s="3"/>
      <c r="M1037" s="3"/>
      <c r="N1037" s="3"/>
      <c r="O1037" s="3"/>
      <c r="P1037" s="3"/>
      <c r="Q1037" s="3"/>
      <c r="R1037" s="3"/>
    </row>
    <row r="1038" spans="1:18" x14ac:dyDescent="0.3">
      <c r="A1038" s="3"/>
      <c r="B1038" s="3"/>
      <c r="C1038" s="3"/>
      <c r="D1038" s="3"/>
      <c r="E1038" s="3"/>
      <c r="F1038" s="3"/>
      <c r="G1038" s="3"/>
      <c r="H1038" s="3"/>
      <c r="I1038" s="3"/>
      <c r="J1038" s="3"/>
      <c r="K1038" s="3"/>
      <c r="L1038" s="3"/>
      <c r="M1038" s="3"/>
      <c r="N1038" s="3"/>
      <c r="O1038" s="3"/>
      <c r="P1038" s="3"/>
      <c r="Q1038" s="3"/>
      <c r="R1038" s="3"/>
    </row>
    <row r="1039" spans="1:18" x14ac:dyDescent="0.3">
      <c r="A1039" s="3"/>
      <c r="B1039" s="3"/>
      <c r="C1039" s="3"/>
      <c r="D1039" s="3"/>
      <c r="E1039" s="3"/>
      <c r="F1039" s="3"/>
      <c r="G1039" s="3"/>
      <c r="H1039" s="3"/>
      <c r="I1039" s="3"/>
      <c r="J1039" s="3"/>
      <c r="K1039" s="3"/>
      <c r="L1039" s="3"/>
      <c r="M1039" s="3"/>
      <c r="N1039" s="3"/>
      <c r="O1039" s="3"/>
      <c r="P1039" s="3"/>
      <c r="Q1039" s="3"/>
      <c r="R1039" s="3"/>
    </row>
    <row r="1040" spans="1:18" x14ac:dyDescent="0.3">
      <c r="A1040" s="3"/>
      <c r="B1040" s="3"/>
      <c r="C1040" s="3"/>
      <c r="D1040" s="3"/>
      <c r="E1040" s="3"/>
      <c r="F1040" s="3"/>
      <c r="G1040" s="3"/>
      <c r="H1040" s="3"/>
      <c r="I1040" s="3"/>
      <c r="J1040" s="3"/>
      <c r="K1040" s="3"/>
      <c r="L1040" s="3"/>
      <c r="M1040" s="3"/>
      <c r="N1040" s="3"/>
      <c r="O1040" s="3"/>
      <c r="P1040" s="3"/>
      <c r="Q1040" s="3"/>
      <c r="R1040" s="3"/>
    </row>
    <row r="1041" spans="1:18" x14ac:dyDescent="0.3">
      <c r="A1041" s="3"/>
      <c r="B1041" s="3"/>
      <c r="C1041" s="3"/>
      <c r="D1041" s="3"/>
      <c r="E1041" s="3"/>
      <c r="F1041" s="3"/>
      <c r="G1041" s="3"/>
      <c r="H1041" s="3"/>
      <c r="I1041" s="3"/>
      <c r="J1041" s="3"/>
      <c r="K1041" s="3"/>
      <c r="L1041" s="3"/>
      <c r="M1041" s="3"/>
      <c r="N1041" s="3"/>
      <c r="O1041" s="3"/>
      <c r="P1041" s="3"/>
      <c r="Q1041" s="3"/>
      <c r="R1041" s="3"/>
    </row>
    <row r="1042" spans="1:18" x14ac:dyDescent="0.3">
      <c r="A1042" s="3"/>
      <c r="B1042" s="3"/>
      <c r="C1042" s="3"/>
      <c r="D1042" s="3"/>
      <c r="E1042" s="3"/>
      <c r="F1042" s="3"/>
      <c r="G1042" s="3"/>
      <c r="H1042" s="3"/>
      <c r="I1042" s="3"/>
      <c r="J1042" s="3"/>
      <c r="K1042" s="3"/>
      <c r="L1042" s="3"/>
      <c r="M1042" s="3"/>
      <c r="N1042" s="3"/>
      <c r="O1042" s="3"/>
      <c r="P1042" s="3"/>
      <c r="Q1042" s="3"/>
      <c r="R1042" s="3"/>
    </row>
    <row r="1043" spans="1:18" x14ac:dyDescent="0.3">
      <c r="A1043" s="3"/>
      <c r="B1043" s="3"/>
      <c r="C1043" s="3"/>
      <c r="D1043" s="3"/>
      <c r="E1043" s="3"/>
      <c r="F1043" s="3"/>
      <c r="G1043" s="3"/>
      <c r="H1043" s="3"/>
      <c r="I1043" s="3"/>
      <c r="J1043" s="3"/>
      <c r="K1043" s="3"/>
      <c r="L1043" s="3"/>
      <c r="M1043" s="3"/>
      <c r="N1043" s="3"/>
      <c r="O1043" s="3"/>
      <c r="P1043" s="3"/>
      <c r="Q1043" s="3"/>
      <c r="R1043" s="3"/>
    </row>
    <row r="1044" spans="1:18" x14ac:dyDescent="0.3">
      <c r="A1044" s="3"/>
      <c r="B1044" s="3"/>
      <c r="C1044" s="3"/>
      <c r="D1044" s="3"/>
      <c r="E1044" s="3"/>
      <c r="F1044" s="3"/>
      <c r="G1044" s="3"/>
      <c r="H1044" s="3"/>
      <c r="I1044" s="3"/>
      <c r="J1044" s="3"/>
      <c r="K1044" s="3"/>
      <c r="L1044" s="3"/>
      <c r="M1044" s="3"/>
      <c r="N1044" s="3"/>
      <c r="O1044" s="3"/>
      <c r="P1044" s="3"/>
      <c r="Q1044" s="3"/>
      <c r="R1044" s="3"/>
    </row>
    <row r="1045" spans="1:18" x14ac:dyDescent="0.3">
      <c r="A1045" s="3"/>
      <c r="B1045" s="3"/>
      <c r="C1045" s="3"/>
      <c r="D1045" s="3"/>
      <c r="E1045" s="3"/>
      <c r="F1045" s="3"/>
      <c r="G1045" s="3"/>
      <c r="H1045" s="3"/>
      <c r="I1045" s="3"/>
      <c r="J1045" s="3"/>
      <c r="K1045" s="3"/>
      <c r="L1045" s="3"/>
      <c r="M1045" s="3"/>
      <c r="N1045" s="3"/>
      <c r="O1045" s="3"/>
      <c r="P1045" s="3"/>
      <c r="Q1045" s="3"/>
      <c r="R1045" s="3"/>
    </row>
    <row r="1046" spans="1:18" x14ac:dyDescent="0.3">
      <c r="A1046" s="3"/>
      <c r="B1046" s="3"/>
      <c r="C1046" s="3"/>
      <c r="D1046" s="3"/>
      <c r="E1046" s="3"/>
      <c r="F1046" s="3"/>
      <c r="G1046" s="3"/>
      <c r="H1046" s="3"/>
      <c r="I1046" s="3"/>
      <c r="J1046" s="3"/>
      <c r="K1046" s="3"/>
      <c r="L1046" s="3"/>
      <c r="M1046" s="3"/>
      <c r="N1046" s="3"/>
      <c r="O1046" s="3"/>
      <c r="P1046" s="3"/>
      <c r="Q1046" s="3"/>
      <c r="R1046" s="3"/>
    </row>
    <row r="1047" spans="1:18" x14ac:dyDescent="0.3">
      <c r="A1047" s="3"/>
      <c r="B1047" s="3"/>
      <c r="C1047" s="3"/>
      <c r="D1047" s="3"/>
      <c r="E1047" s="3"/>
      <c r="F1047" s="3"/>
      <c r="G1047" s="3"/>
      <c r="H1047" s="3"/>
      <c r="I1047" s="3"/>
      <c r="J1047" s="3"/>
      <c r="K1047" s="3"/>
      <c r="L1047" s="3"/>
      <c r="M1047" s="3"/>
      <c r="N1047" s="3"/>
      <c r="O1047" s="3"/>
      <c r="P1047" s="3"/>
      <c r="Q1047" s="3"/>
      <c r="R1047" s="3"/>
    </row>
    <row r="1048" spans="1:18" x14ac:dyDescent="0.3">
      <c r="A1048" s="3"/>
      <c r="B1048" s="3"/>
      <c r="C1048" s="3"/>
      <c r="D1048" s="3"/>
      <c r="E1048" s="3"/>
      <c r="F1048" s="3"/>
      <c r="G1048" s="3"/>
      <c r="H1048" s="3"/>
      <c r="I1048" s="3"/>
      <c r="J1048" s="3"/>
      <c r="K1048" s="3"/>
      <c r="L1048" s="3"/>
      <c r="M1048" s="3"/>
      <c r="N1048" s="3"/>
      <c r="O1048" s="3"/>
      <c r="P1048" s="3"/>
      <c r="Q1048" s="3"/>
      <c r="R1048" s="3"/>
    </row>
    <row r="1049" spans="1:18" x14ac:dyDescent="0.3">
      <c r="A1049" s="3"/>
      <c r="B1049" s="3"/>
      <c r="C1049" s="3"/>
      <c r="D1049" s="3"/>
      <c r="E1049" s="3"/>
      <c r="F1049" s="3"/>
      <c r="G1049" s="3"/>
      <c r="H1049" s="3"/>
      <c r="I1049" s="3"/>
      <c r="J1049" s="3"/>
      <c r="K1049" s="3"/>
      <c r="L1049" s="3"/>
      <c r="M1049" s="3"/>
      <c r="N1049" s="3"/>
      <c r="O1049" s="3"/>
      <c r="P1049" s="3"/>
      <c r="Q1049" s="3"/>
      <c r="R1049" s="3"/>
    </row>
    <row r="1050" spans="1:18" x14ac:dyDescent="0.3">
      <c r="A1050" s="3"/>
      <c r="B1050" s="3"/>
      <c r="C1050" s="3"/>
      <c r="D1050" s="3"/>
      <c r="E1050" s="3"/>
      <c r="F1050" s="3"/>
      <c r="G1050" s="3"/>
      <c r="H1050" s="3"/>
      <c r="I1050" s="3"/>
      <c r="J1050" s="3"/>
      <c r="K1050" s="3"/>
      <c r="L1050" s="3"/>
      <c r="M1050" s="3"/>
      <c r="N1050" s="3"/>
      <c r="O1050" s="3"/>
      <c r="P1050" s="3"/>
      <c r="Q1050" s="3"/>
      <c r="R1050" s="3"/>
    </row>
    <row r="1051" spans="1:18" x14ac:dyDescent="0.3">
      <c r="A1051" s="3"/>
      <c r="B1051" s="3"/>
      <c r="C1051" s="3"/>
      <c r="D1051" s="3"/>
      <c r="E1051" s="3"/>
      <c r="F1051" s="3"/>
      <c r="G1051" s="3"/>
      <c r="H1051" s="3"/>
      <c r="I1051" s="3"/>
      <c r="J1051" s="3"/>
      <c r="K1051" s="3"/>
      <c r="L1051" s="3"/>
      <c r="M1051" s="3"/>
      <c r="N1051" s="3"/>
      <c r="O1051" s="3"/>
      <c r="P1051" s="3"/>
      <c r="Q1051" s="3"/>
      <c r="R1051" s="3"/>
    </row>
    <row r="1052" spans="1:18" x14ac:dyDescent="0.3">
      <c r="A1052" s="3"/>
      <c r="B1052" s="3"/>
      <c r="C1052" s="3"/>
      <c r="D1052" s="3"/>
      <c r="E1052" s="3"/>
      <c r="F1052" s="3"/>
      <c r="G1052" s="3"/>
      <c r="H1052" s="3"/>
      <c r="I1052" s="3"/>
      <c r="J1052" s="3"/>
      <c r="K1052" s="3"/>
      <c r="L1052" s="3"/>
      <c r="M1052" s="3"/>
      <c r="N1052" s="3"/>
      <c r="O1052" s="3"/>
      <c r="P1052" s="3"/>
      <c r="Q1052" s="3"/>
      <c r="R1052" s="3"/>
    </row>
    <row r="1053" spans="1:18" x14ac:dyDescent="0.3">
      <c r="A1053" s="3"/>
      <c r="B1053" s="3"/>
      <c r="C1053" s="3"/>
      <c r="D1053" s="3"/>
      <c r="E1053" s="3"/>
      <c r="F1053" s="3"/>
      <c r="G1053" s="3"/>
      <c r="H1053" s="3"/>
      <c r="I1053" s="3"/>
      <c r="J1053" s="3"/>
      <c r="K1053" s="3"/>
      <c r="L1053" s="3"/>
      <c r="M1053" s="3"/>
      <c r="N1053" s="3"/>
      <c r="O1053" s="3"/>
      <c r="P1053" s="3"/>
      <c r="Q1053" s="3"/>
      <c r="R1053" s="3"/>
    </row>
    <row r="1054" spans="1:18" x14ac:dyDescent="0.3">
      <c r="A1054" s="3"/>
      <c r="B1054" s="3"/>
      <c r="C1054" s="3"/>
      <c r="D1054" s="3"/>
      <c r="E1054" s="3"/>
      <c r="F1054" s="3"/>
      <c r="G1054" s="3"/>
      <c r="H1054" s="3"/>
      <c r="I1054" s="3"/>
      <c r="J1054" s="3"/>
      <c r="K1054" s="3"/>
      <c r="L1054" s="3"/>
      <c r="M1054" s="3"/>
      <c r="N1054" s="3"/>
      <c r="O1054" s="3"/>
      <c r="P1054" s="3"/>
      <c r="Q1054" s="3"/>
      <c r="R1054" s="3"/>
    </row>
    <row r="1055" spans="1:18" x14ac:dyDescent="0.3">
      <c r="A1055" s="3"/>
      <c r="B1055" s="3"/>
      <c r="C1055" s="3"/>
      <c r="D1055" s="3"/>
      <c r="E1055" s="3"/>
      <c r="F1055" s="3"/>
      <c r="G1055" s="3"/>
      <c r="H1055" s="3"/>
      <c r="I1055" s="3"/>
      <c r="J1055" s="3"/>
      <c r="K1055" s="3"/>
      <c r="L1055" s="3"/>
      <c r="M1055" s="3"/>
      <c r="N1055" s="3"/>
      <c r="O1055" s="3"/>
      <c r="P1055" s="3"/>
      <c r="Q1055" s="3"/>
      <c r="R1055" s="3"/>
    </row>
    <row r="1056" spans="1:18" x14ac:dyDescent="0.3">
      <c r="A1056" s="3"/>
      <c r="B1056" s="3"/>
      <c r="C1056" s="3"/>
      <c r="D1056" s="3"/>
      <c r="E1056" s="3"/>
      <c r="F1056" s="3"/>
      <c r="G1056" s="3"/>
      <c r="H1056" s="3"/>
      <c r="I1056" s="3"/>
      <c r="J1056" s="3"/>
      <c r="K1056" s="3"/>
      <c r="L1056" s="3"/>
      <c r="M1056" s="3"/>
      <c r="N1056" s="3"/>
      <c r="O1056" s="3"/>
      <c r="P1056" s="3"/>
      <c r="Q1056" s="3"/>
      <c r="R1056" s="3"/>
    </row>
    <row r="1057" spans="1:18" x14ac:dyDescent="0.3">
      <c r="A1057" s="3"/>
      <c r="B1057" s="3"/>
      <c r="C1057" s="3"/>
      <c r="D1057" s="3"/>
      <c r="E1057" s="3"/>
      <c r="F1057" s="3"/>
      <c r="G1057" s="3"/>
      <c r="H1057" s="3"/>
      <c r="I1057" s="3"/>
      <c r="J1057" s="3"/>
      <c r="K1057" s="3"/>
      <c r="L1057" s="3"/>
      <c r="M1057" s="3"/>
      <c r="N1057" s="3"/>
      <c r="O1057" s="3"/>
      <c r="P1057" s="3"/>
      <c r="Q1057" s="3"/>
      <c r="R1057" s="3"/>
    </row>
    <row r="1058" spans="1:18" x14ac:dyDescent="0.3">
      <c r="A1058" s="3"/>
      <c r="B1058" s="3"/>
      <c r="C1058" s="3"/>
      <c r="D1058" s="3"/>
      <c r="E1058" s="3"/>
      <c r="F1058" s="3"/>
      <c r="G1058" s="3"/>
      <c r="H1058" s="3"/>
      <c r="I1058" s="3"/>
      <c r="J1058" s="3"/>
      <c r="K1058" s="3"/>
      <c r="L1058" s="3"/>
      <c r="M1058" s="3"/>
      <c r="N1058" s="3"/>
      <c r="O1058" s="3"/>
      <c r="P1058" s="3"/>
      <c r="Q1058" s="3"/>
      <c r="R1058" s="3"/>
    </row>
    <row r="1059" spans="1:18" x14ac:dyDescent="0.3">
      <c r="A1059" s="3"/>
      <c r="B1059" s="3"/>
      <c r="C1059" s="3"/>
      <c r="D1059" s="3"/>
      <c r="E1059" s="3"/>
      <c r="F1059" s="3"/>
      <c r="G1059" s="3"/>
      <c r="H1059" s="3"/>
      <c r="I1059" s="3"/>
      <c r="J1059" s="3"/>
      <c r="K1059" s="3"/>
      <c r="L1059" s="3"/>
      <c r="M1059" s="3"/>
      <c r="N1059" s="3"/>
      <c r="O1059" s="3"/>
      <c r="P1059" s="3"/>
      <c r="Q1059" s="3"/>
      <c r="R1059" s="3"/>
    </row>
    <row r="1060" spans="1:18" x14ac:dyDescent="0.3">
      <c r="A1060" s="3"/>
      <c r="B1060" s="3"/>
      <c r="C1060" s="3"/>
      <c r="D1060" s="3"/>
      <c r="E1060" s="3"/>
      <c r="F1060" s="3"/>
      <c r="G1060" s="3"/>
      <c r="H1060" s="3"/>
      <c r="I1060" s="3"/>
      <c r="J1060" s="3"/>
      <c r="K1060" s="3"/>
      <c r="L1060" s="3"/>
      <c r="M1060" s="3"/>
      <c r="N1060" s="3"/>
      <c r="O1060" s="3"/>
      <c r="P1060" s="3"/>
      <c r="Q1060" s="3"/>
      <c r="R1060" s="3"/>
    </row>
    <row r="1061" spans="1:18" x14ac:dyDescent="0.3">
      <c r="A1061" s="3"/>
      <c r="B1061" s="3"/>
      <c r="C1061" s="3"/>
      <c r="D1061" s="3"/>
      <c r="E1061" s="3"/>
      <c r="F1061" s="3"/>
      <c r="G1061" s="3"/>
      <c r="H1061" s="3"/>
      <c r="I1061" s="3"/>
      <c r="J1061" s="3"/>
      <c r="K1061" s="3"/>
      <c r="L1061" s="3"/>
      <c r="M1061" s="3"/>
      <c r="N1061" s="3"/>
      <c r="O1061" s="3"/>
      <c r="P1061" s="3"/>
      <c r="Q1061" s="3"/>
      <c r="R1061" s="3"/>
    </row>
    <row r="1062" spans="1:18" x14ac:dyDescent="0.3">
      <c r="A1062" s="3"/>
      <c r="B1062" s="3"/>
      <c r="C1062" s="3"/>
      <c r="D1062" s="3"/>
      <c r="E1062" s="3"/>
      <c r="F1062" s="3"/>
      <c r="G1062" s="3"/>
      <c r="H1062" s="3"/>
      <c r="I1062" s="3"/>
      <c r="J1062" s="3"/>
      <c r="K1062" s="3"/>
      <c r="L1062" s="3"/>
      <c r="M1062" s="3"/>
      <c r="N1062" s="3"/>
      <c r="O1062" s="3"/>
      <c r="P1062" s="3"/>
      <c r="Q1062" s="3"/>
      <c r="R1062" s="3"/>
    </row>
    <row r="1063" spans="1:18" x14ac:dyDescent="0.3">
      <c r="A1063" s="3"/>
      <c r="B1063" s="3"/>
      <c r="C1063" s="3"/>
      <c r="D1063" s="3"/>
      <c r="E1063" s="3"/>
      <c r="F1063" s="3"/>
      <c r="G1063" s="3"/>
      <c r="H1063" s="3"/>
      <c r="I1063" s="3"/>
      <c r="J1063" s="3"/>
      <c r="K1063" s="3"/>
      <c r="L1063" s="3"/>
      <c r="M1063" s="3"/>
      <c r="N1063" s="3"/>
      <c r="O1063" s="3"/>
      <c r="P1063" s="3"/>
      <c r="Q1063" s="3"/>
      <c r="R1063" s="3"/>
    </row>
    <row r="1064" spans="1:18" x14ac:dyDescent="0.3">
      <c r="A1064" s="3"/>
      <c r="B1064" s="3"/>
      <c r="C1064" s="3"/>
      <c r="D1064" s="3"/>
      <c r="E1064" s="3"/>
      <c r="F1064" s="3"/>
      <c r="G1064" s="3"/>
      <c r="H1064" s="3"/>
      <c r="I1064" s="3"/>
      <c r="J1064" s="3"/>
      <c r="K1064" s="3"/>
      <c r="L1064" s="3"/>
      <c r="M1064" s="3"/>
      <c r="N1064" s="3"/>
      <c r="O1064" s="3"/>
      <c r="P1064" s="3"/>
      <c r="Q1064" s="3"/>
      <c r="R1064" s="3"/>
    </row>
    <row r="1065" spans="1:18" x14ac:dyDescent="0.3">
      <c r="A1065" s="3"/>
      <c r="B1065" s="3"/>
      <c r="C1065" s="3"/>
      <c r="D1065" s="3"/>
      <c r="E1065" s="3"/>
      <c r="F1065" s="3"/>
      <c r="G1065" s="3"/>
      <c r="H1065" s="3"/>
      <c r="I1065" s="3"/>
      <c r="J1065" s="3"/>
      <c r="K1065" s="3"/>
      <c r="L1065" s="3"/>
      <c r="M1065" s="3"/>
      <c r="N1065" s="3"/>
      <c r="O1065" s="3"/>
      <c r="P1065" s="3"/>
      <c r="Q1065" s="3"/>
      <c r="R1065" s="3"/>
    </row>
    <row r="1066" spans="1:18" x14ac:dyDescent="0.3">
      <c r="A1066" s="3"/>
      <c r="B1066" s="3"/>
      <c r="C1066" s="3"/>
      <c r="D1066" s="3"/>
      <c r="E1066" s="3"/>
      <c r="F1066" s="3"/>
      <c r="G1066" s="3"/>
      <c r="H1066" s="3"/>
      <c r="I1066" s="3"/>
      <c r="J1066" s="3"/>
      <c r="K1066" s="3"/>
      <c r="L1066" s="3"/>
      <c r="M1066" s="3"/>
      <c r="N1066" s="3"/>
      <c r="O1066" s="3"/>
      <c r="P1066" s="3"/>
      <c r="Q1066" s="3"/>
      <c r="R1066" s="3"/>
    </row>
    <row r="1067" spans="1:18" x14ac:dyDescent="0.3">
      <c r="A1067" s="3"/>
      <c r="B1067" s="3"/>
      <c r="C1067" s="3"/>
      <c r="D1067" s="3"/>
      <c r="E1067" s="3"/>
      <c r="F1067" s="3"/>
      <c r="G1067" s="3"/>
      <c r="H1067" s="3"/>
      <c r="I1067" s="3"/>
      <c r="J1067" s="3"/>
      <c r="K1067" s="3"/>
      <c r="L1067" s="3"/>
      <c r="M1067" s="3"/>
      <c r="N1067" s="3"/>
      <c r="O1067" s="3"/>
      <c r="P1067" s="3"/>
      <c r="Q1067" s="3"/>
      <c r="R1067" s="3"/>
    </row>
    <row r="1068" spans="1:18" x14ac:dyDescent="0.3">
      <c r="A1068" s="3"/>
      <c r="B1068" s="3"/>
      <c r="C1068" s="3"/>
      <c r="D1068" s="3"/>
      <c r="E1068" s="3"/>
      <c r="F1068" s="3"/>
      <c r="G1068" s="3"/>
      <c r="H1068" s="3"/>
      <c r="I1068" s="3"/>
      <c r="J1068" s="3"/>
      <c r="K1068" s="3"/>
      <c r="L1068" s="3"/>
      <c r="M1068" s="3"/>
      <c r="N1068" s="3"/>
      <c r="O1068" s="3"/>
      <c r="P1068" s="3"/>
      <c r="Q1068" s="3"/>
      <c r="R1068" s="3"/>
    </row>
    <row r="1069" spans="1:18" x14ac:dyDescent="0.3">
      <c r="A1069" s="3"/>
      <c r="B1069" s="3"/>
      <c r="C1069" s="3"/>
      <c r="D1069" s="3"/>
      <c r="E1069" s="3"/>
      <c r="F1069" s="3"/>
      <c r="G1069" s="3"/>
      <c r="H1069" s="3"/>
      <c r="I1069" s="3"/>
      <c r="J1069" s="3"/>
      <c r="K1069" s="3"/>
      <c r="L1069" s="3"/>
      <c r="M1069" s="3"/>
      <c r="N1069" s="3"/>
      <c r="O1069" s="3"/>
      <c r="P1069" s="3"/>
      <c r="Q1069" s="3"/>
      <c r="R1069" s="3"/>
    </row>
    <row r="1070" spans="1:18" x14ac:dyDescent="0.3">
      <c r="A1070" s="3"/>
      <c r="B1070" s="3"/>
      <c r="C1070" s="3"/>
      <c r="D1070" s="3"/>
      <c r="E1070" s="3"/>
      <c r="F1070" s="3"/>
      <c r="G1070" s="3"/>
      <c r="H1070" s="3"/>
      <c r="I1070" s="3"/>
      <c r="J1070" s="3"/>
      <c r="K1070" s="3"/>
      <c r="L1070" s="3"/>
      <c r="M1070" s="3"/>
      <c r="N1070" s="3"/>
      <c r="O1070" s="3"/>
      <c r="P1070" s="3"/>
      <c r="Q1070" s="3"/>
      <c r="R1070" s="3"/>
    </row>
    <row r="1071" spans="1:18" x14ac:dyDescent="0.3">
      <c r="A1071" s="3"/>
      <c r="B1071" s="3"/>
      <c r="C1071" s="3"/>
      <c r="D1071" s="3"/>
      <c r="E1071" s="3"/>
      <c r="F1071" s="3"/>
      <c r="G1071" s="3"/>
      <c r="H1071" s="3"/>
      <c r="I1071" s="3"/>
      <c r="J1071" s="3"/>
      <c r="K1071" s="3"/>
      <c r="L1071" s="3"/>
      <c r="M1071" s="3"/>
      <c r="N1071" s="3"/>
      <c r="O1071" s="3"/>
      <c r="P1071" s="3"/>
      <c r="Q1071" s="3"/>
      <c r="R1071" s="3"/>
    </row>
    <row r="1072" spans="1:18" x14ac:dyDescent="0.3">
      <c r="A1072" s="3"/>
      <c r="B1072" s="3"/>
      <c r="C1072" s="3"/>
      <c r="D1072" s="3"/>
      <c r="E1072" s="3"/>
      <c r="F1072" s="3"/>
      <c r="G1072" s="3"/>
      <c r="H1072" s="3"/>
      <c r="I1072" s="3"/>
      <c r="J1072" s="3"/>
      <c r="K1072" s="3"/>
      <c r="L1072" s="3"/>
      <c r="M1072" s="3"/>
      <c r="N1072" s="3"/>
      <c r="O1072" s="3"/>
      <c r="P1072" s="3"/>
      <c r="Q1072" s="3"/>
      <c r="R1072" s="3"/>
    </row>
    <row r="1073" spans="1:18" x14ac:dyDescent="0.3">
      <c r="A1073" s="3"/>
      <c r="B1073" s="3"/>
      <c r="C1073" s="3"/>
      <c r="D1073" s="3"/>
      <c r="E1073" s="3"/>
      <c r="F1073" s="3"/>
      <c r="G1073" s="3"/>
      <c r="H1073" s="3"/>
      <c r="I1073" s="3"/>
      <c r="J1073" s="3"/>
      <c r="K1073" s="3"/>
      <c r="L1073" s="3"/>
      <c r="M1073" s="3"/>
      <c r="N1073" s="3"/>
      <c r="O1073" s="3"/>
      <c r="P1073" s="3"/>
      <c r="Q1073" s="3"/>
      <c r="R1073" s="3"/>
    </row>
    <row r="1074" spans="1:18" x14ac:dyDescent="0.3">
      <c r="A1074" s="3"/>
      <c r="B1074" s="3"/>
      <c r="C1074" s="3"/>
      <c r="D1074" s="3"/>
      <c r="E1074" s="3"/>
      <c r="F1074" s="3"/>
      <c r="G1074" s="3"/>
      <c r="H1074" s="3"/>
      <c r="I1074" s="3"/>
      <c r="J1074" s="3"/>
      <c r="K1074" s="3"/>
      <c r="L1074" s="3"/>
      <c r="M1074" s="3"/>
      <c r="N1074" s="3"/>
      <c r="O1074" s="3"/>
      <c r="P1074" s="3"/>
      <c r="Q1074" s="3"/>
      <c r="R1074" s="3"/>
    </row>
    <row r="1075" spans="1:18" x14ac:dyDescent="0.3">
      <c r="A1075" s="3"/>
      <c r="B1075" s="3"/>
      <c r="C1075" s="3"/>
      <c r="D1075" s="3"/>
      <c r="E1075" s="3"/>
      <c r="F1075" s="3"/>
      <c r="G1075" s="3"/>
      <c r="H1075" s="3"/>
      <c r="I1075" s="3"/>
      <c r="J1075" s="3"/>
      <c r="K1075" s="3"/>
      <c r="L1075" s="3"/>
      <c r="M1075" s="3"/>
      <c r="N1075" s="3"/>
      <c r="O1075" s="3"/>
      <c r="P1075" s="3"/>
      <c r="Q1075" s="3"/>
      <c r="R1075" s="3"/>
    </row>
    <row r="1076" spans="1:18" x14ac:dyDescent="0.3">
      <c r="A1076" s="3"/>
      <c r="B1076" s="3"/>
      <c r="C1076" s="3"/>
      <c r="D1076" s="3"/>
      <c r="E1076" s="3"/>
      <c r="F1076" s="3"/>
      <c r="G1076" s="3"/>
      <c r="H1076" s="3"/>
      <c r="I1076" s="3"/>
      <c r="J1076" s="3"/>
      <c r="K1076" s="3"/>
      <c r="L1076" s="3"/>
      <c r="M1076" s="3"/>
      <c r="N1076" s="3"/>
      <c r="O1076" s="3"/>
      <c r="P1076" s="3"/>
      <c r="Q1076" s="3"/>
      <c r="R1076" s="3"/>
    </row>
    <row r="1077" spans="1:18" x14ac:dyDescent="0.3">
      <c r="A1077" s="3"/>
      <c r="B1077" s="3"/>
      <c r="C1077" s="3"/>
      <c r="D1077" s="3"/>
      <c r="E1077" s="3"/>
      <c r="F1077" s="3"/>
      <c r="G1077" s="3"/>
      <c r="H1077" s="3"/>
      <c r="I1077" s="3"/>
      <c r="J1077" s="3"/>
      <c r="K1077" s="3"/>
      <c r="L1077" s="3"/>
      <c r="M1077" s="3"/>
      <c r="N1077" s="3"/>
      <c r="O1077" s="3"/>
      <c r="P1077" s="3"/>
      <c r="Q1077" s="3"/>
      <c r="R1077" s="3"/>
    </row>
    <row r="1078" spans="1:18" x14ac:dyDescent="0.3">
      <c r="A1078" s="3"/>
      <c r="B1078" s="3"/>
      <c r="C1078" s="3"/>
      <c r="D1078" s="3"/>
      <c r="E1078" s="3"/>
      <c r="F1078" s="3"/>
      <c r="G1078" s="3"/>
      <c r="H1078" s="3"/>
      <c r="I1078" s="3"/>
      <c r="J1078" s="3"/>
      <c r="K1078" s="3"/>
      <c r="L1078" s="3"/>
      <c r="M1078" s="3"/>
      <c r="N1078" s="3"/>
      <c r="O1078" s="3"/>
      <c r="P1078" s="3"/>
      <c r="Q1078" s="3"/>
      <c r="R1078" s="3"/>
    </row>
    <row r="1079" spans="1:18" x14ac:dyDescent="0.3">
      <c r="A1079" s="3"/>
      <c r="B1079" s="3"/>
      <c r="C1079" s="3"/>
      <c r="D1079" s="3"/>
      <c r="E1079" s="3"/>
      <c r="F1079" s="3"/>
      <c r="G1079" s="3"/>
      <c r="H1079" s="3"/>
      <c r="I1079" s="3"/>
      <c r="J1079" s="3"/>
      <c r="K1079" s="3"/>
      <c r="L1079" s="3"/>
      <c r="M1079" s="3"/>
      <c r="N1079" s="3"/>
      <c r="O1079" s="3"/>
      <c r="P1079" s="3"/>
      <c r="Q1079" s="3"/>
      <c r="R1079" s="3"/>
    </row>
    <row r="1080" spans="1:18" x14ac:dyDescent="0.3">
      <c r="A1080" s="3"/>
      <c r="B1080" s="3"/>
      <c r="C1080" s="3"/>
      <c r="D1080" s="3"/>
      <c r="E1080" s="3"/>
      <c r="F1080" s="3"/>
      <c r="G1080" s="3"/>
      <c r="H1080" s="3"/>
      <c r="I1080" s="3"/>
      <c r="J1080" s="3"/>
      <c r="K1080" s="3"/>
      <c r="L1080" s="3"/>
      <c r="M1080" s="3"/>
      <c r="N1080" s="3"/>
      <c r="O1080" s="3"/>
      <c r="P1080" s="3"/>
      <c r="Q1080" s="3"/>
      <c r="R1080" s="3"/>
    </row>
    <row r="1081" spans="1:18" x14ac:dyDescent="0.3">
      <c r="A1081" s="3"/>
      <c r="B1081" s="3"/>
      <c r="C1081" s="3"/>
      <c r="D1081" s="3"/>
      <c r="E1081" s="3"/>
      <c r="F1081" s="3"/>
      <c r="G1081" s="3"/>
      <c r="H1081" s="3"/>
      <c r="I1081" s="3"/>
      <c r="J1081" s="3"/>
      <c r="K1081" s="3"/>
      <c r="L1081" s="3"/>
      <c r="M1081" s="3"/>
      <c r="N1081" s="3"/>
      <c r="O1081" s="3"/>
      <c r="P1081" s="3"/>
      <c r="Q1081" s="3"/>
      <c r="R1081" s="3"/>
    </row>
    <row r="1082" spans="1:18" x14ac:dyDescent="0.3">
      <c r="A1082" s="3"/>
      <c r="B1082" s="3"/>
      <c r="C1082" s="3"/>
      <c r="D1082" s="3"/>
      <c r="E1082" s="3"/>
      <c r="F1082" s="3"/>
      <c r="G1082" s="3"/>
      <c r="H1082" s="3"/>
      <c r="I1082" s="3"/>
      <c r="J1082" s="3"/>
      <c r="K1082" s="3"/>
      <c r="L1082" s="3"/>
      <c r="M1082" s="3"/>
      <c r="N1082" s="3"/>
      <c r="O1082" s="3"/>
      <c r="P1082" s="3"/>
      <c r="Q1082" s="3"/>
      <c r="R1082" s="3"/>
    </row>
    <row r="1083" spans="1:18" x14ac:dyDescent="0.3">
      <c r="A1083" s="3"/>
      <c r="B1083" s="3"/>
      <c r="C1083" s="3"/>
      <c r="D1083" s="3"/>
      <c r="E1083" s="3"/>
      <c r="F1083" s="3"/>
      <c r="G1083" s="3"/>
      <c r="H1083" s="3"/>
      <c r="I1083" s="3"/>
      <c r="J1083" s="3"/>
      <c r="K1083" s="3"/>
      <c r="L1083" s="3"/>
      <c r="M1083" s="3"/>
      <c r="N1083" s="3"/>
      <c r="O1083" s="3"/>
      <c r="P1083" s="3"/>
      <c r="Q1083" s="3"/>
      <c r="R1083" s="3"/>
    </row>
    <row r="1084" spans="1:18" x14ac:dyDescent="0.3">
      <c r="A1084" s="3"/>
      <c r="B1084" s="3"/>
      <c r="C1084" s="3"/>
      <c r="D1084" s="3"/>
      <c r="E1084" s="3"/>
      <c r="F1084" s="3"/>
      <c r="G1084" s="3"/>
      <c r="H1084" s="3"/>
      <c r="I1084" s="3"/>
      <c r="J1084" s="3"/>
      <c r="K1084" s="3"/>
      <c r="L1084" s="3"/>
      <c r="M1084" s="3"/>
      <c r="N1084" s="3"/>
      <c r="O1084" s="3"/>
      <c r="P1084" s="3"/>
      <c r="Q1084" s="3"/>
      <c r="R1084" s="3"/>
    </row>
    <row r="1085" spans="1:18" x14ac:dyDescent="0.3">
      <c r="A1085" s="3"/>
      <c r="B1085" s="3"/>
      <c r="C1085" s="3"/>
      <c r="D1085" s="3"/>
      <c r="E1085" s="3"/>
      <c r="F1085" s="3"/>
      <c r="G1085" s="3"/>
      <c r="H1085" s="3"/>
      <c r="I1085" s="3"/>
      <c r="J1085" s="3"/>
      <c r="K1085" s="3"/>
      <c r="L1085" s="3"/>
      <c r="M1085" s="3"/>
      <c r="N1085" s="3"/>
      <c r="O1085" s="3"/>
      <c r="P1085" s="3"/>
      <c r="Q1085" s="3"/>
      <c r="R1085" s="3"/>
    </row>
    <row r="1086" spans="1:18" x14ac:dyDescent="0.3">
      <c r="A1086" s="3"/>
      <c r="B1086" s="3"/>
      <c r="C1086" s="3"/>
      <c r="D1086" s="3"/>
      <c r="E1086" s="3"/>
      <c r="F1086" s="3"/>
      <c r="G1086" s="3"/>
      <c r="H1086" s="3"/>
      <c r="I1086" s="3"/>
      <c r="J1086" s="3"/>
      <c r="K1086" s="3"/>
      <c r="L1086" s="3"/>
      <c r="M1086" s="3"/>
      <c r="N1086" s="3"/>
      <c r="O1086" s="3"/>
      <c r="P1086" s="3"/>
      <c r="Q1086" s="3"/>
      <c r="R1086" s="3"/>
    </row>
    <row r="1087" spans="1:18" x14ac:dyDescent="0.3">
      <c r="A1087" s="3"/>
      <c r="B1087" s="3"/>
      <c r="C1087" s="3"/>
      <c r="D1087" s="3"/>
      <c r="E1087" s="3"/>
      <c r="F1087" s="3"/>
      <c r="G1087" s="3"/>
      <c r="H1087" s="3"/>
      <c r="I1087" s="3"/>
      <c r="J1087" s="3"/>
      <c r="K1087" s="3"/>
      <c r="L1087" s="3"/>
      <c r="M1087" s="3"/>
      <c r="N1087" s="3"/>
      <c r="O1087" s="3"/>
      <c r="P1087" s="3"/>
      <c r="Q1087" s="3"/>
      <c r="R1087" s="3"/>
    </row>
    <row r="1088" spans="1:18" x14ac:dyDescent="0.3">
      <c r="A1088" s="3"/>
      <c r="B1088" s="3"/>
      <c r="C1088" s="3"/>
      <c r="D1088" s="3"/>
      <c r="E1088" s="3"/>
      <c r="F1088" s="3"/>
      <c r="G1088" s="3"/>
      <c r="H1088" s="3"/>
      <c r="I1088" s="3"/>
      <c r="J1088" s="3"/>
      <c r="K1088" s="3"/>
      <c r="L1088" s="3"/>
      <c r="M1088" s="3"/>
      <c r="N1088" s="3"/>
      <c r="O1088" s="3"/>
      <c r="P1088" s="3"/>
      <c r="Q1088" s="3"/>
      <c r="R1088" s="3"/>
    </row>
    <row r="1089" spans="1:18" x14ac:dyDescent="0.3">
      <c r="A1089" s="3"/>
      <c r="B1089" s="3"/>
      <c r="C1089" s="3"/>
      <c r="D1089" s="3"/>
      <c r="E1089" s="3"/>
      <c r="F1089" s="3"/>
      <c r="G1089" s="3"/>
      <c r="H1089" s="3"/>
      <c r="I1089" s="3"/>
      <c r="J1089" s="3"/>
      <c r="K1089" s="3"/>
      <c r="L1089" s="3"/>
      <c r="M1089" s="3"/>
      <c r="N1089" s="3"/>
      <c r="O1089" s="3"/>
      <c r="P1089" s="3"/>
      <c r="Q1089" s="3"/>
      <c r="R1089" s="3"/>
    </row>
    <row r="1090" spans="1:18" x14ac:dyDescent="0.3">
      <c r="A1090" s="3"/>
      <c r="B1090" s="3"/>
      <c r="C1090" s="3"/>
      <c r="D1090" s="3"/>
      <c r="E1090" s="3"/>
      <c r="F1090" s="3"/>
      <c r="G1090" s="3"/>
      <c r="H1090" s="3"/>
      <c r="I1090" s="3"/>
      <c r="J1090" s="3"/>
      <c r="K1090" s="3"/>
      <c r="L1090" s="3"/>
      <c r="M1090" s="3"/>
      <c r="N1090" s="3"/>
      <c r="O1090" s="3"/>
      <c r="P1090" s="3"/>
      <c r="Q1090" s="3"/>
      <c r="R1090" s="3"/>
    </row>
    <row r="1091" spans="1:18" x14ac:dyDescent="0.3">
      <c r="A1091" s="3"/>
      <c r="B1091" s="3"/>
      <c r="C1091" s="3"/>
      <c r="D1091" s="3"/>
      <c r="E1091" s="3"/>
      <c r="F1091" s="3"/>
      <c r="G1091" s="3"/>
      <c r="H1091" s="3"/>
      <c r="I1091" s="3"/>
      <c r="J1091" s="3"/>
      <c r="K1091" s="3"/>
      <c r="L1091" s="3"/>
      <c r="M1091" s="3"/>
      <c r="N1091" s="3"/>
      <c r="O1091" s="3"/>
      <c r="P1091" s="3"/>
      <c r="Q1091" s="3"/>
      <c r="R1091" s="3"/>
    </row>
    <row r="1092" spans="1:18" x14ac:dyDescent="0.3">
      <c r="A1092" s="3"/>
      <c r="B1092" s="3"/>
      <c r="C1092" s="3"/>
      <c r="D1092" s="3"/>
      <c r="E1092" s="3"/>
      <c r="F1092" s="3"/>
      <c r="G1092" s="3"/>
      <c r="H1092" s="3"/>
      <c r="I1092" s="3"/>
      <c r="J1092" s="3"/>
      <c r="K1092" s="3"/>
      <c r="L1092" s="3"/>
      <c r="M1092" s="3"/>
      <c r="N1092" s="3"/>
      <c r="O1092" s="3"/>
      <c r="P1092" s="3"/>
      <c r="Q1092" s="3"/>
      <c r="R1092" s="3"/>
    </row>
    <row r="1093" spans="1:18" x14ac:dyDescent="0.3">
      <c r="A1093" s="3"/>
      <c r="B1093" s="3"/>
      <c r="C1093" s="3"/>
      <c r="D1093" s="3"/>
      <c r="E1093" s="3"/>
      <c r="F1093" s="3"/>
      <c r="G1093" s="3"/>
      <c r="H1093" s="3"/>
      <c r="I1093" s="3"/>
      <c r="J1093" s="3"/>
      <c r="K1093" s="3"/>
      <c r="L1093" s="3"/>
      <c r="M1093" s="3"/>
      <c r="N1093" s="3"/>
      <c r="O1093" s="3"/>
      <c r="P1093" s="3"/>
      <c r="Q1093" s="3"/>
      <c r="R1093" s="3"/>
    </row>
    <row r="1094" spans="1:18" x14ac:dyDescent="0.3">
      <c r="A1094" s="3"/>
      <c r="B1094" s="3"/>
      <c r="C1094" s="3"/>
      <c r="D1094" s="3"/>
      <c r="E1094" s="3"/>
      <c r="F1094" s="3"/>
      <c r="G1094" s="3"/>
      <c r="H1094" s="3"/>
      <c r="I1094" s="3"/>
      <c r="J1094" s="3"/>
      <c r="K1094" s="3"/>
      <c r="L1094" s="3"/>
      <c r="M1094" s="3"/>
      <c r="N1094" s="3"/>
      <c r="O1094" s="3"/>
      <c r="P1094" s="3"/>
      <c r="Q1094" s="3"/>
      <c r="R1094" s="3"/>
    </row>
    <row r="1095" spans="1:18" x14ac:dyDescent="0.3">
      <c r="A1095" s="3"/>
      <c r="B1095" s="3"/>
      <c r="C1095" s="3"/>
      <c r="D1095" s="3"/>
      <c r="E1095" s="3"/>
      <c r="F1095" s="3"/>
      <c r="G1095" s="3"/>
      <c r="H1095" s="3"/>
      <c r="I1095" s="3"/>
      <c r="J1095" s="3"/>
      <c r="K1095" s="3"/>
      <c r="L1095" s="3"/>
      <c r="M1095" s="3"/>
      <c r="N1095" s="3"/>
      <c r="O1095" s="3"/>
      <c r="P1095" s="3"/>
      <c r="Q1095" s="3"/>
      <c r="R1095" s="3"/>
    </row>
    <row r="1096" spans="1:18" x14ac:dyDescent="0.3">
      <c r="A1096" s="3"/>
      <c r="B1096" s="3"/>
      <c r="C1096" s="3"/>
      <c r="D1096" s="3"/>
      <c r="E1096" s="3"/>
      <c r="F1096" s="3"/>
      <c r="G1096" s="3"/>
      <c r="H1096" s="3"/>
      <c r="I1096" s="3"/>
      <c r="J1096" s="3"/>
      <c r="K1096" s="3"/>
      <c r="L1096" s="3"/>
      <c r="M1096" s="3"/>
      <c r="N1096" s="3"/>
      <c r="O1096" s="3"/>
      <c r="P1096" s="3"/>
      <c r="Q1096" s="3"/>
      <c r="R1096" s="3"/>
    </row>
    <row r="1097" spans="1:18" x14ac:dyDescent="0.3">
      <c r="A1097" s="3"/>
      <c r="B1097" s="3"/>
      <c r="C1097" s="3"/>
      <c r="D1097" s="3"/>
      <c r="E1097" s="3"/>
      <c r="F1097" s="3"/>
      <c r="G1097" s="3"/>
      <c r="H1097" s="3"/>
      <c r="I1097" s="3"/>
      <c r="J1097" s="3"/>
      <c r="K1097" s="3"/>
      <c r="L1097" s="3"/>
      <c r="M1097" s="3"/>
      <c r="N1097" s="3"/>
      <c r="O1097" s="3"/>
      <c r="P1097" s="3"/>
      <c r="Q1097" s="3"/>
      <c r="R1097" s="3"/>
    </row>
    <row r="1098" spans="1:18" x14ac:dyDescent="0.3">
      <c r="A1098" s="3"/>
      <c r="B1098" s="3"/>
      <c r="C1098" s="3"/>
      <c r="D1098" s="3"/>
      <c r="E1098" s="3"/>
      <c r="F1098" s="3"/>
      <c r="G1098" s="3"/>
      <c r="H1098" s="3"/>
      <c r="I1098" s="3"/>
      <c r="J1098" s="3"/>
      <c r="K1098" s="3"/>
      <c r="L1098" s="3"/>
      <c r="M1098" s="3"/>
      <c r="N1098" s="3"/>
      <c r="O1098" s="3"/>
      <c r="P1098" s="3"/>
      <c r="Q1098" s="3"/>
      <c r="R1098" s="3"/>
    </row>
    <row r="1099" spans="1:18" x14ac:dyDescent="0.3">
      <c r="A1099" s="3"/>
      <c r="B1099" s="3"/>
      <c r="C1099" s="3"/>
      <c r="D1099" s="3"/>
      <c r="E1099" s="3"/>
      <c r="F1099" s="3"/>
      <c r="G1099" s="3"/>
      <c r="H1099" s="3"/>
      <c r="I1099" s="3"/>
      <c r="J1099" s="3"/>
      <c r="K1099" s="3"/>
      <c r="L1099" s="3"/>
      <c r="M1099" s="3"/>
      <c r="N1099" s="3"/>
      <c r="O1099" s="3"/>
      <c r="P1099" s="3"/>
      <c r="Q1099" s="3"/>
      <c r="R1099" s="3"/>
    </row>
    <row r="1100" spans="1:18" x14ac:dyDescent="0.3">
      <c r="A1100" s="3"/>
      <c r="B1100" s="3"/>
      <c r="C1100" s="3"/>
      <c r="D1100" s="3"/>
      <c r="E1100" s="3"/>
      <c r="F1100" s="3"/>
      <c r="G1100" s="3"/>
      <c r="H1100" s="3"/>
      <c r="I1100" s="3"/>
      <c r="J1100" s="3"/>
      <c r="K1100" s="3"/>
      <c r="L1100" s="3"/>
      <c r="M1100" s="3"/>
      <c r="N1100" s="3"/>
      <c r="O1100" s="3"/>
      <c r="P1100" s="3"/>
      <c r="Q1100" s="3"/>
      <c r="R1100" s="3"/>
    </row>
    <row r="1101" spans="1:18" x14ac:dyDescent="0.3">
      <c r="A1101" s="3"/>
      <c r="B1101" s="3"/>
      <c r="C1101" s="3"/>
      <c r="D1101" s="3"/>
      <c r="E1101" s="3"/>
      <c r="F1101" s="3"/>
      <c r="G1101" s="3"/>
      <c r="H1101" s="3"/>
      <c r="I1101" s="3"/>
      <c r="J1101" s="3"/>
      <c r="K1101" s="3"/>
      <c r="L1101" s="3"/>
      <c r="M1101" s="3"/>
      <c r="N1101" s="3"/>
      <c r="O1101" s="3"/>
      <c r="P1101" s="3"/>
      <c r="Q1101" s="3"/>
      <c r="R1101" s="3"/>
    </row>
    <row r="1102" spans="1:18" x14ac:dyDescent="0.3">
      <c r="A1102" s="3"/>
      <c r="B1102" s="3"/>
      <c r="C1102" s="3"/>
      <c r="D1102" s="3"/>
      <c r="E1102" s="3"/>
      <c r="F1102" s="3"/>
      <c r="G1102" s="3"/>
      <c r="H1102" s="3"/>
      <c r="I1102" s="3"/>
      <c r="J1102" s="3"/>
      <c r="K1102" s="3"/>
      <c r="L1102" s="3"/>
      <c r="M1102" s="3"/>
      <c r="N1102" s="3"/>
      <c r="O1102" s="3"/>
      <c r="P1102" s="3"/>
      <c r="Q1102" s="3"/>
      <c r="R1102" s="3"/>
    </row>
    <row r="1103" spans="1:18" x14ac:dyDescent="0.3">
      <c r="A1103" s="3"/>
      <c r="B1103" s="3"/>
      <c r="C1103" s="3"/>
      <c r="D1103" s="3"/>
      <c r="E1103" s="3"/>
      <c r="F1103" s="3"/>
      <c r="G1103" s="3"/>
      <c r="H1103" s="3"/>
      <c r="I1103" s="3"/>
      <c r="J1103" s="3"/>
      <c r="K1103" s="3"/>
      <c r="L1103" s="3"/>
      <c r="M1103" s="3"/>
      <c r="N1103" s="3"/>
      <c r="O1103" s="3"/>
      <c r="P1103" s="3"/>
      <c r="Q1103" s="3"/>
      <c r="R1103" s="3"/>
    </row>
    <row r="1104" spans="1:18" x14ac:dyDescent="0.3">
      <c r="A1104" s="3"/>
      <c r="B1104" s="3"/>
      <c r="C1104" s="3"/>
      <c r="D1104" s="3"/>
      <c r="E1104" s="3"/>
      <c r="F1104" s="3"/>
      <c r="G1104" s="3"/>
      <c r="H1104" s="3"/>
      <c r="I1104" s="3"/>
      <c r="J1104" s="3"/>
      <c r="K1104" s="3"/>
      <c r="L1104" s="3"/>
      <c r="M1104" s="3"/>
      <c r="N1104" s="3"/>
      <c r="O1104" s="3"/>
      <c r="P1104" s="3"/>
      <c r="Q1104" s="3"/>
      <c r="R1104" s="3"/>
    </row>
    <row r="1105" spans="1:18" x14ac:dyDescent="0.3">
      <c r="A1105" s="3"/>
      <c r="B1105" s="3"/>
      <c r="C1105" s="3"/>
      <c r="D1105" s="3"/>
      <c r="E1105" s="3"/>
      <c r="F1105" s="3"/>
      <c r="G1105" s="3"/>
      <c r="H1105" s="3"/>
      <c r="I1105" s="3"/>
      <c r="J1105" s="3"/>
      <c r="K1105" s="3"/>
      <c r="L1105" s="3"/>
      <c r="M1105" s="3"/>
      <c r="N1105" s="3"/>
      <c r="O1105" s="3"/>
      <c r="P1105" s="3"/>
      <c r="Q1105" s="3"/>
      <c r="R1105" s="3"/>
    </row>
    <row r="1106" spans="1:18" x14ac:dyDescent="0.3">
      <c r="A1106" s="3"/>
      <c r="B1106" s="3"/>
      <c r="C1106" s="3"/>
      <c r="D1106" s="3"/>
      <c r="E1106" s="3"/>
      <c r="F1106" s="3"/>
      <c r="G1106" s="3"/>
      <c r="H1106" s="3"/>
      <c r="I1106" s="3"/>
      <c r="J1106" s="3"/>
      <c r="K1106" s="3"/>
      <c r="L1106" s="3"/>
      <c r="M1106" s="3"/>
      <c r="N1106" s="3"/>
      <c r="O1106" s="3"/>
      <c r="P1106" s="3"/>
      <c r="Q1106" s="3"/>
      <c r="R1106" s="3"/>
    </row>
    <row r="1107" spans="1:18" x14ac:dyDescent="0.3">
      <c r="A1107" s="3"/>
      <c r="B1107" s="3"/>
      <c r="C1107" s="3"/>
      <c r="D1107" s="3"/>
      <c r="E1107" s="3"/>
      <c r="F1107" s="3"/>
      <c r="G1107" s="3"/>
      <c r="H1107" s="3"/>
      <c r="I1107" s="3"/>
      <c r="J1107" s="3"/>
      <c r="K1107" s="3"/>
      <c r="L1107" s="3"/>
      <c r="M1107" s="3"/>
      <c r="N1107" s="3"/>
      <c r="O1107" s="3"/>
      <c r="P1107" s="3"/>
      <c r="Q1107" s="3"/>
      <c r="R1107" s="3"/>
    </row>
    <row r="1108" spans="1:18" x14ac:dyDescent="0.3">
      <c r="A1108" s="3"/>
      <c r="B1108" s="3"/>
      <c r="C1108" s="3"/>
      <c r="D1108" s="3"/>
      <c r="E1108" s="3"/>
      <c r="F1108" s="3"/>
      <c r="G1108" s="3"/>
      <c r="H1108" s="3"/>
      <c r="I1108" s="3"/>
      <c r="J1108" s="3"/>
      <c r="K1108" s="3"/>
      <c r="L1108" s="3"/>
      <c r="M1108" s="3"/>
      <c r="N1108" s="3"/>
      <c r="O1108" s="3"/>
      <c r="P1108" s="3"/>
      <c r="Q1108" s="3"/>
      <c r="R1108" s="3"/>
    </row>
    <row r="1109" spans="1:18" x14ac:dyDescent="0.3">
      <c r="A1109" s="3"/>
      <c r="B1109" s="3"/>
      <c r="C1109" s="3"/>
      <c r="D1109" s="3"/>
      <c r="E1109" s="3"/>
      <c r="F1109" s="3"/>
      <c r="G1109" s="3"/>
      <c r="H1109" s="3"/>
      <c r="I1109" s="3"/>
      <c r="J1109" s="3"/>
      <c r="K1109" s="3"/>
      <c r="L1109" s="3"/>
      <c r="M1109" s="3"/>
      <c r="N1109" s="3"/>
      <c r="O1109" s="3"/>
      <c r="P1109" s="3"/>
      <c r="Q1109" s="3"/>
      <c r="R1109" s="3"/>
    </row>
    <row r="1110" spans="1:18" x14ac:dyDescent="0.3">
      <c r="A1110" s="3"/>
      <c r="B1110" s="3"/>
      <c r="C1110" s="3"/>
      <c r="D1110" s="3"/>
      <c r="E1110" s="3"/>
      <c r="F1110" s="3"/>
      <c r="G1110" s="3"/>
      <c r="H1110" s="3"/>
      <c r="I1110" s="3"/>
      <c r="J1110" s="3"/>
      <c r="K1110" s="3"/>
      <c r="L1110" s="3"/>
      <c r="M1110" s="3"/>
      <c r="N1110" s="3"/>
      <c r="O1110" s="3"/>
      <c r="P1110" s="3"/>
      <c r="Q1110" s="3"/>
      <c r="R1110" s="3"/>
    </row>
    <row r="1111" spans="1:18" x14ac:dyDescent="0.3">
      <c r="A1111" s="3"/>
      <c r="B1111" s="3"/>
      <c r="C1111" s="3"/>
      <c r="D1111" s="3"/>
      <c r="E1111" s="3"/>
      <c r="F1111" s="3"/>
      <c r="G1111" s="3"/>
      <c r="H1111" s="3"/>
      <c r="I1111" s="3"/>
      <c r="J1111" s="3"/>
      <c r="K1111" s="3"/>
      <c r="L1111" s="3"/>
      <c r="M1111" s="3"/>
      <c r="N1111" s="3"/>
      <c r="O1111" s="3"/>
      <c r="P1111" s="3"/>
      <c r="Q1111" s="3"/>
      <c r="R1111" s="3"/>
    </row>
    <row r="1112" spans="1:18" x14ac:dyDescent="0.3">
      <c r="A1112" s="3"/>
      <c r="B1112" s="3"/>
      <c r="C1112" s="3"/>
      <c r="D1112" s="3"/>
      <c r="E1112" s="3"/>
      <c r="F1112" s="3"/>
      <c r="G1112" s="3"/>
      <c r="H1112" s="3"/>
      <c r="I1112" s="3"/>
      <c r="J1112" s="3"/>
      <c r="K1112" s="3"/>
      <c r="L1112" s="3"/>
      <c r="M1112" s="3"/>
      <c r="N1112" s="3"/>
      <c r="O1112" s="3"/>
      <c r="P1112" s="3"/>
      <c r="Q1112" s="3"/>
      <c r="R1112" s="3"/>
    </row>
    <row r="1113" spans="1:18" x14ac:dyDescent="0.3">
      <c r="A1113" s="3"/>
      <c r="B1113" s="3"/>
      <c r="C1113" s="3"/>
      <c r="D1113" s="3"/>
      <c r="E1113" s="3"/>
      <c r="F1113" s="3"/>
      <c r="G1113" s="3"/>
      <c r="H1113" s="3"/>
      <c r="I1113" s="3"/>
      <c r="J1113" s="3"/>
      <c r="K1113" s="3"/>
      <c r="L1113" s="3"/>
      <c r="M1113" s="3"/>
      <c r="N1113" s="3"/>
      <c r="O1113" s="3"/>
      <c r="P1113" s="3"/>
      <c r="Q1113" s="3"/>
      <c r="R1113" s="3"/>
    </row>
    <row r="1114" spans="1:18" x14ac:dyDescent="0.3">
      <c r="A1114" s="3"/>
      <c r="B1114" s="3"/>
      <c r="C1114" s="3"/>
      <c r="D1114" s="3"/>
      <c r="E1114" s="3"/>
      <c r="F1114" s="3"/>
      <c r="G1114" s="3"/>
      <c r="H1114" s="3"/>
      <c r="I1114" s="3"/>
      <c r="J1114" s="3"/>
      <c r="K1114" s="3"/>
      <c r="L1114" s="3"/>
      <c r="M1114" s="3"/>
      <c r="N1114" s="3"/>
      <c r="O1114" s="3"/>
      <c r="P1114" s="3"/>
      <c r="Q1114" s="3"/>
      <c r="R1114" s="3"/>
    </row>
    <row r="1115" spans="1:18" x14ac:dyDescent="0.3">
      <c r="A1115" s="3"/>
      <c r="B1115" s="3"/>
      <c r="C1115" s="3"/>
      <c r="D1115" s="3"/>
      <c r="E1115" s="3"/>
      <c r="F1115" s="3"/>
      <c r="G1115" s="3"/>
      <c r="H1115" s="3"/>
      <c r="I1115" s="3"/>
      <c r="J1115" s="3"/>
      <c r="K1115" s="3"/>
      <c r="L1115" s="3"/>
      <c r="M1115" s="3"/>
      <c r="N1115" s="3"/>
      <c r="O1115" s="3"/>
      <c r="P1115" s="3"/>
      <c r="Q1115" s="3"/>
      <c r="R1115" s="3"/>
    </row>
    <row r="1116" spans="1:18" x14ac:dyDescent="0.3">
      <c r="A1116" s="3"/>
      <c r="B1116" s="3"/>
      <c r="C1116" s="3"/>
      <c r="D1116" s="3"/>
      <c r="E1116" s="3"/>
      <c r="F1116" s="3"/>
      <c r="G1116" s="3"/>
      <c r="H1116" s="3"/>
      <c r="I1116" s="3"/>
      <c r="J1116" s="3"/>
      <c r="K1116" s="3"/>
      <c r="L1116" s="3"/>
      <c r="M1116" s="3"/>
      <c r="N1116" s="3"/>
      <c r="O1116" s="3"/>
      <c r="P1116" s="3"/>
      <c r="Q1116" s="3"/>
      <c r="R1116" s="3"/>
    </row>
    <row r="1117" spans="1:18" x14ac:dyDescent="0.3">
      <c r="A1117" s="3"/>
      <c r="B1117" s="3"/>
      <c r="C1117" s="3"/>
      <c r="D1117" s="3"/>
      <c r="E1117" s="3"/>
      <c r="F1117" s="3"/>
      <c r="G1117" s="3"/>
      <c r="H1117" s="3"/>
      <c r="I1117" s="3"/>
      <c r="J1117" s="3"/>
      <c r="K1117" s="3"/>
      <c r="L1117" s="3"/>
      <c r="M1117" s="3"/>
      <c r="N1117" s="3"/>
      <c r="O1117" s="3"/>
      <c r="P1117" s="3"/>
      <c r="Q1117" s="3"/>
      <c r="R1117" s="3"/>
    </row>
    <row r="1118" spans="1:18" x14ac:dyDescent="0.3">
      <c r="A1118" s="3"/>
      <c r="B1118" s="3"/>
      <c r="C1118" s="3"/>
      <c r="D1118" s="3"/>
      <c r="E1118" s="3"/>
      <c r="F1118" s="3"/>
      <c r="G1118" s="3"/>
      <c r="H1118" s="3"/>
      <c r="I1118" s="3"/>
      <c r="J1118" s="3"/>
      <c r="K1118" s="3"/>
      <c r="L1118" s="3"/>
      <c r="M1118" s="3"/>
      <c r="N1118" s="3"/>
      <c r="O1118" s="3"/>
      <c r="P1118" s="3"/>
      <c r="Q1118" s="3"/>
      <c r="R1118" s="3"/>
    </row>
    <row r="1119" spans="1:18" x14ac:dyDescent="0.3">
      <c r="A1119" s="3"/>
      <c r="B1119" s="3"/>
      <c r="C1119" s="3"/>
      <c r="D1119" s="3"/>
      <c r="E1119" s="3"/>
      <c r="F1119" s="3"/>
      <c r="G1119" s="3"/>
      <c r="H1119" s="3"/>
      <c r="I1119" s="3"/>
      <c r="J1119" s="3"/>
      <c r="K1119" s="3"/>
      <c r="L1119" s="3"/>
      <c r="M1119" s="3"/>
      <c r="N1119" s="3"/>
      <c r="O1119" s="3"/>
      <c r="P1119" s="3"/>
      <c r="Q1119" s="3"/>
      <c r="R1119" s="3"/>
    </row>
    <row r="1120" spans="1:18" x14ac:dyDescent="0.3">
      <c r="A1120" s="3"/>
      <c r="B1120" s="3"/>
      <c r="C1120" s="3"/>
      <c r="D1120" s="3"/>
      <c r="E1120" s="3"/>
      <c r="F1120" s="3"/>
      <c r="G1120" s="3"/>
      <c r="H1120" s="3"/>
      <c r="I1120" s="3"/>
      <c r="J1120" s="3"/>
      <c r="K1120" s="3"/>
      <c r="L1120" s="3"/>
      <c r="M1120" s="3"/>
      <c r="N1120" s="3"/>
      <c r="O1120" s="3"/>
      <c r="P1120" s="3"/>
      <c r="Q1120" s="3"/>
      <c r="R1120" s="3"/>
    </row>
    <row r="1121" spans="1:18" x14ac:dyDescent="0.3">
      <c r="A1121" s="3"/>
      <c r="B1121" s="3"/>
      <c r="C1121" s="3"/>
      <c r="D1121" s="3"/>
      <c r="E1121" s="3"/>
      <c r="F1121" s="3"/>
      <c r="G1121" s="3"/>
      <c r="H1121" s="3"/>
      <c r="I1121" s="3"/>
      <c r="J1121" s="3"/>
      <c r="K1121" s="3"/>
      <c r="L1121" s="3"/>
      <c r="M1121" s="3"/>
      <c r="N1121" s="3"/>
      <c r="O1121" s="3"/>
      <c r="P1121" s="3"/>
      <c r="Q1121" s="3"/>
      <c r="R1121" s="3"/>
    </row>
    <row r="1122" spans="1:18" x14ac:dyDescent="0.3">
      <c r="A1122" s="3"/>
      <c r="B1122" s="3"/>
      <c r="C1122" s="3"/>
      <c r="D1122" s="3"/>
      <c r="E1122" s="3"/>
      <c r="F1122" s="3"/>
      <c r="G1122" s="3"/>
      <c r="H1122" s="3"/>
      <c r="I1122" s="3"/>
      <c r="J1122" s="3"/>
      <c r="K1122" s="3"/>
      <c r="L1122" s="3"/>
      <c r="M1122" s="3"/>
      <c r="N1122" s="3"/>
      <c r="O1122" s="3"/>
      <c r="P1122" s="3"/>
      <c r="Q1122" s="3"/>
      <c r="R1122" s="3"/>
    </row>
    <row r="1123" spans="1:18" x14ac:dyDescent="0.3">
      <c r="A1123" s="3"/>
      <c r="B1123" s="3"/>
      <c r="C1123" s="3"/>
      <c r="D1123" s="3"/>
      <c r="E1123" s="3"/>
      <c r="F1123" s="3"/>
      <c r="G1123" s="3"/>
      <c r="H1123" s="3"/>
      <c r="I1123" s="3"/>
      <c r="J1123" s="3"/>
      <c r="K1123" s="3"/>
      <c r="L1123" s="3"/>
      <c r="M1123" s="3"/>
      <c r="N1123" s="3"/>
      <c r="O1123" s="3"/>
      <c r="P1123" s="3"/>
      <c r="Q1123" s="3"/>
      <c r="R1123" s="3"/>
    </row>
    <row r="1124" spans="1:18" x14ac:dyDescent="0.3">
      <c r="A1124" s="3"/>
      <c r="B1124" s="3"/>
      <c r="C1124" s="3"/>
      <c r="D1124" s="3"/>
      <c r="E1124" s="3"/>
      <c r="F1124" s="3"/>
      <c r="G1124" s="3"/>
      <c r="H1124" s="3"/>
      <c r="I1124" s="3"/>
      <c r="J1124" s="3"/>
      <c r="K1124" s="3"/>
      <c r="L1124" s="3"/>
      <c r="M1124" s="3"/>
      <c r="N1124" s="3"/>
      <c r="O1124" s="3"/>
      <c r="P1124" s="3"/>
      <c r="Q1124" s="3"/>
      <c r="R1124" s="3"/>
    </row>
    <row r="1125" spans="1:18" x14ac:dyDescent="0.3">
      <c r="A1125" s="3"/>
      <c r="B1125" s="3"/>
      <c r="C1125" s="3"/>
      <c r="D1125" s="3"/>
      <c r="E1125" s="3"/>
      <c r="F1125" s="3"/>
      <c r="G1125" s="3"/>
      <c r="H1125" s="3"/>
      <c r="I1125" s="3"/>
      <c r="J1125" s="3"/>
      <c r="K1125" s="3"/>
      <c r="L1125" s="3"/>
      <c r="M1125" s="3"/>
      <c r="N1125" s="3"/>
      <c r="O1125" s="3"/>
      <c r="P1125" s="3"/>
      <c r="Q1125" s="3"/>
      <c r="R1125" s="3"/>
    </row>
    <row r="1126" spans="1:18" x14ac:dyDescent="0.3">
      <c r="A1126" s="3"/>
      <c r="B1126" s="3"/>
      <c r="C1126" s="3"/>
      <c r="D1126" s="3"/>
      <c r="E1126" s="3"/>
      <c r="F1126" s="3"/>
      <c r="G1126" s="3"/>
      <c r="H1126" s="3"/>
      <c r="I1126" s="3"/>
      <c r="J1126" s="3"/>
      <c r="K1126" s="3"/>
      <c r="L1126" s="3"/>
      <c r="M1126" s="3"/>
      <c r="N1126" s="3"/>
      <c r="O1126" s="3"/>
      <c r="P1126" s="3"/>
      <c r="Q1126" s="3"/>
      <c r="R1126" s="3"/>
    </row>
    <row r="1127" spans="1:18" x14ac:dyDescent="0.3">
      <c r="A1127" s="3"/>
      <c r="B1127" s="3"/>
      <c r="C1127" s="3"/>
      <c r="D1127" s="3"/>
      <c r="E1127" s="3"/>
      <c r="F1127" s="3"/>
      <c r="G1127" s="3"/>
      <c r="H1127" s="3"/>
      <c r="I1127" s="3"/>
      <c r="J1127" s="3"/>
      <c r="K1127" s="3"/>
      <c r="L1127" s="3"/>
      <c r="M1127" s="3"/>
      <c r="N1127" s="3"/>
      <c r="O1127" s="3"/>
      <c r="P1127" s="3"/>
      <c r="Q1127" s="3"/>
      <c r="R1127" s="3"/>
    </row>
    <row r="1128" spans="1:18" x14ac:dyDescent="0.3">
      <c r="A1128" s="3"/>
      <c r="B1128" s="3"/>
      <c r="C1128" s="3"/>
      <c r="D1128" s="3"/>
      <c r="E1128" s="3"/>
      <c r="F1128" s="3"/>
      <c r="G1128" s="3"/>
      <c r="H1128" s="3"/>
      <c r="I1128" s="3"/>
      <c r="J1128" s="3"/>
      <c r="K1128" s="3"/>
      <c r="L1128" s="3"/>
      <c r="M1128" s="3"/>
      <c r="N1128" s="3"/>
      <c r="O1128" s="3"/>
      <c r="P1128" s="3"/>
      <c r="Q1128" s="3"/>
      <c r="R1128" s="3"/>
    </row>
    <row r="1129" spans="1:18" x14ac:dyDescent="0.3">
      <c r="A1129" s="3"/>
      <c r="B1129" s="3"/>
      <c r="C1129" s="3"/>
      <c r="D1129" s="3"/>
      <c r="E1129" s="3"/>
      <c r="F1129" s="3"/>
      <c r="G1129" s="3"/>
      <c r="H1129" s="3"/>
      <c r="I1129" s="3"/>
      <c r="J1129" s="3"/>
      <c r="K1129" s="3"/>
      <c r="L1129" s="3"/>
      <c r="M1129" s="3"/>
      <c r="N1129" s="3"/>
      <c r="O1129" s="3"/>
      <c r="P1129" s="3"/>
      <c r="Q1129" s="3"/>
      <c r="R1129" s="3"/>
    </row>
    <row r="1130" spans="1:18" x14ac:dyDescent="0.3">
      <c r="A1130" s="3"/>
      <c r="B1130" s="3"/>
      <c r="C1130" s="3"/>
      <c r="D1130" s="3"/>
      <c r="E1130" s="3"/>
      <c r="F1130" s="3"/>
      <c r="G1130" s="3"/>
      <c r="H1130" s="3"/>
      <c r="I1130" s="3"/>
      <c r="J1130" s="3"/>
      <c r="K1130" s="3"/>
      <c r="L1130" s="3"/>
      <c r="M1130" s="3"/>
      <c r="N1130" s="3"/>
      <c r="O1130" s="3"/>
      <c r="P1130" s="3"/>
      <c r="Q1130" s="3"/>
      <c r="R1130" s="3"/>
    </row>
    <row r="1131" spans="1:18" x14ac:dyDescent="0.3">
      <c r="A1131" s="3"/>
      <c r="B1131" s="3"/>
      <c r="C1131" s="3"/>
      <c r="D1131" s="3"/>
      <c r="E1131" s="3"/>
      <c r="F1131" s="3"/>
      <c r="G1131" s="3"/>
      <c r="H1131" s="3"/>
      <c r="I1131" s="3"/>
      <c r="J1131" s="3"/>
      <c r="K1131" s="3"/>
      <c r="L1131" s="3"/>
      <c r="M1131" s="3"/>
      <c r="N1131" s="3"/>
      <c r="O1131" s="3"/>
      <c r="P1131" s="3"/>
      <c r="Q1131" s="3"/>
      <c r="R1131" s="3"/>
    </row>
    <row r="1132" spans="1:18" x14ac:dyDescent="0.3">
      <c r="A1132" s="3"/>
      <c r="B1132" s="3"/>
      <c r="C1132" s="3"/>
      <c r="D1132" s="3"/>
      <c r="E1132" s="3"/>
      <c r="F1132" s="3"/>
      <c r="G1132" s="3"/>
      <c r="H1132" s="3"/>
      <c r="I1132" s="3"/>
      <c r="J1132" s="3"/>
      <c r="K1132" s="3"/>
      <c r="L1132" s="3"/>
      <c r="M1132" s="3"/>
      <c r="N1132" s="3"/>
      <c r="O1132" s="3"/>
      <c r="P1132" s="3"/>
      <c r="Q1132" s="3"/>
      <c r="R1132" s="3"/>
    </row>
    <row r="1133" spans="1:18" x14ac:dyDescent="0.3">
      <c r="A1133" s="3"/>
      <c r="B1133" s="3"/>
      <c r="C1133" s="3"/>
      <c r="D1133" s="3"/>
      <c r="E1133" s="3"/>
      <c r="F1133" s="3"/>
      <c r="G1133" s="3"/>
      <c r="H1133" s="3"/>
      <c r="I1133" s="3"/>
      <c r="J1133" s="3"/>
      <c r="K1133" s="3"/>
      <c r="L1133" s="3"/>
      <c r="M1133" s="3"/>
      <c r="N1133" s="3"/>
      <c r="O1133" s="3"/>
      <c r="P1133" s="3"/>
      <c r="Q1133" s="3"/>
      <c r="R1133" s="3"/>
    </row>
    <row r="1134" spans="1:18" x14ac:dyDescent="0.3">
      <c r="A1134" s="3"/>
      <c r="B1134" s="3"/>
      <c r="C1134" s="3"/>
      <c r="D1134" s="3"/>
      <c r="E1134" s="3"/>
      <c r="F1134" s="3"/>
      <c r="G1134" s="3"/>
      <c r="H1134" s="3"/>
      <c r="I1134" s="3"/>
      <c r="J1134" s="3"/>
      <c r="K1134" s="3"/>
      <c r="L1134" s="3"/>
      <c r="M1134" s="3"/>
      <c r="N1134" s="3"/>
      <c r="O1134" s="3"/>
      <c r="P1134" s="3"/>
      <c r="Q1134" s="3"/>
      <c r="R1134" s="3"/>
    </row>
    <row r="1135" spans="1:18" x14ac:dyDescent="0.3">
      <c r="A1135" s="3"/>
      <c r="B1135" s="3"/>
      <c r="C1135" s="3"/>
      <c r="D1135" s="3"/>
      <c r="E1135" s="3"/>
      <c r="F1135" s="3"/>
      <c r="G1135" s="3"/>
      <c r="H1135" s="3"/>
      <c r="I1135" s="3"/>
      <c r="J1135" s="3"/>
      <c r="K1135" s="3"/>
      <c r="L1135" s="3"/>
      <c r="M1135" s="3"/>
      <c r="N1135" s="3"/>
      <c r="O1135" s="3"/>
      <c r="P1135" s="3"/>
      <c r="Q1135" s="3"/>
      <c r="R1135" s="3"/>
    </row>
    <row r="1136" spans="1:18" x14ac:dyDescent="0.3">
      <c r="A1136" s="3"/>
      <c r="B1136" s="3"/>
      <c r="C1136" s="3"/>
      <c r="D1136" s="3"/>
      <c r="E1136" s="3"/>
      <c r="F1136" s="3"/>
      <c r="G1136" s="3"/>
      <c r="H1136" s="3"/>
      <c r="I1136" s="3"/>
      <c r="J1136" s="3"/>
      <c r="K1136" s="3"/>
      <c r="L1136" s="3"/>
      <c r="M1136" s="3"/>
      <c r="N1136" s="3"/>
      <c r="O1136" s="3"/>
      <c r="P1136" s="3"/>
      <c r="Q1136" s="3"/>
      <c r="R1136" s="3"/>
    </row>
    <row r="1137" spans="1:18" x14ac:dyDescent="0.3">
      <c r="A1137" s="3"/>
      <c r="B1137" s="3"/>
      <c r="C1137" s="3"/>
      <c r="D1137" s="3"/>
      <c r="E1137" s="3"/>
      <c r="F1137" s="3"/>
      <c r="G1137" s="3"/>
      <c r="H1137" s="3"/>
      <c r="I1137" s="3"/>
      <c r="J1137" s="3"/>
      <c r="K1137" s="3"/>
      <c r="L1137" s="3"/>
      <c r="M1137" s="3"/>
      <c r="N1137" s="3"/>
      <c r="O1137" s="3"/>
      <c r="P1137" s="3"/>
      <c r="Q1137" s="3"/>
      <c r="R1137" s="3"/>
    </row>
    <row r="1138" spans="1:18" x14ac:dyDescent="0.3">
      <c r="A1138" s="3"/>
      <c r="B1138" s="3"/>
      <c r="C1138" s="3"/>
      <c r="D1138" s="3"/>
      <c r="E1138" s="3"/>
      <c r="F1138" s="3"/>
      <c r="G1138" s="3"/>
      <c r="H1138" s="3"/>
      <c r="I1138" s="3"/>
      <c r="J1138" s="3"/>
      <c r="K1138" s="3"/>
      <c r="L1138" s="3"/>
      <c r="M1138" s="3"/>
      <c r="N1138" s="3"/>
      <c r="O1138" s="3"/>
      <c r="P1138" s="3"/>
      <c r="Q1138" s="3"/>
      <c r="R1138" s="3"/>
    </row>
    <row r="1139" spans="1:18" x14ac:dyDescent="0.3">
      <c r="A1139" s="3"/>
      <c r="B1139" s="3"/>
      <c r="C1139" s="3"/>
      <c r="D1139" s="3"/>
      <c r="E1139" s="3"/>
      <c r="F1139" s="3"/>
      <c r="G1139" s="3"/>
      <c r="H1139" s="3"/>
      <c r="I1139" s="3"/>
      <c r="J1139" s="3"/>
      <c r="K1139" s="3"/>
      <c r="L1139" s="3"/>
      <c r="M1139" s="3"/>
      <c r="N1139" s="3"/>
      <c r="O1139" s="3"/>
      <c r="P1139" s="3"/>
      <c r="Q1139" s="3"/>
      <c r="R1139" s="3"/>
    </row>
    <row r="1140" spans="1:18" x14ac:dyDescent="0.3">
      <c r="A1140" s="3"/>
      <c r="B1140" s="3"/>
      <c r="C1140" s="3"/>
      <c r="D1140" s="3"/>
      <c r="E1140" s="3"/>
      <c r="F1140" s="3"/>
      <c r="G1140" s="3"/>
      <c r="H1140" s="3"/>
      <c r="I1140" s="3"/>
      <c r="J1140" s="3"/>
      <c r="K1140" s="3"/>
      <c r="L1140" s="3"/>
      <c r="M1140" s="3"/>
      <c r="N1140" s="3"/>
      <c r="O1140" s="3"/>
      <c r="P1140" s="3"/>
      <c r="Q1140" s="3"/>
      <c r="R1140" s="3"/>
    </row>
    <row r="1141" spans="1:18" x14ac:dyDescent="0.3">
      <c r="A1141" s="3"/>
      <c r="B1141" s="3"/>
      <c r="C1141" s="3"/>
      <c r="D1141" s="3"/>
      <c r="E1141" s="3"/>
      <c r="F1141" s="3"/>
      <c r="G1141" s="3"/>
      <c r="H1141" s="3"/>
      <c r="I1141" s="3"/>
      <c r="J1141" s="3"/>
      <c r="K1141" s="3"/>
      <c r="L1141" s="3"/>
      <c r="M1141" s="3"/>
      <c r="N1141" s="3"/>
      <c r="O1141" s="3"/>
      <c r="P1141" s="3"/>
      <c r="Q1141" s="3"/>
      <c r="R1141" s="3"/>
    </row>
    <row r="1142" spans="1:18" x14ac:dyDescent="0.3">
      <c r="A1142" s="3"/>
      <c r="B1142" s="3"/>
      <c r="C1142" s="3"/>
      <c r="D1142" s="3"/>
      <c r="E1142" s="3"/>
      <c r="F1142" s="3"/>
      <c r="G1142" s="3"/>
      <c r="H1142" s="3"/>
      <c r="I1142" s="3"/>
      <c r="J1142" s="3"/>
      <c r="K1142" s="3"/>
      <c r="L1142" s="3"/>
      <c r="M1142" s="3"/>
      <c r="N1142" s="3"/>
      <c r="O1142" s="3"/>
      <c r="P1142" s="3"/>
      <c r="Q1142" s="3"/>
      <c r="R1142" s="3"/>
    </row>
    <row r="1143" spans="1:18" x14ac:dyDescent="0.3">
      <c r="A1143" s="3"/>
      <c r="B1143" s="3"/>
      <c r="C1143" s="3"/>
      <c r="D1143" s="3"/>
      <c r="E1143" s="3"/>
      <c r="F1143" s="3"/>
      <c r="G1143" s="3"/>
      <c r="H1143" s="3"/>
      <c r="I1143" s="3"/>
      <c r="J1143" s="3"/>
      <c r="K1143" s="3"/>
      <c r="L1143" s="3"/>
      <c r="M1143" s="3"/>
      <c r="N1143" s="3"/>
      <c r="O1143" s="3"/>
      <c r="P1143" s="3"/>
      <c r="Q1143" s="3"/>
      <c r="R1143" s="3"/>
    </row>
    <row r="1144" spans="1:18" x14ac:dyDescent="0.3">
      <c r="A1144" s="3"/>
      <c r="B1144" s="3"/>
      <c r="C1144" s="3"/>
      <c r="D1144" s="3"/>
      <c r="E1144" s="3"/>
      <c r="F1144" s="3"/>
      <c r="G1144" s="3"/>
      <c r="H1144" s="3"/>
      <c r="I1144" s="3"/>
      <c r="J1144" s="3"/>
      <c r="K1144" s="3"/>
      <c r="L1144" s="3"/>
      <c r="M1144" s="3"/>
      <c r="N1144" s="3"/>
      <c r="O1144" s="3"/>
      <c r="P1144" s="3"/>
      <c r="Q1144" s="3"/>
      <c r="R1144" s="3"/>
    </row>
    <row r="1145" spans="1:18" x14ac:dyDescent="0.3">
      <c r="A1145" s="3"/>
      <c r="B1145" s="3"/>
      <c r="C1145" s="3"/>
      <c r="D1145" s="3"/>
      <c r="E1145" s="3"/>
      <c r="F1145" s="3"/>
      <c r="G1145" s="3"/>
      <c r="H1145" s="3"/>
      <c r="I1145" s="3"/>
      <c r="J1145" s="3"/>
      <c r="K1145" s="3"/>
      <c r="L1145" s="3"/>
      <c r="M1145" s="3"/>
      <c r="N1145" s="3"/>
      <c r="O1145" s="3"/>
      <c r="P1145" s="3"/>
      <c r="Q1145" s="3"/>
      <c r="R1145" s="3"/>
    </row>
    <row r="1146" spans="1:18" x14ac:dyDescent="0.3">
      <c r="A1146" s="3"/>
      <c r="B1146" s="3"/>
      <c r="C1146" s="3"/>
      <c r="D1146" s="3"/>
      <c r="E1146" s="3"/>
      <c r="F1146" s="3"/>
      <c r="G1146" s="3"/>
      <c r="H1146" s="3"/>
      <c r="I1146" s="3"/>
      <c r="J1146" s="3"/>
      <c r="K1146" s="3"/>
      <c r="L1146" s="3"/>
      <c r="M1146" s="3"/>
      <c r="N1146" s="3"/>
      <c r="O1146" s="3"/>
      <c r="P1146" s="3"/>
      <c r="Q1146" s="3"/>
      <c r="R1146" s="3"/>
    </row>
    <row r="1147" spans="1:18" x14ac:dyDescent="0.3">
      <c r="A1147" s="3"/>
      <c r="B1147" s="3"/>
      <c r="C1147" s="3"/>
      <c r="D1147" s="3"/>
      <c r="E1147" s="3"/>
      <c r="F1147" s="3"/>
      <c r="G1147" s="3"/>
      <c r="H1147" s="3"/>
      <c r="I1147" s="3"/>
      <c r="J1147" s="3"/>
      <c r="K1147" s="3"/>
      <c r="L1147" s="3"/>
      <c r="M1147" s="3"/>
      <c r="N1147" s="3"/>
      <c r="O1147" s="3"/>
      <c r="P1147" s="3"/>
      <c r="Q1147" s="3"/>
      <c r="R1147" s="3"/>
    </row>
    <row r="1148" spans="1:18" x14ac:dyDescent="0.3">
      <c r="A1148" s="3"/>
      <c r="B1148" s="3"/>
      <c r="C1148" s="3"/>
      <c r="D1148" s="3"/>
      <c r="E1148" s="3"/>
      <c r="F1148" s="3"/>
      <c r="G1148" s="3"/>
      <c r="H1148" s="3"/>
      <c r="I1148" s="3"/>
      <c r="J1148" s="3"/>
      <c r="K1148" s="3"/>
      <c r="L1148" s="3"/>
      <c r="M1148" s="3"/>
      <c r="N1148" s="3"/>
      <c r="O1148" s="3"/>
      <c r="P1148" s="3"/>
      <c r="Q1148" s="3"/>
      <c r="R1148" s="3"/>
    </row>
    <row r="1149" spans="1:18" x14ac:dyDescent="0.3">
      <c r="A1149" s="3"/>
      <c r="B1149" s="3"/>
      <c r="C1149" s="3"/>
      <c r="D1149" s="3"/>
      <c r="E1149" s="3"/>
      <c r="F1149" s="3"/>
      <c r="G1149" s="3"/>
      <c r="H1149" s="3"/>
      <c r="I1149" s="3"/>
      <c r="J1149" s="3"/>
      <c r="K1149" s="3"/>
      <c r="L1149" s="3"/>
      <c r="M1149" s="3"/>
      <c r="N1149" s="3"/>
      <c r="O1149" s="3"/>
      <c r="P1149" s="3"/>
      <c r="Q1149" s="3"/>
      <c r="R1149" s="3"/>
    </row>
    <row r="1150" spans="1:18" x14ac:dyDescent="0.3">
      <c r="A1150" s="3"/>
      <c r="B1150" s="3"/>
      <c r="C1150" s="3"/>
      <c r="D1150" s="3"/>
      <c r="E1150" s="3"/>
      <c r="F1150" s="3"/>
      <c r="G1150" s="3"/>
      <c r="H1150" s="3"/>
      <c r="I1150" s="3"/>
      <c r="J1150" s="3"/>
      <c r="K1150" s="3"/>
      <c r="L1150" s="3"/>
      <c r="M1150" s="3"/>
      <c r="N1150" s="3"/>
      <c r="O1150" s="3"/>
      <c r="P1150" s="3"/>
      <c r="Q1150" s="3"/>
      <c r="R1150" s="3"/>
    </row>
    <row r="1151" spans="1:18" x14ac:dyDescent="0.3">
      <c r="A1151" s="3"/>
      <c r="B1151" s="3"/>
      <c r="C1151" s="3"/>
      <c r="D1151" s="3"/>
      <c r="E1151" s="3"/>
      <c r="F1151" s="3"/>
      <c r="G1151" s="3"/>
      <c r="H1151" s="3"/>
      <c r="I1151" s="3"/>
      <c r="J1151" s="3"/>
      <c r="K1151" s="3"/>
      <c r="L1151" s="3"/>
      <c r="M1151" s="3"/>
      <c r="N1151" s="3"/>
      <c r="O1151" s="3"/>
      <c r="P1151" s="3"/>
      <c r="Q1151" s="3"/>
      <c r="R1151" s="3"/>
    </row>
    <row r="1152" spans="1:18" x14ac:dyDescent="0.3">
      <c r="A1152" s="3"/>
      <c r="B1152" s="3"/>
      <c r="C1152" s="3"/>
      <c r="D1152" s="3"/>
      <c r="E1152" s="3"/>
      <c r="F1152" s="3"/>
      <c r="G1152" s="3"/>
      <c r="H1152" s="3"/>
      <c r="I1152" s="3"/>
      <c r="J1152" s="3"/>
      <c r="K1152" s="3"/>
      <c r="L1152" s="3"/>
      <c r="M1152" s="3"/>
      <c r="N1152" s="3"/>
      <c r="O1152" s="3"/>
      <c r="P1152" s="3"/>
      <c r="Q1152" s="3"/>
      <c r="R1152" s="3"/>
    </row>
    <row r="1153" spans="1:18" x14ac:dyDescent="0.3">
      <c r="A1153" s="3"/>
      <c r="B1153" s="3"/>
      <c r="C1153" s="3"/>
      <c r="D1153" s="3"/>
      <c r="E1153" s="3"/>
      <c r="F1153" s="3"/>
      <c r="G1153" s="3"/>
      <c r="H1153" s="3"/>
      <c r="I1153" s="3"/>
      <c r="J1153" s="3"/>
      <c r="K1153" s="3"/>
      <c r="L1153" s="3"/>
      <c r="M1153" s="3"/>
      <c r="N1153" s="3"/>
      <c r="O1153" s="3"/>
      <c r="P1153" s="3"/>
      <c r="Q1153" s="3"/>
      <c r="R1153" s="3"/>
    </row>
    <row r="1154" spans="1:18" x14ac:dyDescent="0.3">
      <c r="A1154" s="3"/>
      <c r="B1154" s="3"/>
      <c r="C1154" s="3"/>
      <c r="D1154" s="3"/>
      <c r="E1154" s="3"/>
      <c r="F1154" s="3"/>
      <c r="G1154" s="3"/>
      <c r="H1154" s="3"/>
      <c r="I1154" s="3"/>
      <c r="J1154" s="3"/>
      <c r="K1154" s="3"/>
      <c r="L1154" s="3"/>
      <c r="M1154" s="3"/>
      <c r="N1154" s="3"/>
      <c r="O1154" s="3"/>
      <c r="P1154" s="3"/>
      <c r="Q1154" s="3"/>
      <c r="R1154" s="3"/>
    </row>
    <row r="1155" spans="1:18" x14ac:dyDescent="0.3">
      <c r="A1155" s="3"/>
      <c r="B1155" s="3"/>
      <c r="C1155" s="3"/>
      <c r="D1155" s="3"/>
      <c r="E1155" s="3"/>
      <c r="F1155" s="3"/>
      <c r="G1155" s="3"/>
      <c r="H1155" s="3"/>
      <c r="I1155" s="3"/>
      <c r="J1155" s="3"/>
      <c r="K1155" s="3"/>
      <c r="L1155" s="3"/>
      <c r="M1155" s="3"/>
      <c r="N1155" s="3"/>
      <c r="O1155" s="3"/>
      <c r="P1155" s="3"/>
      <c r="Q1155" s="3"/>
      <c r="R1155" s="3"/>
    </row>
    <row r="1156" spans="1:18" x14ac:dyDescent="0.3">
      <c r="A1156" s="3"/>
      <c r="B1156" s="3"/>
      <c r="C1156" s="3"/>
      <c r="D1156" s="3"/>
      <c r="E1156" s="3"/>
      <c r="F1156" s="3"/>
      <c r="G1156" s="3"/>
      <c r="H1156" s="3"/>
      <c r="I1156" s="3"/>
      <c r="J1156" s="3"/>
      <c r="K1156" s="3"/>
      <c r="L1156" s="3"/>
      <c r="M1156" s="3"/>
      <c r="N1156" s="3"/>
      <c r="O1156" s="3"/>
      <c r="P1156" s="3"/>
      <c r="Q1156" s="3"/>
      <c r="R1156" s="3"/>
    </row>
    <row r="1157" spans="1:18" x14ac:dyDescent="0.3">
      <c r="A1157" s="3"/>
      <c r="B1157" s="3"/>
      <c r="C1157" s="3"/>
      <c r="D1157" s="3"/>
      <c r="E1157" s="3"/>
      <c r="F1157" s="3"/>
      <c r="G1157" s="3"/>
      <c r="H1157" s="3"/>
      <c r="I1157" s="3"/>
      <c r="J1157" s="3"/>
      <c r="K1157" s="3"/>
      <c r="L1157" s="3"/>
      <c r="M1157" s="3"/>
      <c r="N1157" s="3"/>
      <c r="O1157" s="3"/>
      <c r="P1157" s="3"/>
      <c r="Q1157" s="3"/>
      <c r="R1157" s="3"/>
    </row>
    <row r="1158" spans="1:18" x14ac:dyDescent="0.3">
      <c r="A1158" s="3"/>
      <c r="B1158" s="3"/>
      <c r="C1158" s="3"/>
      <c r="D1158" s="3"/>
      <c r="E1158" s="3"/>
      <c r="F1158" s="3"/>
      <c r="G1158" s="3"/>
      <c r="H1158" s="3"/>
      <c r="I1158" s="3"/>
      <c r="J1158" s="3"/>
      <c r="K1158" s="3"/>
      <c r="L1158" s="3"/>
      <c r="M1158" s="3"/>
      <c r="N1158" s="3"/>
      <c r="O1158" s="3"/>
      <c r="P1158" s="3"/>
      <c r="Q1158" s="3"/>
      <c r="R1158" s="3"/>
    </row>
    <row r="1159" spans="1:18" x14ac:dyDescent="0.3">
      <c r="A1159" s="3"/>
      <c r="B1159" s="3"/>
      <c r="C1159" s="3"/>
      <c r="D1159" s="3"/>
      <c r="E1159" s="3"/>
      <c r="F1159" s="3"/>
      <c r="G1159" s="3"/>
      <c r="H1159" s="3"/>
      <c r="I1159" s="3"/>
      <c r="J1159" s="3"/>
      <c r="K1159" s="3"/>
      <c r="L1159" s="3"/>
      <c r="M1159" s="3"/>
      <c r="N1159" s="3"/>
      <c r="O1159" s="3"/>
      <c r="P1159" s="3"/>
      <c r="Q1159" s="3"/>
      <c r="R1159" s="3"/>
    </row>
    <row r="1160" spans="1:18" x14ac:dyDescent="0.3">
      <c r="A1160" s="3"/>
      <c r="B1160" s="3"/>
      <c r="C1160" s="3"/>
      <c r="D1160" s="3"/>
      <c r="E1160" s="3"/>
      <c r="F1160" s="3"/>
      <c r="G1160" s="3"/>
      <c r="H1160" s="3"/>
      <c r="I1160" s="3"/>
      <c r="J1160" s="3"/>
      <c r="K1160" s="3"/>
      <c r="L1160" s="3"/>
      <c r="M1160" s="3"/>
      <c r="N1160" s="3"/>
      <c r="O1160" s="3"/>
      <c r="P1160" s="3"/>
      <c r="Q1160" s="3"/>
      <c r="R1160" s="3"/>
    </row>
    <row r="1161" spans="1:18" x14ac:dyDescent="0.3">
      <c r="A1161" s="3"/>
      <c r="B1161" s="3"/>
      <c r="C1161" s="3"/>
      <c r="D1161" s="3"/>
      <c r="E1161" s="3"/>
      <c r="F1161" s="3"/>
      <c r="G1161" s="3"/>
      <c r="H1161" s="3"/>
      <c r="I1161" s="3"/>
      <c r="J1161" s="3"/>
      <c r="K1161" s="3"/>
      <c r="L1161" s="3"/>
      <c r="M1161" s="3"/>
      <c r="N1161" s="3"/>
      <c r="O1161" s="3"/>
      <c r="P1161" s="3"/>
      <c r="Q1161" s="3"/>
      <c r="R1161" s="3"/>
    </row>
    <row r="1162" spans="1:18" x14ac:dyDescent="0.3">
      <c r="A1162" s="3"/>
      <c r="B1162" s="3"/>
      <c r="C1162" s="3"/>
      <c r="D1162" s="3"/>
      <c r="E1162" s="3"/>
      <c r="F1162" s="3"/>
      <c r="G1162" s="3"/>
      <c r="H1162" s="3"/>
      <c r="I1162" s="3"/>
      <c r="J1162" s="3"/>
      <c r="K1162" s="3"/>
      <c r="L1162" s="3"/>
      <c r="M1162" s="3"/>
      <c r="N1162" s="3"/>
      <c r="O1162" s="3"/>
      <c r="P1162" s="3"/>
      <c r="Q1162" s="3"/>
      <c r="R1162" s="3"/>
    </row>
    <row r="1163" spans="1:18" x14ac:dyDescent="0.3">
      <c r="A1163" s="3"/>
      <c r="B1163" s="3"/>
      <c r="C1163" s="3"/>
      <c r="D1163" s="3"/>
      <c r="E1163" s="3"/>
      <c r="F1163" s="3"/>
      <c r="G1163" s="3"/>
      <c r="H1163" s="3"/>
      <c r="I1163" s="3"/>
      <c r="J1163" s="3"/>
      <c r="K1163" s="3"/>
      <c r="L1163" s="3"/>
      <c r="M1163" s="3"/>
      <c r="N1163" s="3"/>
      <c r="O1163" s="3"/>
      <c r="P1163" s="3"/>
      <c r="Q1163" s="3"/>
      <c r="R1163" s="3"/>
    </row>
    <row r="1164" spans="1:18" x14ac:dyDescent="0.3">
      <c r="A1164" s="3"/>
      <c r="B1164" s="3"/>
      <c r="C1164" s="3"/>
      <c r="D1164" s="3"/>
      <c r="E1164" s="3"/>
      <c r="F1164" s="3"/>
      <c r="G1164" s="3"/>
      <c r="H1164" s="3"/>
      <c r="I1164" s="3"/>
      <c r="J1164" s="3"/>
      <c r="K1164" s="3"/>
      <c r="L1164" s="3"/>
      <c r="M1164" s="3"/>
      <c r="N1164" s="3"/>
      <c r="O1164" s="3"/>
      <c r="P1164" s="3"/>
      <c r="Q1164" s="3"/>
      <c r="R1164" s="3"/>
    </row>
    <row r="1165" spans="1:18" x14ac:dyDescent="0.3">
      <c r="A1165" s="3"/>
      <c r="B1165" s="3"/>
      <c r="C1165" s="3"/>
      <c r="D1165" s="3"/>
      <c r="E1165" s="3"/>
      <c r="F1165" s="3"/>
      <c r="G1165" s="3"/>
      <c r="H1165" s="3"/>
      <c r="I1165" s="3"/>
      <c r="J1165" s="3"/>
      <c r="K1165" s="3"/>
      <c r="L1165" s="3"/>
      <c r="M1165" s="3"/>
      <c r="N1165" s="3"/>
      <c r="O1165" s="3"/>
      <c r="P1165" s="3"/>
      <c r="Q1165" s="3"/>
      <c r="R1165" s="3"/>
    </row>
    <row r="1166" spans="1:18" x14ac:dyDescent="0.3">
      <c r="A1166" s="3"/>
      <c r="B1166" s="3"/>
      <c r="C1166" s="3"/>
      <c r="D1166" s="3"/>
      <c r="E1166" s="3"/>
      <c r="F1166" s="3"/>
      <c r="G1166" s="3"/>
      <c r="H1166" s="3"/>
      <c r="I1166" s="3"/>
      <c r="J1166" s="3"/>
      <c r="K1166" s="3"/>
      <c r="L1166" s="3"/>
      <c r="M1166" s="3"/>
      <c r="N1166" s="3"/>
      <c r="O1166" s="3"/>
      <c r="P1166" s="3"/>
      <c r="Q1166" s="3"/>
      <c r="R1166" s="3"/>
    </row>
    <row r="1167" spans="1:18" x14ac:dyDescent="0.3">
      <c r="A1167" s="3"/>
      <c r="B1167" s="3"/>
      <c r="C1167" s="3"/>
      <c r="D1167" s="3"/>
      <c r="E1167" s="3"/>
      <c r="F1167" s="3"/>
      <c r="G1167" s="3"/>
      <c r="H1167" s="3"/>
      <c r="I1167" s="3"/>
      <c r="J1167" s="3"/>
      <c r="K1167" s="3"/>
      <c r="L1167" s="3"/>
      <c r="M1167" s="3"/>
      <c r="N1167" s="3"/>
      <c r="O1167" s="3"/>
      <c r="P1167" s="3"/>
      <c r="Q1167" s="3"/>
      <c r="R1167" s="3"/>
    </row>
    <row r="1168" spans="1:18" x14ac:dyDescent="0.3">
      <c r="A1168" s="3"/>
      <c r="B1168" s="3"/>
      <c r="C1168" s="3"/>
      <c r="D1168" s="3"/>
      <c r="E1168" s="3"/>
      <c r="F1168" s="3"/>
      <c r="G1168" s="3"/>
      <c r="H1168" s="3"/>
      <c r="I1168" s="3"/>
      <c r="J1168" s="3"/>
      <c r="K1168" s="3"/>
      <c r="L1168" s="3"/>
      <c r="M1168" s="3"/>
      <c r="N1168" s="3"/>
      <c r="O1168" s="3"/>
      <c r="P1168" s="3"/>
      <c r="Q1168" s="3"/>
      <c r="R1168" s="3"/>
    </row>
    <row r="1169" spans="1:18" x14ac:dyDescent="0.3">
      <c r="A1169" s="3"/>
      <c r="B1169" s="3"/>
      <c r="C1169" s="3"/>
      <c r="D1169" s="3"/>
      <c r="E1169" s="3"/>
      <c r="F1169" s="3"/>
      <c r="G1169" s="3"/>
      <c r="H1169" s="3"/>
      <c r="I1169" s="3"/>
      <c r="J1169" s="3"/>
      <c r="K1169" s="3"/>
      <c r="L1169" s="3"/>
      <c r="M1169" s="3"/>
      <c r="N1169" s="3"/>
      <c r="O1169" s="3"/>
      <c r="P1169" s="3"/>
      <c r="Q1169" s="3"/>
      <c r="R1169" s="3"/>
    </row>
    <row r="1170" spans="1:18" x14ac:dyDescent="0.3">
      <c r="A1170" s="3"/>
      <c r="B1170" s="3"/>
      <c r="C1170" s="3"/>
      <c r="D1170" s="3"/>
      <c r="E1170" s="3"/>
      <c r="F1170" s="3"/>
      <c r="G1170" s="3"/>
      <c r="H1170" s="3"/>
      <c r="I1170" s="3"/>
      <c r="J1170" s="3"/>
      <c r="K1170" s="3"/>
      <c r="L1170" s="3"/>
      <c r="M1170" s="3"/>
      <c r="N1170" s="3"/>
      <c r="O1170" s="3"/>
      <c r="P1170" s="3"/>
      <c r="Q1170" s="3"/>
      <c r="R1170" s="3"/>
    </row>
    <row r="1171" spans="1:18" x14ac:dyDescent="0.3">
      <c r="A1171" s="3"/>
      <c r="B1171" s="3"/>
      <c r="C1171" s="3"/>
      <c r="D1171" s="3"/>
      <c r="E1171" s="3"/>
      <c r="F1171" s="3"/>
      <c r="G1171" s="3"/>
      <c r="H1171" s="3"/>
      <c r="I1171" s="3"/>
      <c r="J1171" s="3"/>
      <c r="K1171" s="3"/>
      <c r="L1171" s="3"/>
      <c r="M1171" s="3"/>
      <c r="N1171" s="3"/>
      <c r="O1171" s="3"/>
      <c r="P1171" s="3"/>
      <c r="Q1171" s="3"/>
      <c r="R1171" s="3"/>
    </row>
    <row r="1172" spans="1:18" x14ac:dyDescent="0.3">
      <c r="A1172" s="3"/>
      <c r="B1172" s="3"/>
      <c r="C1172" s="3"/>
      <c r="D1172" s="3"/>
      <c r="E1172" s="3"/>
      <c r="F1172" s="3"/>
      <c r="G1172" s="3"/>
      <c r="H1172" s="3"/>
      <c r="I1172" s="3"/>
      <c r="J1172" s="3"/>
      <c r="K1172" s="3"/>
      <c r="L1172" s="3"/>
      <c r="M1172" s="3"/>
      <c r="N1172" s="3"/>
      <c r="O1172" s="3"/>
      <c r="P1172" s="3"/>
      <c r="Q1172" s="3"/>
      <c r="R1172" s="3"/>
    </row>
    <row r="1173" spans="1:18" x14ac:dyDescent="0.3">
      <c r="A1173" s="3"/>
      <c r="B1173" s="3"/>
      <c r="C1173" s="3"/>
      <c r="D1173" s="3"/>
      <c r="E1173" s="3"/>
      <c r="F1173" s="3"/>
      <c r="G1173" s="3"/>
      <c r="H1173" s="3"/>
      <c r="I1173" s="3"/>
      <c r="J1173" s="3"/>
      <c r="K1173" s="3"/>
      <c r="L1173" s="3"/>
      <c r="M1173" s="3"/>
      <c r="N1173" s="3"/>
      <c r="O1173" s="3"/>
      <c r="P1173" s="3"/>
      <c r="Q1173" s="3"/>
      <c r="R1173" s="3"/>
    </row>
    <row r="1174" spans="1:18" x14ac:dyDescent="0.3">
      <c r="A1174" s="3"/>
      <c r="B1174" s="3"/>
      <c r="C1174" s="3"/>
      <c r="D1174" s="3"/>
      <c r="E1174" s="3"/>
      <c r="F1174" s="3"/>
      <c r="G1174" s="3"/>
      <c r="H1174" s="3"/>
      <c r="I1174" s="3"/>
      <c r="J1174" s="3"/>
      <c r="K1174" s="3"/>
      <c r="L1174" s="3"/>
      <c r="M1174" s="3"/>
      <c r="N1174" s="3"/>
      <c r="O1174" s="3"/>
      <c r="P1174" s="3"/>
      <c r="Q1174" s="3"/>
      <c r="R1174" s="3"/>
    </row>
    <row r="1175" spans="1:18" x14ac:dyDescent="0.3">
      <c r="A1175" s="3"/>
      <c r="B1175" s="3"/>
      <c r="C1175" s="3"/>
      <c r="D1175" s="3"/>
      <c r="E1175" s="3"/>
      <c r="F1175" s="3"/>
      <c r="G1175" s="3"/>
      <c r="H1175" s="3"/>
      <c r="I1175" s="3"/>
      <c r="J1175" s="3"/>
      <c r="K1175" s="3"/>
      <c r="L1175" s="3"/>
      <c r="M1175" s="3"/>
      <c r="N1175" s="3"/>
      <c r="O1175" s="3"/>
      <c r="P1175" s="3"/>
      <c r="Q1175" s="3"/>
      <c r="R1175" s="3"/>
    </row>
    <row r="1176" spans="1:18" x14ac:dyDescent="0.3">
      <c r="A1176" s="3"/>
      <c r="B1176" s="3"/>
      <c r="C1176" s="3"/>
      <c r="D1176" s="3"/>
      <c r="E1176" s="3"/>
      <c r="F1176" s="3"/>
      <c r="G1176" s="3"/>
      <c r="H1176" s="3"/>
      <c r="I1176" s="3"/>
      <c r="J1176" s="3"/>
      <c r="K1176" s="3"/>
      <c r="L1176" s="3"/>
      <c r="M1176" s="3"/>
      <c r="N1176" s="3"/>
      <c r="O1176" s="3"/>
      <c r="P1176" s="3"/>
      <c r="Q1176" s="3"/>
      <c r="R1176" s="3"/>
    </row>
    <row r="1177" spans="1:18" x14ac:dyDescent="0.3">
      <c r="A1177" s="3"/>
      <c r="B1177" s="3"/>
      <c r="C1177" s="3"/>
      <c r="D1177" s="3"/>
      <c r="E1177" s="3"/>
      <c r="F1177" s="3"/>
      <c r="G1177" s="3"/>
      <c r="H1177" s="3"/>
      <c r="I1177" s="3"/>
      <c r="J1177" s="3"/>
      <c r="K1177" s="3"/>
      <c r="L1177" s="3"/>
      <c r="M1177" s="3"/>
      <c r="N1177" s="3"/>
      <c r="O1177" s="3"/>
      <c r="P1177" s="3"/>
      <c r="Q1177" s="3"/>
      <c r="R1177" s="3"/>
    </row>
    <row r="1178" spans="1:18" x14ac:dyDescent="0.3">
      <c r="A1178" s="3"/>
      <c r="B1178" s="3"/>
      <c r="C1178" s="3"/>
      <c r="D1178" s="3"/>
      <c r="E1178" s="3"/>
      <c r="F1178" s="3"/>
      <c r="G1178" s="3"/>
      <c r="H1178" s="3"/>
      <c r="I1178" s="3"/>
      <c r="J1178" s="3"/>
      <c r="K1178" s="3"/>
      <c r="L1178" s="3"/>
      <c r="M1178" s="3"/>
      <c r="N1178" s="3"/>
      <c r="O1178" s="3"/>
      <c r="P1178" s="3"/>
      <c r="Q1178" s="3"/>
      <c r="R1178" s="3"/>
    </row>
    <row r="1179" spans="1:18" x14ac:dyDescent="0.3">
      <c r="A1179" s="3"/>
      <c r="B1179" s="3"/>
      <c r="C1179" s="3"/>
      <c r="D1179" s="3"/>
      <c r="E1179" s="3"/>
      <c r="F1179" s="3"/>
      <c r="G1179" s="3"/>
      <c r="H1179" s="3"/>
      <c r="I1179" s="3"/>
      <c r="J1179" s="3"/>
      <c r="K1179" s="3"/>
      <c r="L1179" s="3"/>
      <c r="M1179" s="3"/>
      <c r="N1179" s="3"/>
      <c r="O1179" s="3"/>
      <c r="P1179" s="3"/>
      <c r="Q1179" s="3"/>
      <c r="R1179" s="3"/>
    </row>
    <row r="1180" spans="1:18" x14ac:dyDescent="0.3">
      <c r="A1180" s="3"/>
      <c r="B1180" s="3"/>
      <c r="C1180" s="3"/>
      <c r="D1180" s="3"/>
      <c r="E1180" s="3"/>
      <c r="F1180" s="3"/>
      <c r="G1180" s="3"/>
      <c r="H1180" s="3"/>
      <c r="I1180" s="3"/>
      <c r="J1180" s="3"/>
      <c r="K1180" s="3"/>
      <c r="L1180" s="3"/>
      <c r="M1180" s="3"/>
      <c r="N1180" s="3"/>
      <c r="O1180" s="3"/>
      <c r="P1180" s="3"/>
      <c r="Q1180" s="3"/>
      <c r="R1180" s="3"/>
    </row>
    <row r="1181" spans="1:18" x14ac:dyDescent="0.3">
      <c r="A1181" s="3"/>
      <c r="B1181" s="3"/>
      <c r="C1181" s="3"/>
      <c r="D1181" s="3"/>
      <c r="E1181" s="3"/>
      <c r="F1181" s="3"/>
      <c r="G1181" s="3"/>
      <c r="H1181" s="3"/>
      <c r="I1181" s="3"/>
      <c r="J1181" s="3"/>
      <c r="K1181" s="3"/>
      <c r="L1181" s="3"/>
      <c r="M1181" s="3"/>
      <c r="N1181" s="3"/>
      <c r="O1181" s="3"/>
      <c r="P1181" s="3"/>
      <c r="Q1181" s="3"/>
      <c r="R1181" s="3"/>
    </row>
    <row r="1182" spans="1:18" x14ac:dyDescent="0.3">
      <c r="A1182" s="3"/>
      <c r="B1182" s="3"/>
      <c r="C1182" s="3"/>
      <c r="D1182" s="3"/>
      <c r="E1182" s="3"/>
      <c r="F1182" s="3"/>
      <c r="G1182" s="3"/>
      <c r="H1182" s="3"/>
      <c r="I1182" s="3"/>
      <c r="J1182" s="3"/>
      <c r="K1182" s="3"/>
      <c r="L1182" s="3"/>
      <c r="M1182" s="3"/>
      <c r="N1182" s="3"/>
      <c r="O1182" s="3"/>
      <c r="P1182" s="3"/>
      <c r="Q1182" s="3"/>
      <c r="R1182" s="3"/>
    </row>
    <row r="1183" spans="1:18" x14ac:dyDescent="0.3">
      <c r="A1183" s="3"/>
      <c r="B1183" s="3"/>
      <c r="C1183" s="3"/>
      <c r="D1183" s="3"/>
      <c r="E1183" s="3"/>
      <c r="F1183" s="3"/>
      <c r="G1183" s="3"/>
      <c r="H1183" s="3"/>
      <c r="I1183" s="3"/>
      <c r="J1183" s="3"/>
      <c r="K1183" s="3"/>
      <c r="L1183" s="3"/>
      <c r="M1183" s="3"/>
      <c r="N1183" s="3"/>
      <c r="O1183" s="3"/>
      <c r="P1183" s="3"/>
      <c r="Q1183" s="3"/>
      <c r="R1183" s="3"/>
    </row>
    <row r="1184" spans="1:18" x14ac:dyDescent="0.3">
      <c r="A1184" s="3"/>
      <c r="B1184" s="3"/>
      <c r="C1184" s="3"/>
      <c r="D1184" s="3"/>
      <c r="E1184" s="3"/>
      <c r="F1184" s="3"/>
      <c r="G1184" s="3"/>
      <c r="H1184" s="3"/>
      <c r="I1184" s="3"/>
      <c r="J1184" s="3"/>
      <c r="K1184" s="3"/>
      <c r="L1184" s="3"/>
      <c r="M1184" s="3"/>
      <c r="N1184" s="3"/>
      <c r="O1184" s="3"/>
      <c r="P1184" s="3"/>
      <c r="Q1184" s="3"/>
      <c r="R1184" s="3"/>
    </row>
    <row r="1185" spans="1:18" x14ac:dyDescent="0.3">
      <c r="A1185" s="3"/>
      <c r="B1185" s="3"/>
      <c r="C1185" s="3"/>
      <c r="D1185" s="3"/>
      <c r="E1185" s="3"/>
      <c r="F1185" s="3"/>
      <c r="G1185" s="3"/>
      <c r="H1185" s="3"/>
      <c r="I1185" s="3"/>
      <c r="J1185" s="3"/>
      <c r="K1185" s="3"/>
      <c r="L1185" s="3"/>
      <c r="M1185" s="3"/>
      <c r="N1185" s="3"/>
      <c r="O1185" s="3"/>
      <c r="P1185" s="3"/>
      <c r="Q1185" s="3"/>
      <c r="R1185" s="3"/>
    </row>
    <row r="1186" spans="1:18" x14ac:dyDescent="0.3">
      <c r="A1186" s="3"/>
      <c r="B1186" s="3"/>
      <c r="C1186" s="3"/>
      <c r="D1186" s="3"/>
      <c r="E1186" s="3"/>
      <c r="F1186" s="3"/>
      <c r="G1186" s="3"/>
      <c r="H1186" s="3"/>
      <c r="I1186" s="3"/>
      <c r="J1186" s="3"/>
      <c r="K1186" s="3"/>
      <c r="L1186" s="3"/>
      <c r="M1186" s="3"/>
      <c r="N1186" s="3"/>
      <c r="O1186" s="3"/>
      <c r="P1186" s="3"/>
      <c r="Q1186" s="3"/>
      <c r="R1186" s="3"/>
    </row>
    <row r="1187" spans="1:18" x14ac:dyDescent="0.3">
      <c r="A1187" s="3"/>
      <c r="B1187" s="3"/>
      <c r="C1187" s="3"/>
      <c r="D1187" s="3"/>
      <c r="E1187" s="3"/>
      <c r="F1187" s="3"/>
      <c r="G1187" s="3"/>
      <c r="H1187" s="3"/>
      <c r="I1187" s="3"/>
      <c r="J1187" s="3"/>
      <c r="K1187" s="3"/>
      <c r="L1187" s="3"/>
      <c r="M1187" s="3"/>
      <c r="N1187" s="3"/>
      <c r="O1187" s="3"/>
      <c r="P1187" s="3"/>
      <c r="Q1187" s="3"/>
      <c r="R1187" s="3"/>
    </row>
    <row r="1188" spans="1:18" x14ac:dyDescent="0.3">
      <c r="A1188" s="3"/>
      <c r="B1188" s="3"/>
      <c r="C1188" s="3"/>
      <c r="D1188" s="3"/>
      <c r="E1188" s="3"/>
      <c r="F1188" s="3"/>
      <c r="G1188" s="3"/>
      <c r="H1188" s="3"/>
      <c r="I1188" s="3"/>
      <c r="J1188" s="3"/>
      <c r="K1188" s="3"/>
      <c r="L1188" s="3"/>
      <c r="M1188" s="3"/>
      <c r="N1188" s="3"/>
      <c r="O1188" s="3"/>
      <c r="P1188" s="3"/>
      <c r="Q1188" s="3"/>
      <c r="R1188" s="3"/>
    </row>
    <row r="1189" spans="1:18" x14ac:dyDescent="0.3">
      <c r="A1189" s="3"/>
      <c r="B1189" s="3"/>
      <c r="C1189" s="3"/>
      <c r="D1189" s="3"/>
      <c r="E1189" s="3"/>
      <c r="F1189" s="3"/>
      <c r="G1189" s="3"/>
      <c r="H1189" s="3"/>
      <c r="I1189" s="3"/>
      <c r="J1189" s="3"/>
      <c r="K1189" s="3"/>
      <c r="L1189" s="3"/>
      <c r="M1189" s="3"/>
      <c r="N1189" s="3"/>
      <c r="O1189" s="3"/>
      <c r="P1189" s="3"/>
      <c r="Q1189" s="3"/>
      <c r="R1189" s="3"/>
    </row>
    <row r="1190" spans="1:18" x14ac:dyDescent="0.3">
      <c r="A1190" s="3"/>
      <c r="B1190" s="3"/>
      <c r="C1190" s="3"/>
      <c r="D1190" s="3"/>
      <c r="E1190" s="3"/>
      <c r="F1190" s="3"/>
      <c r="G1190" s="3"/>
      <c r="H1190" s="3"/>
      <c r="I1190" s="3"/>
      <c r="J1190" s="3"/>
      <c r="K1190" s="3"/>
      <c r="L1190" s="3"/>
      <c r="M1190" s="3"/>
      <c r="N1190" s="3"/>
      <c r="O1190" s="3"/>
      <c r="P1190" s="3"/>
      <c r="Q1190" s="3"/>
      <c r="R1190" s="3"/>
    </row>
    <row r="1191" spans="1:18" x14ac:dyDescent="0.3">
      <c r="A1191" s="3"/>
      <c r="B1191" s="3"/>
      <c r="C1191" s="3"/>
      <c r="D1191" s="3"/>
      <c r="E1191" s="3"/>
      <c r="F1191" s="3"/>
      <c r="G1191" s="3"/>
      <c r="H1191" s="3"/>
      <c r="I1191" s="3"/>
      <c r="J1191" s="3"/>
      <c r="K1191" s="3"/>
      <c r="L1191" s="3"/>
      <c r="M1191" s="3"/>
      <c r="N1191" s="3"/>
      <c r="O1191" s="3"/>
      <c r="P1191" s="3"/>
      <c r="Q1191" s="3"/>
      <c r="R1191" s="3"/>
    </row>
    <row r="1192" spans="1:18" x14ac:dyDescent="0.3">
      <c r="A1192" s="3"/>
      <c r="B1192" s="3"/>
      <c r="C1192" s="3"/>
      <c r="D1192" s="3"/>
      <c r="E1192" s="3"/>
      <c r="F1192" s="3"/>
      <c r="G1192" s="3"/>
      <c r="H1192" s="3"/>
      <c r="I1192" s="3"/>
      <c r="J1192" s="3"/>
      <c r="K1192" s="3"/>
      <c r="L1192" s="3"/>
      <c r="M1192" s="3"/>
      <c r="N1192" s="3"/>
      <c r="O1192" s="3"/>
      <c r="P1192" s="3"/>
      <c r="Q1192" s="3"/>
      <c r="R1192" s="3"/>
    </row>
    <row r="1193" spans="1:18" x14ac:dyDescent="0.3">
      <c r="A1193" s="3"/>
      <c r="B1193" s="3"/>
      <c r="C1193" s="3"/>
      <c r="D1193" s="3"/>
      <c r="E1193" s="3"/>
      <c r="F1193" s="3"/>
      <c r="G1193" s="3"/>
      <c r="H1193" s="3"/>
      <c r="I1193" s="3"/>
      <c r="J1193" s="3"/>
      <c r="K1193" s="3"/>
      <c r="L1193" s="3"/>
      <c r="M1193" s="3"/>
      <c r="N1193" s="3"/>
      <c r="O1193" s="3"/>
      <c r="P1193" s="3"/>
      <c r="Q1193" s="3"/>
      <c r="R1193" s="3"/>
    </row>
    <row r="1194" spans="1:18" x14ac:dyDescent="0.3">
      <c r="A1194" s="3"/>
      <c r="B1194" s="3"/>
      <c r="C1194" s="3"/>
      <c r="D1194" s="3"/>
      <c r="E1194" s="3"/>
      <c r="F1194" s="3"/>
      <c r="G1194" s="3"/>
      <c r="H1194" s="3"/>
      <c r="I1194" s="3"/>
      <c r="J1194" s="3"/>
      <c r="K1194" s="3"/>
      <c r="L1194" s="3"/>
      <c r="M1194" s="3"/>
      <c r="N1194" s="3"/>
      <c r="O1194" s="3"/>
      <c r="P1194" s="3"/>
      <c r="Q1194" s="3"/>
      <c r="R1194" s="3"/>
    </row>
    <row r="1195" spans="1:18" x14ac:dyDescent="0.3">
      <c r="A1195" s="3"/>
      <c r="B1195" s="3"/>
      <c r="C1195" s="3"/>
      <c r="D1195" s="3"/>
      <c r="E1195" s="3"/>
      <c r="F1195" s="3"/>
      <c r="G1195" s="3"/>
      <c r="H1195" s="3"/>
      <c r="I1195" s="3"/>
      <c r="J1195" s="3"/>
      <c r="K1195" s="3"/>
      <c r="L1195" s="3"/>
      <c r="M1195" s="3"/>
      <c r="N1195" s="3"/>
      <c r="O1195" s="3"/>
      <c r="P1195" s="3"/>
      <c r="Q1195" s="3"/>
      <c r="R1195" s="3"/>
    </row>
    <row r="1196" spans="1:18" x14ac:dyDescent="0.3">
      <c r="A1196" s="3"/>
      <c r="B1196" s="3"/>
      <c r="C1196" s="3"/>
      <c r="D1196" s="3"/>
      <c r="E1196" s="3"/>
      <c r="F1196" s="3"/>
      <c r="G1196" s="3"/>
      <c r="H1196" s="3"/>
      <c r="I1196" s="3"/>
      <c r="J1196" s="3"/>
      <c r="K1196" s="3"/>
      <c r="L1196" s="3"/>
      <c r="M1196" s="3"/>
      <c r="N1196" s="3"/>
      <c r="O1196" s="3"/>
      <c r="P1196" s="3"/>
      <c r="Q1196" s="3"/>
      <c r="R1196" s="3"/>
    </row>
    <row r="1197" spans="1:18" x14ac:dyDescent="0.3">
      <c r="A1197" s="3"/>
      <c r="B1197" s="3"/>
      <c r="C1197" s="3"/>
      <c r="D1197" s="3"/>
      <c r="E1197" s="3"/>
      <c r="F1197" s="3"/>
      <c r="G1197" s="3"/>
      <c r="H1197" s="3"/>
      <c r="I1197" s="3"/>
      <c r="J1197" s="3"/>
      <c r="K1197" s="3"/>
      <c r="L1197" s="3"/>
      <c r="M1197" s="3"/>
      <c r="N1197" s="3"/>
      <c r="O1197" s="3"/>
      <c r="P1197" s="3"/>
      <c r="Q1197" s="3"/>
      <c r="R1197" s="3"/>
    </row>
    <row r="1198" spans="1:18" x14ac:dyDescent="0.3">
      <c r="A1198" s="3"/>
      <c r="B1198" s="3"/>
      <c r="C1198" s="3"/>
      <c r="D1198" s="3"/>
      <c r="E1198" s="3"/>
      <c r="F1198" s="3"/>
      <c r="G1198" s="3"/>
      <c r="H1198" s="3"/>
      <c r="I1198" s="3"/>
      <c r="J1198" s="3"/>
      <c r="K1198" s="3"/>
      <c r="L1198" s="3"/>
      <c r="M1198" s="3"/>
      <c r="N1198" s="3"/>
      <c r="O1198" s="3"/>
      <c r="P1198" s="3"/>
      <c r="Q1198" s="3"/>
      <c r="R1198" s="3"/>
    </row>
    <row r="1199" spans="1:18" x14ac:dyDescent="0.3">
      <c r="A1199" s="3"/>
      <c r="B1199" s="3"/>
      <c r="C1199" s="3"/>
      <c r="D1199" s="3"/>
      <c r="E1199" s="3"/>
      <c r="F1199" s="3"/>
      <c r="G1199" s="3"/>
      <c r="H1199" s="3"/>
      <c r="I1199" s="3"/>
      <c r="J1199" s="3"/>
      <c r="K1199" s="3"/>
      <c r="L1199" s="3"/>
      <c r="M1199" s="3"/>
      <c r="N1199" s="3"/>
      <c r="O1199" s="3"/>
      <c r="P1199" s="3"/>
      <c r="Q1199" s="3"/>
      <c r="R1199" s="3"/>
    </row>
    <row r="1200" spans="1:18" x14ac:dyDescent="0.3">
      <c r="A1200" s="3"/>
      <c r="B1200" s="3"/>
      <c r="C1200" s="3"/>
      <c r="D1200" s="3"/>
      <c r="E1200" s="3"/>
      <c r="F1200" s="3"/>
      <c r="G1200" s="3"/>
      <c r="H1200" s="3"/>
      <c r="I1200" s="3"/>
      <c r="J1200" s="3"/>
      <c r="K1200" s="3"/>
      <c r="L1200" s="3"/>
      <c r="M1200" s="3"/>
      <c r="N1200" s="3"/>
      <c r="O1200" s="3"/>
      <c r="P1200" s="3"/>
      <c r="Q1200" s="3"/>
      <c r="R1200" s="3"/>
    </row>
    <row r="1201" spans="1:18" x14ac:dyDescent="0.3">
      <c r="A1201" s="3"/>
      <c r="B1201" s="3"/>
      <c r="C1201" s="3"/>
      <c r="D1201" s="3"/>
      <c r="E1201" s="3"/>
      <c r="F1201" s="3"/>
      <c r="G1201" s="3"/>
      <c r="H1201" s="3"/>
      <c r="I1201" s="3"/>
      <c r="J1201" s="3"/>
      <c r="K1201" s="3"/>
      <c r="L1201" s="3"/>
      <c r="M1201" s="3"/>
      <c r="N1201" s="3"/>
      <c r="O1201" s="3"/>
      <c r="P1201" s="3"/>
      <c r="Q1201" s="3"/>
      <c r="R1201" s="3"/>
    </row>
    <row r="1202" spans="1:18" x14ac:dyDescent="0.3">
      <c r="A1202" s="3"/>
      <c r="B1202" s="3"/>
      <c r="C1202" s="3"/>
      <c r="D1202" s="3"/>
      <c r="E1202" s="3"/>
      <c r="F1202" s="3"/>
      <c r="G1202" s="3"/>
      <c r="H1202" s="3"/>
      <c r="I1202" s="3"/>
      <c r="J1202" s="3"/>
      <c r="K1202" s="3"/>
      <c r="L1202" s="3"/>
      <c r="M1202" s="3"/>
      <c r="N1202" s="3"/>
      <c r="O1202" s="3"/>
      <c r="P1202" s="3"/>
      <c r="Q1202" s="3"/>
      <c r="R1202" s="3"/>
    </row>
    <row r="1203" spans="1:18" x14ac:dyDescent="0.3">
      <c r="A1203" s="3"/>
      <c r="B1203" s="3"/>
      <c r="C1203" s="3"/>
      <c r="D1203" s="3"/>
      <c r="E1203" s="3"/>
      <c r="F1203" s="3"/>
      <c r="G1203" s="3"/>
      <c r="H1203" s="3"/>
      <c r="I1203" s="3"/>
      <c r="J1203" s="3"/>
      <c r="K1203" s="3"/>
      <c r="L1203" s="3"/>
      <c r="M1203" s="3"/>
      <c r="N1203" s="3"/>
      <c r="O1203" s="3"/>
      <c r="P1203" s="3"/>
      <c r="Q1203" s="3"/>
      <c r="R1203" s="3"/>
    </row>
    <row r="1204" spans="1:18" x14ac:dyDescent="0.3">
      <c r="A1204" s="3"/>
      <c r="B1204" s="3"/>
      <c r="C1204" s="3"/>
      <c r="D1204" s="3"/>
      <c r="E1204" s="3"/>
      <c r="F1204" s="3"/>
      <c r="G1204" s="3"/>
      <c r="H1204" s="3"/>
      <c r="I1204" s="3"/>
      <c r="J1204" s="3"/>
      <c r="K1204" s="3"/>
      <c r="L1204" s="3"/>
      <c r="M1204" s="3"/>
      <c r="N1204" s="3"/>
      <c r="O1204" s="3"/>
      <c r="P1204" s="3"/>
      <c r="Q1204" s="3"/>
      <c r="R1204" s="3"/>
    </row>
    <row r="1205" spans="1:18" x14ac:dyDescent="0.3">
      <c r="A1205" s="3"/>
      <c r="B1205" s="3"/>
      <c r="C1205" s="3"/>
      <c r="D1205" s="3"/>
      <c r="E1205" s="3"/>
      <c r="F1205" s="3"/>
      <c r="G1205" s="3"/>
      <c r="H1205" s="3"/>
      <c r="I1205" s="3"/>
      <c r="J1205" s="3"/>
      <c r="K1205" s="3"/>
      <c r="L1205" s="3"/>
      <c r="M1205" s="3"/>
      <c r="N1205" s="3"/>
      <c r="O1205" s="3"/>
      <c r="P1205" s="3"/>
      <c r="Q1205" s="3"/>
      <c r="R1205" s="3"/>
    </row>
    <row r="1206" spans="1:18" x14ac:dyDescent="0.3">
      <c r="A1206" s="3"/>
      <c r="B1206" s="3"/>
      <c r="C1206" s="3"/>
      <c r="D1206" s="3"/>
      <c r="E1206" s="3"/>
      <c r="F1206" s="3"/>
      <c r="G1206" s="3"/>
      <c r="H1206" s="3"/>
      <c r="I1206" s="3"/>
      <c r="J1206" s="3"/>
      <c r="K1206" s="3"/>
      <c r="L1206" s="3"/>
      <c r="M1206" s="3"/>
      <c r="N1206" s="3"/>
      <c r="O1206" s="3"/>
      <c r="P1206" s="3"/>
      <c r="Q1206" s="3"/>
      <c r="R1206" s="3"/>
    </row>
    <row r="1207" spans="1:18" x14ac:dyDescent="0.3">
      <c r="A1207" s="3"/>
      <c r="B1207" s="3"/>
      <c r="C1207" s="3"/>
      <c r="D1207" s="3"/>
      <c r="E1207" s="3"/>
      <c r="F1207" s="3"/>
      <c r="G1207" s="3"/>
      <c r="H1207" s="3"/>
      <c r="I1207" s="3"/>
      <c r="J1207" s="3"/>
      <c r="K1207" s="3"/>
      <c r="L1207" s="3"/>
      <c r="M1207" s="3"/>
      <c r="N1207" s="3"/>
      <c r="O1207" s="3"/>
      <c r="P1207" s="3"/>
      <c r="Q1207" s="3"/>
      <c r="R1207" s="3"/>
    </row>
    <row r="1208" spans="1:18" x14ac:dyDescent="0.3">
      <c r="A1208" s="3"/>
      <c r="B1208" s="3"/>
      <c r="C1208" s="3"/>
      <c r="D1208" s="3"/>
      <c r="E1208" s="3"/>
      <c r="F1208" s="3"/>
      <c r="G1208" s="3"/>
      <c r="H1208" s="3"/>
      <c r="I1208" s="3"/>
      <c r="J1208" s="3"/>
      <c r="K1208" s="3"/>
      <c r="L1208" s="3"/>
      <c r="M1208" s="3"/>
      <c r="N1208" s="3"/>
      <c r="O1208" s="3"/>
      <c r="P1208" s="3"/>
      <c r="Q1208" s="3"/>
      <c r="R1208" s="3"/>
    </row>
    <row r="1209" spans="1:18" x14ac:dyDescent="0.3">
      <c r="A1209" s="3"/>
      <c r="B1209" s="3"/>
      <c r="C1209" s="3"/>
      <c r="D1209" s="3"/>
      <c r="E1209" s="3"/>
      <c r="F1209" s="3"/>
      <c r="G1209" s="3"/>
      <c r="H1209" s="3"/>
      <c r="I1209" s="3"/>
      <c r="J1209" s="3"/>
      <c r="K1209" s="3"/>
      <c r="L1209" s="3"/>
      <c r="M1209" s="3"/>
      <c r="N1209" s="3"/>
      <c r="O1209" s="3"/>
      <c r="P1209" s="3"/>
      <c r="Q1209" s="3"/>
      <c r="R1209" s="3"/>
    </row>
    <row r="1210" spans="1:18" x14ac:dyDescent="0.3">
      <c r="A1210" s="3"/>
      <c r="B1210" s="3"/>
      <c r="C1210" s="3"/>
      <c r="D1210" s="3"/>
      <c r="E1210" s="3"/>
      <c r="F1210" s="3"/>
      <c r="G1210" s="3"/>
      <c r="H1210" s="3"/>
      <c r="I1210" s="3"/>
      <c r="J1210" s="3"/>
      <c r="K1210" s="3"/>
      <c r="L1210" s="3"/>
      <c r="M1210" s="3"/>
      <c r="N1210" s="3"/>
      <c r="O1210" s="3"/>
      <c r="P1210" s="3"/>
      <c r="Q1210" s="3"/>
      <c r="R1210" s="3"/>
    </row>
    <row r="1211" spans="1:18" x14ac:dyDescent="0.3">
      <c r="A1211" s="3"/>
      <c r="B1211" s="3"/>
      <c r="C1211" s="3"/>
      <c r="D1211" s="3"/>
      <c r="E1211" s="3"/>
      <c r="F1211" s="3"/>
      <c r="G1211" s="3"/>
      <c r="H1211" s="3"/>
      <c r="I1211" s="3"/>
      <c r="J1211" s="3"/>
      <c r="K1211" s="3"/>
      <c r="L1211" s="3"/>
      <c r="M1211" s="3"/>
      <c r="N1211" s="3"/>
      <c r="O1211" s="3"/>
      <c r="P1211" s="3"/>
      <c r="Q1211" s="3"/>
      <c r="R1211" s="3"/>
    </row>
    <row r="1212" spans="1:18" x14ac:dyDescent="0.3">
      <c r="A1212" s="3"/>
      <c r="B1212" s="3"/>
      <c r="C1212" s="3"/>
      <c r="D1212" s="3"/>
      <c r="E1212" s="3"/>
      <c r="F1212" s="3"/>
      <c r="G1212" s="3"/>
      <c r="H1212" s="3"/>
      <c r="I1212" s="3"/>
      <c r="J1212" s="3"/>
      <c r="K1212" s="3"/>
      <c r="L1212" s="3"/>
      <c r="M1212" s="3"/>
      <c r="N1212" s="3"/>
      <c r="O1212" s="3"/>
      <c r="P1212" s="3"/>
      <c r="Q1212" s="3"/>
      <c r="R1212" s="3"/>
    </row>
    <row r="1213" spans="1:18" x14ac:dyDescent="0.3">
      <c r="A1213" s="3"/>
      <c r="B1213" s="3"/>
      <c r="C1213" s="3"/>
      <c r="D1213" s="3"/>
      <c r="E1213" s="3"/>
      <c r="F1213" s="3"/>
      <c r="G1213" s="3"/>
      <c r="H1213" s="3"/>
      <c r="I1213" s="3"/>
      <c r="J1213" s="3"/>
      <c r="K1213" s="3"/>
      <c r="L1213" s="3"/>
      <c r="M1213" s="3"/>
      <c r="N1213" s="3"/>
      <c r="O1213" s="3"/>
      <c r="P1213" s="3"/>
      <c r="Q1213" s="3"/>
      <c r="R1213" s="3"/>
    </row>
    <row r="1214" spans="1:18" x14ac:dyDescent="0.3">
      <c r="A1214" s="3"/>
      <c r="B1214" s="3"/>
      <c r="C1214" s="3"/>
      <c r="D1214" s="3"/>
      <c r="E1214" s="3"/>
      <c r="F1214" s="3"/>
      <c r="G1214" s="3"/>
      <c r="H1214" s="3"/>
      <c r="I1214" s="3"/>
      <c r="J1214" s="3"/>
      <c r="K1214" s="3"/>
      <c r="L1214" s="3"/>
      <c r="M1214" s="3"/>
      <c r="N1214" s="3"/>
      <c r="O1214" s="3"/>
      <c r="P1214" s="3"/>
      <c r="Q1214" s="3"/>
      <c r="R1214" s="3"/>
    </row>
    <row r="1215" spans="1:18" x14ac:dyDescent="0.3">
      <c r="A1215" s="3"/>
      <c r="B1215" s="3"/>
      <c r="C1215" s="3"/>
      <c r="D1215" s="3"/>
      <c r="E1215" s="3"/>
      <c r="F1215" s="3"/>
      <c r="G1215" s="3"/>
      <c r="H1215" s="3"/>
      <c r="I1215" s="3"/>
      <c r="J1215" s="3"/>
      <c r="K1215" s="3"/>
      <c r="L1215" s="3"/>
      <c r="M1215" s="3"/>
      <c r="N1215" s="3"/>
      <c r="O1215" s="3"/>
      <c r="P1215" s="3"/>
      <c r="Q1215" s="3"/>
      <c r="R1215" s="3"/>
    </row>
    <row r="1216" spans="1:18" x14ac:dyDescent="0.3">
      <c r="A1216" s="3"/>
      <c r="B1216" s="3"/>
      <c r="C1216" s="3"/>
      <c r="D1216" s="3"/>
      <c r="E1216" s="3"/>
      <c r="F1216" s="3"/>
      <c r="G1216" s="3"/>
      <c r="H1216" s="3"/>
      <c r="I1216" s="3"/>
      <c r="J1216" s="3"/>
      <c r="K1216" s="3"/>
      <c r="L1216" s="3"/>
      <c r="M1216" s="3"/>
      <c r="N1216" s="3"/>
      <c r="O1216" s="3"/>
      <c r="P1216" s="3"/>
      <c r="Q1216" s="3"/>
      <c r="R1216" s="3"/>
    </row>
    <row r="1217" spans="1:18" x14ac:dyDescent="0.3">
      <c r="A1217" s="3"/>
      <c r="B1217" s="3"/>
      <c r="C1217" s="3"/>
      <c r="D1217" s="3"/>
      <c r="E1217" s="3"/>
      <c r="F1217" s="3"/>
      <c r="G1217" s="3"/>
      <c r="H1217" s="3"/>
      <c r="I1217" s="3"/>
      <c r="J1217" s="3"/>
      <c r="K1217" s="3"/>
      <c r="L1217" s="3"/>
      <c r="M1217" s="3"/>
      <c r="N1217" s="3"/>
      <c r="O1217" s="3"/>
      <c r="P1217" s="3"/>
      <c r="Q1217" s="3"/>
      <c r="R1217" s="3"/>
    </row>
    <row r="1218" spans="1:18" x14ac:dyDescent="0.3">
      <c r="A1218" s="3"/>
      <c r="B1218" s="3"/>
      <c r="C1218" s="3"/>
      <c r="D1218" s="3"/>
      <c r="E1218" s="3"/>
      <c r="F1218" s="3"/>
      <c r="G1218" s="3"/>
      <c r="H1218" s="3"/>
      <c r="I1218" s="3"/>
      <c r="J1218" s="3"/>
      <c r="K1218" s="3"/>
      <c r="L1218" s="3"/>
      <c r="M1218" s="3"/>
      <c r="N1218" s="3"/>
      <c r="O1218" s="3"/>
      <c r="P1218" s="3"/>
      <c r="Q1218" s="3"/>
      <c r="R1218" s="3"/>
    </row>
    <row r="1219" spans="1:18" x14ac:dyDescent="0.3">
      <c r="A1219" s="3"/>
      <c r="B1219" s="3"/>
      <c r="C1219" s="3"/>
      <c r="D1219" s="3"/>
      <c r="E1219" s="3"/>
      <c r="F1219" s="3"/>
      <c r="G1219" s="3"/>
      <c r="H1219" s="3"/>
      <c r="I1219" s="3"/>
      <c r="J1219" s="3"/>
      <c r="K1219" s="3"/>
      <c r="L1219" s="3"/>
      <c r="M1219" s="3"/>
      <c r="N1219" s="3"/>
      <c r="O1219" s="3"/>
      <c r="P1219" s="3"/>
      <c r="Q1219" s="3"/>
      <c r="R1219" s="3"/>
    </row>
    <row r="1220" spans="1:18" x14ac:dyDescent="0.3">
      <c r="A1220" s="3"/>
      <c r="B1220" s="3"/>
      <c r="C1220" s="3"/>
      <c r="D1220" s="3"/>
      <c r="E1220" s="3"/>
      <c r="F1220" s="3"/>
      <c r="G1220" s="3"/>
      <c r="H1220" s="3"/>
      <c r="I1220" s="3"/>
      <c r="J1220" s="3"/>
      <c r="K1220" s="3"/>
      <c r="L1220" s="3"/>
      <c r="M1220" s="3"/>
      <c r="N1220" s="3"/>
      <c r="O1220" s="3"/>
      <c r="P1220" s="3"/>
      <c r="Q1220" s="3"/>
      <c r="R1220" s="3"/>
    </row>
    <row r="1221" spans="1:18" x14ac:dyDescent="0.3">
      <c r="A1221" s="3"/>
      <c r="B1221" s="3"/>
      <c r="C1221" s="3"/>
      <c r="D1221" s="3"/>
      <c r="E1221" s="3"/>
      <c r="F1221" s="3"/>
      <c r="G1221" s="3"/>
      <c r="H1221" s="3"/>
      <c r="I1221" s="3"/>
      <c r="J1221" s="3"/>
      <c r="K1221" s="3"/>
      <c r="L1221" s="3"/>
      <c r="M1221" s="3"/>
      <c r="N1221" s="3"/>
      <c r="O1221" s="3"/>
      <c r="P1221" s="3"/>
      <c r="Q1221" s="3"/>
      <c r="R1221" s="3"/>
    </row>
    <row r="1222" spans="1:18" x14ac:dyDescent="0.3">
      <c r="A1222" s="3"/>
      <c r="B1222" s="3"/>
      <c r="C1222" s="3"/>
      <c r="D1222" s="3"/>
      <c r="E1222" s="3"/>
      <c r="F1222" s="3"/>
      <c r="G1222" s="3"/>
      <c r="H1222" s="3"/>
      <c r="I1222" s="3"/>
      <c r="J1222" s="3"/>
      <c r="K1222" s="3"/>
      <c r="L1222" s="3"/>
      <c r="M1222" s="3"/>
      <c r="N1222" s="3"/>
      <c r="O1222" s="3"/>
      <c r="P1222" s="3"/>
      <c r="Q1222" s="3"/>
      <c r="R1222" s="3"/>
    </row>
    <row r="1223" spans="1:18" x14ac:dyDescent="0.3">
      <c r="A1223" s="3"/>
      <c r="B1223" s="3"/>
      <c r="C1223" s="3"/>
      <c r="D1223" s="3"/>
      <c r="E1223" s="3"/>
      <c r="F1223" s="3"/>
      <c r="G1223" s="3"/>
      <c r="H1223" s="3"/>
      <c r="I1223" s="3"/>
      <c r="J1223" s="3"/>
      <c r="K1223" s="3"/>
      <c r="L1223" s="3"/>
      <c r="M1223" s="3"/>
      <c r="N1223" s="3"/>
      <c r="O1223" s="3"/>
      <c r="P1223" s="3"/>
      <c r="Q1223" s="3"/>
      <c r="R1223" s="3"/>
    </row>
    <row r="1224" spans="1:18" x14ac:dyDescent="0.3">
      <c r="A1224" s="3"/>
      <c r="B1224" s="3"/>
      <c r="C1224" s="3"/>
      <c r="D1224" s="3"/>
      <c r="E1224" s="3"/>
      <c r="F1224" s="3"/>
      <c r="G1224" s="3"/>
      <c r="H1224" s="3"/>
      <c r="I1224" s="3"/>
      <c r="J1224" s="3"/>
      <c r="K1224" s="3"/>
      <c r="L1224" s="3"/>
      <c r="M1224" s="3"/>
      <c r="N1224" s="3"/>
      <c r="O1224" s="3"/>
      <c r="P1224" s="3"/>
      <c r="Q1224" s="3"/>
      <c r="R1224" s="3"/>
    </row>
    <row r="1225" spans="1:18" x14ac:dyDescent="0.3">
      <c r="A1225" s="3"/>
      <c r="B1225" s="3"/>
      <c r="C1225" s="3"/>
      <c r="D1225" s="3"/>
      <c r="E1225" s="3"/>
      <c r="F1225" s="3"/>
      <c r="G1225" s="3"/>
      <c r="H1225" s="3"/>
      <c r="I1225" s="3"/>
      <c r="J1225" s="3"/>
      <c r="K1225" s="3"/>
      <c r="L1225" s="3"/>
      <c r="M1225" s="3"/>
      <c r="N1225" s="3"/>
      <c r="O1225" s="3"/>
      <c r="P1225" s="3"/>
      <c r="Q1225" s="3"/>
      <c r="R1225" s="3"/>
    </row>
    <row r="1226" spans="1:18" x14ac:dyDescent="0.3">
      <c r="A1226" s="3"/>
      <c r="B1226" s="3"/>
      <c r="C1226" s="3"/>
      <c r="D1226" s="3"/>
      <c r="E1226" s="3"/>
      <c r="F1226" s="3"/>
      <c r="G1226" s="3"/>
      <c r="H1226" s="3"/>
      <c r="I1226" s="3"/>
      <c r="J1226" s="3"/>
      <c r="K1226" s="3"/>
      <c r="L1226" s="3"/>
      <c r="M1226" s="3"/>
      <c r="N1226" s="3"/>
      <c r="O1226" s="3"/>
      <c r="P1226" s="3"/>
      <c r="Q1226" s="3"/>
      <c r="R1226" s="3"/>
    </row>
    <row r="1227" spans="1:18" x14ac:dyDescent="0.3">
      <c r="A1227" s="3"/>
      <c r="B1227" s="3"/>
      <c r="C1227" s="3"/>
      <c r="D1227" s="3"/>
      <c r="E1227" s="3"/>
      <c r="F1227" s="3"/>
      <c r="G1227" s="3"/>
      <c r="H1227" s="3"/>
      <c r="I1227" s="3"/>
      <c r="J1227" s="3"/>
      <c r="K1227" s="3"/>
      <c r="L1227" s="3"/>
      <c r="M1227" s="3"/>
      <c r="N1227" s="3"/>
      <c r="O1227" s="3"/>
      <c r="P1227" s="3"/>
      <c r="Q1227" s="3"/>
      <c r="R1227" s="3"/>
    </row>
    <row r="1228" spans="1:18" x14ac:dyDescent="0.3">
      <c r="A1228" s="3"/>
      <c r="B1228" s="3"/>
      <c r="C1228" s="3"/>
      <c r="D1228" s="3"/>
      <c r="E1228" s="3"/>
      <c r="F1228" s="3"/>
      <c r="G1228" s="3"/>
      <c r="H1228" s="3"/>
      <c r="I1228" s="3"/>
      <c r="J1228" s="3"/>
      <c r="K1228" s="3"/>
      <c r="L1228" s="3"/>
      <c r="M1228" s="3"/>
      <c r="N1228" s="3"/>
      <c r="O1228" s="3"/>
      <c r="P1228" s="3"/>
      <c r="Q1228" s="3"/>
      <c r="R1228" s="3"/>
    </row>
    <row r="1229" spans="1:18" x14ac:dyDescent="0.3">
      <c r="A1229" s="3"/>
      <c r="B1229" s="3"/>
      <c r="C1229" s="3"/>
      <c r="D1229" s="3"/>
      <c r="E1229" s="3"/>
      <c r="F1229" s="3"/>
      <c r="G1229" s="3"/>
      <c r="H1229" s="3"/>
      <c r="I1229" s="3"/>
      <c r="J1229" s="3"/>
      <c r="K1229" s="3"/>
      <c r="L1229" s="3"/>
      <c r="M1229" s="3"/>
      <c r="N1229" s="3"/>
      <c r="O1229" s="3"/>
      <c r="P1229" s="3"/>
      <c r="Q1229" s="3"/>
      <c r="R1229" s="3"/>
    </row>
    <row r="1230" spans="1:18" x14ac:dyDescent="0.3">
      <c r="A1230" s="3"/>
      <c r="B1230" s="3"/>
      <c r="C1230" s="3"/>
      <c r="D1230" s="3"/>
      <c r="E1230" s="3"/>
      <c r="F1230" s="3"/>
      <c r="G1230" s="3"/>
      <c r="H1230" s="3"/>
      <c r="I1230" s="3"/>
      <c r="J1230" s="3"/>
      <c r="K1230" s="3"/>
      <c r="L1230" s="3"/>
      <c r="M1230" s="3"/>
      <c r="N1230" s="3"/>
      <c r="O1230" s="3"/>
      <c r="P1230" s="3"/>
      <c r="Q1230" s="3"/>
      <c r="R1230" s="3"/>
    </row>
    <row r="1231" spans="1:18" x14ac:dyDescent="0.3">
      <c r="A1231" s="3"/>
      <c r="B1231" s="3"/>
      <c r="C1231" s="3"/>
      <c r="D1231" s="3"/>
      <c r="E1231" s="3"/>
      <c r="F1231" s="3"/>
      <c r="G1231" s="3"/>
      <c r="H1231" s="3"/>
      <c r="I1231" s="3"/>
      <c r="J1231" s="3"/>
      <c r="K1231" s="3"/>
      <c r="L1231" s="3"/>
      <c r="M1231" s="3"/>
      <c r="N1231" s="3"/>
      <c r="O1231" s="3"/>
      <c r="P1231" s="3"/>
      <c r="Q1231" s="3"/>
      <c r="R1231" s="3"/>
    </row>
    <row r="1232" spans="1:18" x14ac:dyDescent="0.3">
      <c r="A1232" s="3"/>
      <c r="B1232" s="3"/>
      <c r="C1232" s="3"/>
      <c r="D1232" s="3"/>
      <c r="E1232" s="3"/>
      <c r="F1232" s="3"/>
      <c r="G1232" s="3"/>
      <c r="H1232" s="3"/>
      <c r="I1232" s="3"/>
      <c r="J1232" s="3"/>
      <c r="K1232" s="3"/>
      <c r="L1232" s="3"/>
      <c r="M1232" s="3"/>
      <c r="N1232" s="3"/>
      <c r="O1232" s="3"/>
      <c r="P1232" s="3"/>
      <c r="Q1232" s="3"/>
      <c r="R1232" s="3"/>
    </row>
    <row r="1233" spans="1:18" x14ac:dyDescent="0.3">
      <c r="A1233" s="3"/>
      <c r="B1233" s="3"/>
      <c r="C1233" s="3"/>
      <c r="D1233" s="3"/>
      <c r="E1233" s="3"/>
      <c r="F1233" s="3"/>
      <c r="G1233" s="3"/>
      <c r="H1233" s="3"/>
      <c r="I1233" s="3"/>
      <c r="J1233" s="3"/>
      <c r="K1233" s="3"/>
      <c r="L1233" s="3"/>
      <c r="M1233" s="3"/>
      <c r="N1233" s="3"/>
      <c r="O1233" s="3"/>
      <c r="P1233" s="3"/>
      <c r="Q1233" s="3"/>
      <c r="R1233" s="3"/>
    </row>
    <row r="1234" spans="1:18" x14ac:dyDescent="0.3">
      <c r="A1234" s="3"/>
      <c r="B1234" s="3"/>
      <c r="C1234" s="3"/>
      <c r="D1234" s="3"/>
      <c r="E1234" s="3"/>
      <c r="F1234" s="3"/>
      <c r="G1234" s="3"/>
      <c r="H1234" s="3"/>
      <c r="I1234" s="3"/>
      <c r="J1234" s="3"/>
      <c r="K1234" s="3"/>
      <c r="L1234" s="3"/>
      <c r="M1234" s="3"/>
      <c r="N1234" s="3"/>
      <c r="O1234" s="3"/>
      <c r="P1234" s="3"/>
      <c r="Q1234" s="3"/>
      <c r="R1234" s="3"/>
    </row>
    <row r="1235" spans="1:18" x14ac:dyDescent="0.3">
      <c r="A1235" s="3"/>
      <c r="B1235" s="3"/>
      <c r="C1235" s="3"/>
      <c r="D1235" s="3"/>
      <c r="E1235" s="3"/>
      <c r="F1235" s="3"/>
      <c r="G1235" s="3"/>
      <c r="H1235" s="3"/>
      <c r="I1235" s="3"/>
      <c r="J1235" s="3"/>
      <c r="K1235" s="3"/>
      <c r="L1235" s="3"/>
      <c r="M1235" s="3"/>
      <c r="N1235" s="3"/>
      <c r="O1235" s="3"/>
      <c r="P1235" s="3"/>
      <c r="Q1235" s="3"/>
      <c r="R1235" s="3"/>
    </row>
    <row r="1236" spans="1:18" x14ac:dyDescent="0.3">
      <c r="A1236" s="3"/>
      <c r="B1236" s="3"/>
      <c r="C1236" s="3"/>
      <c r="D1236" s="3"/>
      <c r="E1236" s="3"/>
      <c r="F1236" s="3"/>
      <c r="G1236" s="3"/>
      <c r="H1236" s="3"/>
      <c r="I1236" s="3"/>
      <c r="J1236" s="3"/>
      <c r="K1236" s="3"/>
      <c r="L1236" s="3"/>
      <c r="M1236" s="3"/>
      <c r="N1236" s="3"/>
      <c r="O1236" s="3"/>
      <c r="P1236" s="3"/>
      <c r="Q1236" s="3"/>
      <c r="R1236" s="3"/>
    </row>
    <row r="1237" spans="1:18" x14ac:dyDescent="0.3">
      <c r="A1237" s="3"/>
      <c r="B1237" s="3"/>
      <c r="C1237" s="3"/>
      <c r="D1237" s="3"/>
      <c r="E1237" s="3"/>
      <c r="F1237" s="3"/>
      <c r="G1237" s="3"/>
      <c r="H1237" s="3"/>
      <c r="I1237" s="3"/>
      <c r="J1237" s="3"/>
      <c r="K1237" s="3"/>
      <c r="L1237" s="3"/>
      <c r="M1237" s="3"/>
      <c r="N1237" s="3"/>
      <c r="O1237" s="3"/>
      <c r="P1237" s="3"/>
      <c r="Q1237" s="3"/>
      <c r="R1237" s="3"/>
    </row>
    <row r="1238" spans="1:18" x14ac:dyDescent="0.3">
      <c r="A1238" s="3"/>
      <c r="B1238" s="3"/>
      <c r="C1238" s="3"/>
      <c r="D1238" s="3"/>
      <c r="E1238" s="3"/>
      <c r="F1238" s="3"/>
      <c r="G1238" s="3"/>
      <c r="H1238" s="3"/>
      <c r="I1238" s="3"/>
      <c r="J1238" s="3"/>
      <c r="K1238" s="3"/>
      <c r="L1238" s="3"/>
      <c r="M1238" s="3"/>
      <c r="N1238" s="3"/>
      <c r="O1238" s="3"/>
      <c r="P1238" s="3"/>
      <c r="Q1238" s="3"/>
      <c r="R1238" s="3"/>
    </row>
    <row r="1239" spans="1:18" x14ac:dyDescent="0.3">
      <c r="A1239" s="3"/>
      <c r="B1239" s="3"/>
      <c r="C1239" s="3"/>
      <c r="D1239" s="3"/>
      <c r="E1239" s="3"/>
      <c r="F1239" s="3"/>
      <c r="G1239" s="3"/>
      <c r="H1239" s="3"/>
      <c r="I1239" s="3"/>
      <c r="J1239" s="3"/>
      <c r="K1239" s="3"/>
      <c r="L1239" s="3"/>
      <c r="M1239" s="3"/>
      <c r="N1239" s="3"/>
      <c r="O1239" s="3"/>
      <c r="P1239" s="3"/>
      <c r="Q1239" s="3"/>
      <c r="R1239" s="3"/>
    </row>
    <row r="1240" spans="1:18" x14ac:dyDescent="0.3">
      <c r="A1240" s="3"/>
      <c r="B1240" s="3"/>
      <c r="C1240" s="3"/>
      <c r="D1240" s="3"/>
      <c r="E1240" s="3"/>
      <c r="F1240" s="3"/>
      <c r="G1240" s="3"/>
      <c r="H1240" s="3"/>
      <c r="I1240" s="3"/>
      <c r="J1240" s="3"/>
      <c r="K1240" s="3"/>
      <c r="L1240" s="3"/>
      <c r="M1240" s="3"/>
      <c r="N1240" s="3"/>
      <c r="O1240" s="3"/>
      <c r="P1240" s="3"/>
      <c r="Q1240" s="3"/>
      <c r="R1240" s="3"/>
    </row>
    <row r="1241" spans="1:18" x14ac:dyDescent="0.3">
      <c r="A1241" s="3"/>
      <c r="B1241" s="3"/>
      <c r="C1241" s="3"/>
      <c r="D1241" s="3"/>
      <c r="E1241" s="3"/>
      <c r="F1241" s="3"/>
      <c r="G1241" s="3"/>
      <c r="H1241" s="3"/>
      <c r="I1241" s="3"/>
      <c r="J1241" s="3"/>
      <c r="K1241" s="3"/>
      <c r="L1241" s="3"/>
      <c r="M1241" s="3"/>
      <c r="N1241" s="3"/>
      <c r="O1241" s="3"/>
      <c r="P1241" s="3"/>
      <c r="Q1241" s="3"/>
      <c r="R1241" s="3"/>
    </row>
    <row r="1242" spans="1:18" x14ac:dyDescent="0.3">
      <c r="A1242" s="3"/>
      <c r="B1242" s="3"/>
      <c r="C1242" s="3"/>
      <c r="D1242" s="3"/>
      <c r="E1242" s="3"/>
      <c r="F1242" s="3"/>
      <c r="G1242" s="3"/>
      <c r="H1242" s="3"/>
      <c r="I1242" s="3"/>
      <c r="J1242" s="3"/>
      <c r="K1242" s="3"/>
      <c r="L1242" s="3"/>
      <c r="M1242" s="3"/>
      <c r="N1242" s="3"/>
      <c r="O1242" s="3"/>
      <c r="P1242" s="3"/>
      <c r="Q1242" s="3"/>
      <c r="R1242" s="3"/>
    </row>
    <row r="1243" spans="1:18" x14ac:dyDescent="0.3">
      <c r="A1243" s="3"/>
      <c r="B1243" s="3"/>
      <c r="C1243" s="3"/>
      <c r="D1243" s="3"/>
      <c r="E1243" s="3"/>
      <c r="F1243" s="3"/>
      <c r="G1243" s="3"/>
      <c r="H1243" s="3"/>
      <c r="I1243" s="3"/>
      <c r="J1243" s="3"/>
      <c r="K1243" s="3"/>
      <c r="L1243" s="3"/>
      <c r="M1243" s="3"/>
      <c r="N1243" s="3"/>
      <c r="O1243" s="3"/>
      <c r="P1243" s="3"/>
      <c r="Q1243" s="3"/>
      <c r="R1243" s="3"/>
    </row>
    <row r="1244" spans="1:18" x14ac:dyDescent="0.3">
      <c r="A1244" s="3"/>
      <c r="B1244" s="3"/>
      <c r="C1244" s="3"/>
      <c r="D1244" s="3"/>
      <c r="E1244" s="3"/>
      <c r="F1244" s="3"/>
      <c r="G1244" s="3"/>
      <c r="H1244" s="3"/>
      <c r="I1244" s="3"/>
      <c r="J1244" s="3"/>
      <c r="K1244" s="3"/>
      <c r="L1244" s="3"/>
      <c r="M1244" s="3"/>
      <c r="N1244" s="3"/>
      <c r="O1244" s="3"/>
      <c r="P1244" s="3"/>
      <c r="Q1244" s="3"/>
      <c r="R1244" s="3"/>
    </row>
    <row r="1245" spans="1:18" x14ac:dyDescent="0.3">
      <c r="A1245" s="3"/>
      <c r="B1245" s="3"/>
      <c r="C1245" s="3"/>
      <c r="D1245" s="3"/>
      <c r="E1245" s="3"/>
      <c r="F1245" s="3"/>
      <c r="G1245" s="3"/>
      <c r="H1245" s="3"/>
      <c r="I1245" s="3"/>
      <c r="J1245" s="3"/>
      <c r="K1245" s="3"/>
      <c r="L1245" s="3"/>
      <c r="M1245" s="3"/>
      <c r="N1245" s="3"/>
      <c r="O1245" s="3"/>
      <c r="P1245" s="3"/>
      <c r="Q1245" s="3"/>
      <c r="R1245" s="3"/>
    </row>
    <row r="1246" spans="1:18" x14ac:dyDescent="0.3">
      <c r="A1246" s="3"/>
      <c r="B1246" s="3"/>
      <c r="C1246" s="3"/>
      <c r="D1246" s="3"/>
      <c r="E1246" s="3"/>
      <c r="F1246" s="3"/>
      <c r="G1246" s="3"/>
      <c r="H1246" s="3"/>
      <c r="I1246" s="3"/>
      <c r="J1246" s="3"/>
      <c r="K1246" s="3"/>
      <c r="L1246" s="3"/>
      <c r="M1246" s="3"/>
      <c r="N1246" s="3"/>
      <c r="O1246" s="3"/>
      <c r="P1246" s="3"/>
      <c r="Q1246" s="3"/>
      <c r="R1246" s="3"/>
    </row>
    <row r="1247" spans="1:18" x14ac:dyDescent="0.3">
      <c r="A1247" s="3"/>
      <c r="B1247" s="3"/>
      <c r="C1247" s="3"/>
      <c r="D1247" s="3"/>
      <c r="E1247" s="3"/>
      <c r="F1247" s="3"/>
      <c r="G1247" s="3"/>
      <c r="H1247" s="3"/>
      <c r="I1247" s="3"/>
      <c r="J1247" s="3"/>
      <c r="K1247" s="3"/>
      <c r="L1247" s="3"/>
      <c r="M1247" s="3"/>
      <c r="N1247" s="3"/>
      <c r="O1247" s="3"/>
      <c r="P1247" s="3"/>
      <c r="Q1247" s="3"/>
      <c r="R1247" s="3"/>
    </row>
    <row r="1248" spans="1:18" x14ac:dyDescent="0.3">
      <c r="A1248" s="3"/>
      <c r="B1248" s="3"/>
      <c r="C1248" s="3"/>
      <c r="D1248" s="3"/>
      <c r="E1248" s="3"/>
      <c r="F1248" s="3"/>
      <c r="G1248" s="3"/>
      <c r="H1248" s="3"/>
      <c r="I1248" s="3"/>
      <c r="J1248" s="3"/>
      <c r="K1248" s="3"/>
      <c r="L1248" s="3"/>
      <c r="M1248" s="3"/>
      <c r="N1248" s="3"/>
      <c r="O1248" s="3"/>
      <c r="P1248" s="3"/>
      <c r="Q1248" s="3"/>
      <c r="R1248" s="3"/>
    </row>
    <row r="1249" spans="1:18" x14ac:dyDescent="0.3">
      <c r="A1249" s="3"/>
      <c r="B1249" s="3"/>
      <c r="C1249" s="3"/>
      <c r="D1249" s="3"/>
      <c r="E1249" s="3"/>
      <c r="F1249" s="3"/>
      <c r="G1249" s="3"/>
      <c r="H1249" s="3"/>
      <c r="I1249" s="3"/>
      <c r="J1249" s="3"/>
      <c r="K1249" s="3"/>
      <c r="L1249" s="3"/>
      <c r="M1249" s="3"/>
      <c r="N1249" s="3"/>
      <c r="O1249" s="3"/>
      <c r="P1249" s="3"/>
      <c r="Q1249" s="3"/>
      <c r="R1249" s="3"/>
    </row>
    <row r="1250" spans="1:18" x14ac:dyDescent="0.3">
      <c r="A1250" s="3"/>
      <c r="B1250" s="3"/>
      <c r="C1250" s="3"/>
      <c r="D1250" s="3"/>
      <c r="E1250" s="3"/>
      <c r="F1250" s="3"/>
      <c r="G1250" s="3"/>
      <c r="H1250" s="3"/>
      <c r="I1250" s="3"/>
      <c r="J1250" s="3"/>
      <c r="K1250" s="3"/>
      <c r="L1250" s="3"/>
      <c r="M1250" s="3"/>
      <c r="N1250" s="3"/>
      <c r="O1250" s="3"/>
      <c r="P1250" s="3"/>
      <c r="Q1250" s="3"/>
      <c r="R1250" s="3"/>
    </row>
    <row r="1251" spans="1:18" x14ac:dyDescent="0.3">
      <c r="A1251" s="3"/>
      <c r="B1251" s="3"/>
      <c r="C1251" s="3"/>
      <c r="D1251" s="3"/>
      <c r="E1251" s="3"/>
      <c r="F1251" s="3"/>
      <c r="G1251" s="3"/>
      <c r="H1251" s="3"/>
      <c r="I1251" s="3"/>
      <c r="J1251" s="3"/>
      <c r="K1251" s="3"/>
      <c r="L1251" s="3"/>
      <c r="M1251" s="3"/>
      <c r="N1251" s="3"/>
      <c r="O1251" s="3"/>
      <c r="P1251" s="3"/>
      <c r="Q1251" s="3"/>
      <c r="R1251" s="3"/>
    </row>
    <row r="1252" spans="1:18" x14ac:dyDescent="0.3">
      <c r="A1252" s="3"/>
      <c r="B1252" s="3"/>
      <c r="C1252" s="3"/>
      <c r="D1252" s="3"/>
      <c r="E1252" s="3"/>
      <c r="F1252" s="3"/>
      <c r="G1252" s="3"/>
      <c r="H1252" s="3"/>
      <c r="I1252" s="3"/>
      <c r="K1252" s="3"/>
      <c r="L1252" s="3"/>
      <c r="M1252" s="3"/>
      <c r="N1252" s="3"/>
      <c r="O1252" s="3"/>
      <c r="P1252" s="3"/>
    </row>
    <row r="1253" spans="1:18" x14ac:dyDescent="0.3">
      <c r="A1253" s="3"/>
      <c r="B1253" s="3"/>
      <c r="C1253" s="3"/>
      <c r="D1253" s="3"/>
      <c r="E1253" s="3"/>
      <c r="F1253" s="3"/>
      <c r="G1253" s="3"/>
      <c r="H1253" s="3"/>
      <c r="I1253" s="3"/>
      <c r="K1253" s="3"/>
      <c r="L1253" s="3"/>
      <c r="M1253" s="3"/>
      <c r="N1253" s="3"/>
      <c r="O1253" s="3"/>
    </row>
    <row r="1254" spans="1:18" x14ac:dyDescent="0.3">
      <c r="A1254" s="3"/>
      <c r="B1254" s="3"/>
      <c r="C1254" s="3"/>
      <c r="D1254" s="3"/>
      <c r="E1254" s="3"/>
      <c r="F1254" s="3"/>
      <c r="G1254" s="3"/>
      <c r="H1254" s="3"/>
      <c r="I1254" s="3"/>
      <c r="K1254" s="3"/>
      <c r="L1254" s="3"/>
      <c r="M1254" s="3"/>
      <c r="N1254" s="3"/>
      <c r="O1254" s="3"/>
    </row>
  </sheetData>
  <mergeCells count="33">
    <mergeCell ref="F40:I40"/>
    <mergeCell ref="A40:D40"/>
    <mergeCell ref="A3:D3"/>
    <mergeCell ref="A19:D19"/>
    <mergeCell ref="F19:I19"/>
    <mergeCell ref="F3:I3"/>
    <mergeCell ref="L10:N10"/>
    <mergeCell ref="L11:N11"/>
    <mergeCell ref="L12:N12"/>
    <mergeCell ref="A1:D2"/>
    <mergeCell ref="F1:I2"/>
    <mergeCell ref="K1:N2"/>
    <mergeCell ref="L4:N4"/>
    <mergeCell ref="L3:N3"/>
    <mergeCell ref="L7:N7"/>
    <mergeCell ref="L8:N8"/>
    <mergeCell ref="L9:N9"/>
    <mergeCell ref="L23:N23"/>
    <mergeCell ref="L25:N25"/>
    <mergeCell ref="L24:N24"/>
    <mergeCell ref="P1:Q1"/>
    <mergeCell ref="L18:N18"/>
    <mergeCell ref="L19:N19"/>
    <mergeCell ref="L20:N20"/>
    <mergeCell ref="L21:N21"/>
    <mergeCell ref="L22:N22"/>
    <mergeCell ref="L13:N13"/>
    <mergeCell ref="L14:N14"/>
    <mergeCell ref="L15:N15"/>
    <mergeCell ref="L16:N16"/>
    <mergeCell ref="L17:N17"/>
    <mergeCell ref="L5:N5"/>
    <mergeCell ref="L6:N6"/>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7" tint="0.59999389629810485"/>
  </sheetPr>
  <dimension ref="A1:N33"/>
  <sheetViews>
    <sheetView topLeftCell="C1" workbookViewId="0">
      <selection activeCell="N9" sqref="N9"/>
    </sheetView>
  </sheetViews>
  <sheetFormatPr defaultRowHeight="14.4" x14ac:dyDescent="0.3"/>
  <cols>
    <col min="1" max="1" width="8.88671875" customWidth="1"/>
    <col min="2" max="2" width="31.109375" bestFit="1" customWidth="1"/>
    <col min="3" max="3" width="12.21875" customWidth="1"/>
    <col min="4" max="4" width="13.88671875" customWidth="1"/>
    <col min="5" max="5" width="2.44140625" style="18" customWidth="1"/>
    <col min="6" max="7" width="24.88671875" customWidth="1"/>
    <col min="9" max="9" width="18.5546875" customWidth="1"/>
    <col min="11" max="11" width="18.44140625" bestFit="1" customWidth="1"/>
    <col min="12" max="12" width="25.109375" customWidth="1"/>
    <col min="13" max="13" width="16.77734375" customWidth="1"/>
  </cols>
  <sheetData>
    <row r="1" spans="1:14" x14ac:dyDescent="0.3">
      <c r="A1" s="261" t="s">
        <v>952</v>
      </c>
      <c r="B1" s="260"/>
      <c r="C1" s="260"/>
      <c r="D1" s="260"/>
      <c r="F1" s="261" t="s">
        <v>953</v>
      </c>
      <c r="G1" s="261"/>
      <c r="H1" s="261"/>
      <c r="I1" s="261"/>
    </row>
    <row r="2" spans="1:14" x14ac:dyDescent="0.3">
      <c r="A2" s="260"/>
      <c r="B2" s="260"/>
      <c r="C2" s="260"/>
      <c r="D2" s="260"/>
      <c r="F2" s="261"/>
      <c r="G2" s="261"/>
      <c r="H2" s="261"/>
      <c r="I2" s="261"/>
    </row>
    <row r="3" spans="1:14" x14ac:dyDescent="0.3">
      <c r="A3" s="266" t="s">
        <v>405</v>
      </c>
      <c r="B3" s="266"/>
      <c r="C3" s="266"/>
      <c r="D3" s="266"/>
      <c r="F3" s="263" t="s">
        <v>406</v>
      </c>
      <c r="G3" s="263"/>
      <c r="H3" s="263"/>
      <c r="I3" s="263"/>
    </row>
    <row r="4" spans="1:14" x14ac:dyDescent="0.3">
      <c r="A4" s="16">
        <f>'Process Model'!C30</f>
        <v>4653291.2417708319</v>
      </c>
      <c r="B4" t="s">
        <v>380</v>
      </c>
      <c r="C4" t="s">
        <v>8</v>
      </c>
      <c r="D4" s="62">
        <v>120</v>
      </c>
      <c r="E4" s="250"/>
      <c r="F4">
        <v>0</v>
      </c>
      <c r="G4" t="s">
        <v>964</v>
      </c>
      <c r="H4" t="s">
        <v>115</v>
      </c>
    </row>
    <row r="5" spans="1:14" x14ac:dyDescent="0.3">
      <c r="A5" s="16">
        <f>'Process Model'!C53</f>
        <v>0</v>
      </c>
      <c r="B5" t="s">
        <v>376</v>
      </c>
      <c r="C5" t="s">
        <v>8</v>
      </c>
      <c r="D5" s="53">
        <v>130</v>
      </c>
      <c r="K5" s="265" t="s">
        <v>965</v>
      </c>
      <c r="L5" s="265"/>
      <c r="M5" s="265"/>
      <c r="N5" s="265"/>
    </row>
    <row r="6" spans="1:14" x14ac:dyDescent="0.3">
      <c r="A6" s="16">
        <f>'Process Model'!C54</f>
        <v>0</v>
      </c>
      <c r="B6" t="s">
        <v>377</v>
      </c>
      <c r="C6" t="s">
        <v>8</v>
      </c>
      <c r="D6" s="53">
        <v>130</v>
      </c>
      <c r="K6" s="6">
        <f>15.28</f>
        <v>15.28</v>
      </c>
      <c r="L6" t="s">
        <v>558</v>
      </c>
    </row>
    <row r="7" spans="1:14" x14ac:dyDescent="0.3">
      <c r="A7" s="16">
        <f>'Process Model'!C55</f>
        <v>0</v>
      </c>
      <c r="B7" t="s">
        <v>378</v>
      </c>
      <c r="C7" t="s">
        <v>8</v>
      </c>
      <c r="D7" s="53">
        <v>130</v>
      </c>
      <c r="E7" s="251"/>
      <c r="K7" s="16">
        <f>K6*A10</f>
        <v>167650.74908626525</v>
      </c>
      <c r="L7" t="s">
        <v>559</v>
      </c>
      <c r="M7">
        <f>K7/(K7+K10)</f>
        <v>0.67755440893319574</v>
      </c>
    </row>
    <row r="8" spans="1:14" x14ac:dyDescent="0.3">
      <c r="A8" s="16">
        <f>'Process Model'!C67</f>
        <v>0</v>
      </c>
      <c r="B8" t="s">
        <v>395</v>
      </c>
      <c r="C8" t="s">
        <v>8</v>
      </c>
      <c r="D8" s="53">
        <v>140</v>
      </c>
      <c r="M8" t="s">
        <v>642</v>
      </c>
      <c r="N8" t="s">
        <v>643</v>
      </c>
    </row>
    <row r="9" spans="1:14" x14ac:dyDescent="0.3">
      <c r="A9" s="16">
        <f>'Process Model'!C80</f>
        <v>0</v>
      </c>
      <c r="B9" t="s">
        <v>396</v>
      </c>
      <c r="C9" t="s">
        <v>8</v>
      </c>
      <c r="D9" s="53">
        <v>160</v>
      </c>
      <c r="K9">
        <v>16.399999999999999</v>
      </c>
      <c r="L9" t="s">
        <v>560</v>
      </c>
      <c r="M9">
        <f>(K10)/(K7+K10)</f>
        <v>0.32244559106680426</v>
      </c>
      <c r="N9">
        <f>A11/(A10+A11)</f>
        <v>0.30718954248366009</v>
      </c>
    </row>
    <row r="10" spans="1:14" x14ac:dyDescent="0.3">
      <c r="A10" s="16">
        <f>'Process Model'!C132</f>
        <v>10971.907662713695</v>
      </c>
      <c r="B10" t="s">
        <v>382</v>
      </c>
      <c r="C10" t="s">
        <v>8</v>
      </c>
      <c r="D10" s="53">
        <v>180</v>
      </c>
      <c r="K10" s="6">
        <f>Stover_Biomass_From_Agr*K9</f>
        <v>79784.359999999986</v>
      </c>
      <c r="L10" t="s">
        <v>561</v>
      </c>
    </row>
    <row r="11" spans="1:14" x14ac:dyDescent="0.3">
      <c r="A11" s="16">
        <f>'Process Model'!C133</f>
        <v>4864.9024542221096</v>
      </c>
      <c r="B11" t="s">
        <v>563</v>
      </c>
      <c r="C11" t="s">
        <v>8</v>
      </c>
      <c r="D11" s="62">
        <v>180</v>
      </c>
    </row>
    <row r="12" spans="1:14" x14ac:dyDescent="0.3">
      <c r="A12" s="16">
        <f>'Process Model'!C124</f>
        <v>24046.245589302303</v>
      </c>
      <c r="B12" t="s">
        <v>520</v>
      </c>
      <c r="C12" t="s">
        <v>8</v>
      </c>
      <c r="D12" s="62">
        <v>180</v>
      </c>
    </row>
    <row r="13" spans="1:14" x14ac:dyDescent="0.3">
      <c r="A13" s="6"/>
      <c r="B13" s="16"/>
      <c r="D13" s="63" t="s">
        <v>404</v>
      </c>
    </row>
    <row r="14" spans="1:14" x14ac:dyDescent="0.3">
      <c r="A14" s="16">
        <f>SUM(A4:A12)</f>
        <v>4693174.2974770702</v>
      </c>
      <c r="B14" t="s">
        <v>388</v>
      </c>
      <c r="C14" t="s">
        <v>8</v>
      </c>
      <c r="D14" s="8">
        <f>Total_Mass_In_Ag-Total_Mass_Out_Ag-Stover_Delivered_To_BP</f>
        <v>-321.39643980897927</v>
      </c>
      <c r="F14">
        <f>SUM(F4:F13)</f>
        <v>0</v>
      </c>
      <c r="G14" t="s">
        <v>853</v>
      </c>
      <c r="H14" t="s">
        <v>115</v>
      </c>
    </row>
    <row r="15" spans="1:14" x14ac:dyDescent="0.3">
      <c r="A15" s="264" t="s">
        <v>367</v>
      </c>
      <c r="B15" s="264"/>
      <c r="C15" s="264"/>
      <c r="D15" s="264"/>
      <c r="F15" s="264" t="s">
        <v>366</v>
      </c>
      <c r="G15" s="264"/>
      <c r="H15" s="264"/>
      <c r="I15" s="264"/>
    </row>
    <row r="16" spans="1:14" x14ac:dyDescent="0.3">
      <c r="A16" s="16">
        <f>'Process Model'!H15</f>
        <v>145.94700000000012</v>
      </c>
      <c r="B16" t="s">
        <v>383</v>
      </c>
      <c r="C16" t="s">
        <v>8</v>
      </c>
      <c r="D16" s="53">
        <v>200</v>
      </c>
      <c r="F16">
        <v>0</v>
      </c>
      <c r="G16" t="s">
        <v>964</v>
      </c>
      <c r="H16" t="s">
        <v>115</v>
      </c>
    </row>
    <row r="17" spans="1:9" x14ac:dyDescent="0.3">
      <c r="A17" s="16">
        <f>Waste_Water_DAH</f>
        <v>19206.673494842784</v>
      </c>
      <c r="B17" t="s">
        <v>384</v>
      </c>
      <c r="C17" t="s">
        <v>8</v>
      </c>
      <c r="D17" s="53">
        <v>300</v>
      </c>
    </row>
    <row r="18" spans="1:9" x14ac:dyDescent="0.3">
      <c r="A18" s="16">
        <f>'Process Model'!H142</f>
        <v>236.33034464244076</v>
      </c>
      <c r="B18" t="s">
        <v>392</v>
      </c>
      <c r="C18" t="s">
        <v>8</v>
      </c>
      <c r="D18" s="53">
        <v>500</v>
      </c>
    </row>
    <row r="19" spans="1:9" x14ac:dyDescent="0.3">
      <c r="D19" s="64" t="s">
        <v>404</v>
      </c>
    </row>
    <row r="20" spans="1:9" x14ac:dyDescent="0.3">
      <c r="A20" s="16">
        <f>SUM(A16:A18)</f>
        <v>19588.950839485224</v>
      </c>
      <c r="B20" t="s">
        <v>393</v>
      </c>
      <c r="C20" t="s">
        <v>8</v>
      </c>
      <c r="D20" s="8">
        <f>Inputs!A39+Size_Reduced_Biomass-Outputs!A20-kg_Corn_Beer</f>
        <v>43.081165263785806</v>
      </c>
      <c r="F20">
        <f>SUM(F16:F19)</f>
        <v>0</v>
      </c>
      <c r="H20" t="s">
        <v>115</v>
      </c>
    </row>
    <row r="21" spans="1:9" x14ac:dyDescent="0.3">
      <c r="A21" s="262" t="s">
        <v>356</v>
      </c>
      <c r="B21" s="262"/>
      <c r="C21" s="262"/>
      <c r="D21" s="262"/>
      <c r="F21" s="262" t="s">
        <v>357</v>
      </c>
      <c r="G21" s="262"/>
      <c r="H21" s="262"/>
      <c r="I21" s="262"/>
    </row>
    <row r="22" spans="1:9" x14ac:dyDescent="0.3">
      <c r="A22" s="16">
        <f>H2O_Removed_Distillation_kg</f>
        <v>18366.165075999997</v>
      </c>
      <c r="B22" t="s">
        <v>368</v>
      </c>
      <c r="C22" t="s">
        <v>8</v>
      </c>
      <c r="D22" s="53">
        <v>700</v>
      </c>
      <c r="F22">
        <f>('Process Model'!M43+'Process Model'!M44)*3.6</f>
        <v>7990.5929996473724</v>
      </c>
      <c r="G22" t="s">
        <v>963</v>
      </c>
      <c r="H22" t="s">
        <v>115</v>
      </c>
    </row>
    <row r="23" spans="1:9" x14ac:dyDescent="0.3">
      <c r="A23" s="16">
        <f>CO_2_Output_Vent</f>
        <v>1135.4936061333331</v>
      </c>
      <c r="B23" t="s">
        <v>386</v>
      </c>
      <c r="C23" t="s">
        <v>8</v>
      </c>
      <c r="D23" s="53">
        <v>700</v>
      </c>
    </row>
    <row r="24" spans="1:9" x14ac:dyDescent="0.3">
      <c r="A24" s="16">
        <f>Burnable_BM_kgs</f>
        <v>2258.535980827</v>
      </c>
      <c r="B24" t="s">
        <v>551</v>
      </c>
      <c r="C24" t="s">
        <v>8</v>
      </c>
      <c r="D24" s="53">
        <v>700</v>
      </c>
    </row>
    <row r="25" spans="1:9" x14ac:dyDescent="0.3">
      <c r="A25" s="16">
        <f>Final_Anhydrous_Eth_Mass</f>
        <v>1235.208235858157</v>
      </c>
      <c r="B25" t="s">
        <v>387</v>
      </c>
      <c r="C25" t="s">
        <v>8</v>
      </c>
      <c r="D25" s="53">
        <v>700</v>
      </c>
    </row>
    <row r="26" spans="1:9" x14ac:dyDescent="0.3">
      <c r="A26" s="16"/>
      <c r="D26" s="36"/>
    </row>
    <row r="27" spans="1:9" x14ac:dyDescent="0.3">
      <c r="A27" s="16">
        <f>SUM(A22:A25)</f>
        <v>22995.402898818487</v>
      </c>
      <c r="B27" t="s">
        <v>401</v>
      </c>
      <c r="C27" t="s">
        <v>8</v>
      </c>
      <c r="D27" s="218"/>
    </row>
    <row r="28" spans="1:9" x14ac:dyDescent="0.3">
      <c r="A28" s="16"/>
    </row>
    <row r="29" spans="1:9" x14ac:dyDescent="0.3">
      <c r="A29" s="16">
        <f>Total_Mass_Out_Ag+A20+A27</f>
        <v>4735758.6512153735</v>
      </c>
      <c r="B29" t="s">
        <v>956</v>
      </c>
      <c r="C29" s="5" t="s">
        <v>8</v>
      </c>
    </row>
    <row r="30" spans="1:9" x14ac:dyDescent="0.3">
      <c r="A30" s="16"/>
      <c r="D30" s="215" t="s">
        <v>404</v>
      </c>
    </row>
    <row r="31" spans="1:9" x14ac:dyDescent="0.3">
      <c r="A31" s="119"/>
      <c r="D31" s="62">
        <f>Inputs!A42-Outputs!A29</f>
        <v>-132.3682745443657</v>
      </c>
    </row>
    <row r="32" spans="1:9" x14ac:dyDescent="0.3">
      <c r="A32" s="6"/>
    </row>
    <row r="33" spans="1:1" x14ac:dyDescent="0.3">
      <c r="A33" s="6"/>
    </row>
  </sheetData>
  <mergeCells count="9">
    <mergeCell ref="A1:D2"/>
    <mergeCell ref="F1:I2"/>
    <mergeCell ref="K5:N5"/>
    <mergeCell ref="A21:D21"/>
    <mergeCell ref="F21:I21"/>
    <mergeCell ref="A3:D3"/>
    <mergeCell ref="A15:D15"/>
    <mergeCell ref="F3:I3"/>
    <mergeCell ref="F15:I15"/>
  </mergeCells>
  <conditionalFormatting sqref="D14">
    <cfRule type="cellIs" dxfId="39" priority="6" operator="greaterThan">
      <formula>500</formula>
    </cfRule>
    <cfRule type="cellIs" dxfId="38" priority="7" operator="lessThan">
      <formula>-500</formula>
    </cfRule>
    <cfRule type="cellIs" dxfId="37" priority="8" operator="between">
      <formula>-500</formula>
      <formula>500</formula>
    </cfRule>
    <cfRule type="cellIs" dxfId="36" priority="9" operator="between">
      <formula>-50</formula>
      <formula>50</formula>
    </cfRule>
  </conditionalFormatting>
  <conditionalFormatting sqref="D20">
    <cfRule type="cellIs" dxfId="35" priority="3" operator="greaterThan">
      <formula>501</formula>
    </cfRule>
    <cfRule type="cellIs" dxfId="34" priority="4" operator="lessThan">
      <formula>50</formula>
    </cfRule>
    <cfRule type="cellIs" dxfId="33" priority="5" operator="lessThan">
      <formula>500</formula>
    </cfRule>
  </conditionalFormatting>
  <conditionalFormatting sqref="D31">
    <cfRule type="cellIs" dxfId="32" priority="1" operator="lessThan">
      <formula>-50</formula>
    </cfRule>
    <cfRule type="cellIs" dxfId="31" priority="2" operator="lessThan">
      <formula>10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tint="-0.249977111117893"/>
  </sheetPr>
  <dimension ref="A1:AW936"/>
  <sheetViews>
    <sheetView tabSelected="1" topLeftCell="A121" zoomScaleNormal="100" workbookViewId="0">
      <selection activeCell="E144" sqref="E144"/>
    </sheetView>
  </sheetViews>
  <sheetFormatPr defaultRowHeight="14.4" x14ac:dyDescent="0.3"/>
  <cols>
    <col min="1" max="1" width="4.44140625" style="1" customWidth="1"/>
    <col min="2" max="2" width="18.44140625" bestFit="1" customWidth="1"/>
    <col min="3" max="3" width="16.33203125" customWidth="1"/>
    <col min="4" max="4" width="21" customWidth="1"/>
    <col min="5" max="5" width="21.44140625" bestFit="1" customWidth="1"/>
    <col min="6" max="6" width="4.44140625" style="18" customWidth="1"/>
    <col min="7" max="7" width="22.88671875" customWidth="1"/>
    <col min="8" max="8" width="17.5546875" customWidth="1"/>
    <col min="9" max="9" width="18.5546875" customWidth="1"/>
    <col min="10" max="10" width="17.5546875" customWidth="1"/>
    <col min="11" max="11" width="4.44140625" style="18" customWidth="1"/>
    <col min="12" max="13" width="17.5546875" customWidth="1"/>
    <col min="14" max="14" width="21.77734375" bestFit="1" customWidth="1"/>
    <col min="15" max="15" width="18.88671875" style="66" customWidth="1"/>
    <col min="16" max="16" width="4.44140625" style="18" customWidth="1"/>
    <col min="17" max="17" width="22" customWidth="1"/>
    <col min="18" max="18" width="17.44140625" customWidth="1"/>
    <col min="19" max="19" width="19" bestFit="1" customWidth="1"/>
    <col min="20" max="20" width="17.44140625" customWidth="1"/>
    <col min="21" max="21" width="4.44140625" style="18" customWidth="1"/>
    <col min="24" max="24" width="10.33203125" bestFit="1" customWidth="1"/>
    <col min="26" max="26" width="4.44140625" style="1" customWidth="1"/>
    <col min="27" max="27" width="11.6640625" customWidth="1"/>
    <col min="31" max="31" width="4.44140625" style="1" customWidth="1"/>
    <col min="36" max="36" width="4.44140625" style="1" customWidth="1"/>
    <col min="41" max="41" width="4.44140625" style="1" customWidth="1"/>
    <col min="46" max="46" width="4.44140625" style="1" customWidth="1"/>
  </cols>
  <sheetData>
    <row r="1" spans="2:46" x14ac:dyDescent="0.3">
      <c r="B1" s="271" t="s">
        <v>0</v>
      </c>
      <c r="C1" s="271"/>
      <c r="D1" s="271"/>
      <c r="E1" s="271"/>
      <c r="F1" s="19"/>
      <c r="G1" s="272" t="s">
        <v>191</v>
      </c>
      <c r="H1" s="272"/>
      <c r="I1" s="272"/>
      <c r="J1" s="272"/>
      <c r="L1" s="273" t="s">
        <v>202</v>
      </c>
      <c r="M1" s="273"/>
      <c r="N1" s="273"/>
      <c r="O1" s="273"/>
      <c r="Q1" s="274" t="s">
        <v>94</v>
      </c>
      <c r="R1" s="274"/>
      <c r="S1" s="274"/>
      <c r="T1" s="274"/>
      <c r="V1" s="268"/>
      <c r="W1" s="275"/>
      <c r="X1" s="275"/>
      <c r="Y1" s="275"/>
      <c r="Z1" s="3"/>
      <c r="AA1" s="268"/>
      <c r="AB1" s="268"/>
      <c r="AC1" s="268"/>
      <c r="AD1" s="268"/>
      <c r="AE1" s="3"/>
      <c r="AF1" s="268"/>
      <c r="AG1" s="270"/>
      <c r="AH1" s="270"/>
      <c r="AI1" s="270"/>
      <c r="AJ1" s="3"/>
      <c r="AK1" s="268"/>
      <c r="AL1" s="270"/>
      <c r="AM1" s="270"/>
      <c r="AN1" s="270"/>
      <c r="AO1" s="3"/>
      <c r="AP1" s="268"/>
      <c r="AQ1" s="268"/>
      <c r="AR1" s="268"/>
      <c r="AS1" s="268"/>
      <c r="AT1" s="3"/>
    </row>
    <row r="2" spans="2:46" x14ac:dyDescent="0.3">
      <c r="B2" s="267" t="s">
        <v>44</v>
      </c>
      <c r="C2" s="267"/>
      <c r="D2" s="267"/>
      <c r="E2" s="267"/>
      <c r="G2" s="267" t="s">
        <v>1</v>
      </c>
      <c r="H2" s="267"/>
      <c r="I2" s="267"/>
      <c r="J2" s="267"/>
      <c r="L2" s="3"/>
      <c r="M2" s="268" t="s">
        <v>12</v>
      </c>
      <c r="N2" s="268"/>
      <c r="O2" s="65"/>
      <c r="Q2" s="3"/>
      <c r="R2" s="268" t="s">
        <v>12</v>
      </c>
      <c r="S2" s="268"/>
      <c r="T2" s="3"/>
      <c r="V2" s="3"/>
      <c r="W2" s="3"/>
      <c r="X2" s="3"/>
      <c r="Y2" s="3"/>
      <c r="Z2" s="3"/>
      <c r="AA2" s="3"/>
      <c r="AB2" s="3"/>
      <c r="AC2" s="3"/>
      <c r="AD2" s="3"/>
      <c r="AE2" s="3"/>
      <c r="AF2" s="3"/>
      <c r="AG2" s="3"/>
      <c r="AH2" s="3"/>
      <c r="AI2" s="3"/>
      <c r="AJ2" s="3"/>
      <c r="AK2" s="3"/>
      <c r="AL2" s="3"/>
      <c r="AM2" s="3"/>
      <c r="AN2" s="3"/>
      <c r="AO2" s="3"/>
      <c r="AP2" s="3"/>
      <c r="AQ2" s="3"/>
      <c r="AR2" s="3"/>
      <c r="AS2" s="3"/>
      <c r="AT2" s="3"/>
    </row>
    <row r="3" spans="2:46" x14ac:dyDescent="0.3">
      <c r="C3" s="269" t="s">
        <v>12</v>
      </c>
      <c r="D3" s="269"/>
      <c r="H3" s="269" t="s">
        <v>12</v>
      </c>
      <c r="I3" s="269"/>
      <c r="L3" s="37" t="s">
        <v>193</v>
      </c>
      <c r="M3" s="22">
        <f>kg_Corn_Beer</f>
        <v>22995.402898818487</v>
      </c>
      <c r="N3" s="3" t="s">
        <v>192</v>
      </c>
      <c r="O3" s="65"/>
      <c r="Q3" s="3"/>
      <c r="R3" s="40">
        <f>Final_Anhydrous_Eth_Mass*kg_eth_to_L_eth</f>
        <v>1565.5364206060292</v>
      </c>
      <c r="S3" s="41" t="s">
        <v>217</v>
      </c>
      <c r="T3" s="3"/>
      <c r="V3" s="3"/>
      <c r="W3" s="3"/>
      <c r="X3" s="3">
        <v>773000</v>
      </c>
      <c r="Y3" s="3" t="s">
        <v>897</v>
      </c>
      <c r="Z3" s="3"/>
      <c r="AA3" s="3"/>
      <c r="AB3" s="3"/>
      <c r="AC3" s="3"/>
      <c r="AD3" s="3"/>
      <c r="AE3" s="3"/>
      <c r="AF3" s="3"/>
      <c r="AG3" s="3"/>
      <c r="AH3" s="3"/>
      <c r="AI3" s="3"/>
      <c r="AJ3" s="3"/>
      <c r="AK3" s="3"/>
      <c r="AL3" s="3"/>
      <c r="AM3" s="3"/>
      <c r="AN3" s="3"/>
      <c r="AO3" s="3"/>
      <c r="AP3" s="3"/>
      <c r="AQ3" s="3"/>
      <c r="AR3" s="3"/>
      <c r="AS3" s="3"/>
      <c r="AT3" s="3"/>
    </row>
    <row r="4" spans="2:46" x14ac:dyDescent="0.3">
      <c r="B4" s="4" t="s">
        <v>19</v>
      </c>
      <c r="C4">
        <v>1</v>
      </c>
      <c r="D4" t="s">
        <v>7</v>
      </c>
      <c r="E4" t="s">
        <v>556</v>
      </c>
      <c r="G4" s="4" t="s">
        <v>95</v>
      </c>
      <c r="H4" s="3">
        <f>Stover_Delivered_To_BP</f>
        <v>4864.8999999999996</v>
      </c>
      <c r="I4" t="s">
        <v>64</v>
      </c>
      <c r="L4" s="37" t="s">
        <v>198</v>
      </c>
      <c r="M4" s="22">
        <f>MJ_Elec_Per_ha</f>
        <v>3089.3382892460318</v>
      </c>
      <c r="N4" s="3" t="s">
        <v>115</v>
      </c>
      <c r="O4" s="65"/>
      <c r="Q4" s="3"/>
      <c r="R4" s="22">
        <f>R3/'Conversions Page'!D13</f>
        <v>413.57116418195892</v>
      </c>
      <c r="S4" s="3" t="s">
        <v>218</v>
      </c>
      <c r="T4" s="3"/>
      <c r="V4" s="3"/>
      <c r="W4" s="3"/>
      <c r="X4" s="3">
        <f>X3/'Conversions Page'!D10</f>
        <v>701254637.987499</v>
      </c>
      <c r="Y4" s="3" t="s">
        <v>898</v>
      </c>
      <c r="Z4" s="3"/>
      <c r="AA4" s="3"/>
      <c r="AB4" s="3"/>
      <c r="AC4" s="3"/>
      <c r="AD4" s="3"/>
      <c r="AE4" s="3"/>
      <c r="AF4" s="3"/>
      <c r="AG4" s="3"/>
      <c r="AH4" s="3"/>
      <c r="AI4" s="3"/>
      <c r="AJ4" s="3"/>
      <c r="AK4" s="3"/>
      <c r="AL4" s="3"/>
      <c r="AM4" s="3"/>
      <c r="AN4" s="3"/>
      <c r="AO4" s="3"/>
      <c r="AP4" s="3"/>
      <c r="AQ4" s="3"/>
      <c r="AR4" s="3"/>
      <c r="AS4" s="3"/>
      <c r="AT4" s="3"/>
    </row>
    <row r="5" spans="2:46" x14ac:dyDescent="0.3">
      <c r="B5" s="4" t="s">
        <v>978</v>
      </c>
      <c r="C5">
        <f>C4*'Conversions Page'!D6</f>
        <v>2.47105</v>
      </c>
      <c r="D5" t="s">
        <v>31</v>
      </c>
      <c r="G5" s="4" t="s">
        <v>339</v>
      </c>
      <c r="H5" s="6">
        <f>MJ_Per_ha_200</f>
        <v>66.61127299492064</v>
      </c>
      <c r="I5" t="s">
        <v>115</v>
      </c>
      <c r="L5" s="37" t="s">
        <v>199</v>
      </c>
      <c r="M5" s="22">
        <f>MJ_Heat_Per_ha</f>
        <v>11960.029927006095</v>
      </c>
      <c r="N5" s="3" t="s">
        <v>115</v>
      </c>
      <c r="Q5" s="3"/>
      <c r="R5" s="6">
        <f>'Process Model'!R4/(Biomass_Input_To_BP*'Conversions Page'!D10)</f>
        <v>77.120988147743788</v>
      </c>
      <c r="S5" s="3" t="s">
        <v>214</v>
      </c>
      <c r="T5" s="3"/>
      <c r="V5" s="3"/>
      <c r="W5" s="3"/>
      <c r="X5" s="28">
        <f>X4/Stover_Biomass_From_Agr</f>
        <v>144145.74564482292</v>
      </c>
      <c r="Y5" s="3" t="s">
        <v>896</v>
      </c>
      <c r="Z5" s="3"/>
      <c r="AA5" s="3"/>
      <c r="AB5" s="3"/>
      <c r="AC5" s="3"/>
      <c r="AD5" s="3"/>
      <c r="AE5" s="3"/>
      <c r="AF5" s="3"/>
      <c r="AG5" s="3"/>
      <c r="AH5" s="3"/>
      <c r="AI5" s="3"/>
      <c r="AJ5" s="3"/>
      <c r="AK5" s="3"/>
      <c r="AL5" s="3"/>
      <c r="AM5" s="3"/>
      <c r="AN5" s="3"/>
      <c r="AO5" s="3"/>
      <c r="AP5" s="3"/>
      <c r="AQ5" s="3"/>
      <c r="AR5" s="3"/>
      <c r="AS5" s="3"/>
      <c r="AT5" s="3"/>
    </row>
    <row r="6" spans="2:46" x14ac:dyDescent="0.3">
      <c r="B6" s="4"/>
      <c r="G6" s="4" t="s">
        <v>280</v>
      </c>
      <c r="H6" s="6">
        <f>H10*Biomass_Input_To_BP</f>
        <v>683.03195999999991</v>
      </c>
      <c r="I6" t="s">
        <v>115</v>
      </c>
      <c r="L6" s="37" t="s">
        <v>1004</v>
      </c>
      <c r="M6" s="22">
        <f>Inputs!A37</f>
        <v>9.6934810000000002</v>
      </c>
      <c r="N6" s="3" t="s">
        <v>8</v>
      </c>
      <c r="O6" s="221"/>
      <c r="Q6" s="3"/>
      <c r="R6" s="277" t="s">
        <v>219</v>
      </c>
      <c r="S6" s="277"/>
      <c r="T6" s="3"/>
      <c r="V6" s="3"/>
      <c r="W6" s="3"/>
      <c r="X6" s="3"/>
      <c r="Y6" s="3"/>
      <c r="Z6" s="3"/>
      <c r="AA6" s="3"/>
      <c r="AB6" s="3"/>
      <c r="AC6" s="3"/>
      <c r="AD6" s="3"/>
      <c r="AE6" s="3"/>
      <c r="AF6" s="3"/>
      <c r="AG6" s="3"/>
      <c r="AH6" s="3"/>
      <c r="AI6" s="3"/>
      <c r="AJ6" s="3"/>
      <c r="AK6" s="3"/>
      <c r="AL6" s="3"/>
      <c r="AM6" s="3"/>
      <c r="AN6" s="3"/>
      <c r="AO6" s="3"/>
      <c r="AP6" s="3"/>
      <c r="AQ6" s="3"/>
      <c r="AR6" s="3"/>
      <c r="AS6" s="3"/>
      <c r="AT6" s="3"/>
    </row>
    <row r="7" spans="2:46" x14ac:dyDescent="0.3">
      <c r="C7" s="265" t="s">
        <v>30</v>
      </c>
      <c r="D7" s="265"/>
      <c r="G7" s="4"/>
      <c r="L7" s="37"/>
      <c r="M7" s="3"/>
      <c r="N7" s="3"/>
      <c r="O7" s="65"/>
      <c r="Q7" s="37"/>
      <c r="R7" s="22">
        <f>R5/'Conversions Page'!D11</f>
        <v>2.159387668136826</v>
      </c>
      <c r="S7" s="3" t="s">
        <v>220</v>
      </c>
      <c r="T7" s="3" t="s">
        <v>225</v>
      </c>
      <c r="V7" s="3"/>
      <c r="W7" s="3"/>
      <c r="X7" s="3"/>
      <c r="Y7" s="3"/>
      <c r="Z7" s="3"/>
      <c r="AA7" s="3"/>
      <c r="AB7" s="3"/>
      <c r="AC7" s="3"/>
      <c r="AD7" s="3"/>
      <c r="AE7" s="3"/>
      <c r="AF7" s="3"/>
      <c r="AG7" s="3"/>
      <c r="AH7" s="3"/>
      <c r="AI7" s="3"/>
      <c r="AJ7" s="3"/>
      <c r="AK7" s="3"/>
      <c r="AL7" s="3"/>
      <c r="AM7" s="3"/>
      <c r="AN7" s="3"/>
      <c r="AO7" s="3"/>
      <c r="AP7" s="3"/>
      <c r="AQ7" s="3"/>
      <c r="AR7" s="3"/>
      <c r="AS7" s="3"/>
      <c r="AT7" s="3"/>
    </row>
    <row r="8" spans="2:46" x14ac:dyDescent="0.3">
      <c r="B8" s="4" t="s">
        <v>20</v>
      </c>
      <c r="C8">
        <v>175</v>
      </c>
      <c r="D8" t="s">
        <v>6</v>
      </c>
      <c r="G8" s="4"/>
      <c r="H8" s="265" t="s">
        <v>98</v>
      </c>
      <c r="I8" s="265"/>
      <c r="L8" s="37"/>
      <c r="M8" s="277" t="s">
        <v>30</v>
      </c>
      <c r="N8" s="277"/>
      <c r="O8" s="65"/>
      <c r="Q8" s="3"/>
      <c r="R8" s="3"/>
      <c r="S8" s="3"/>
      <c r="T8" s="3"/>
      <c r="V8" s="3"/>
      <c r="W8" s="3"/>
      <c r="X8" s="124">
        <v>0.02</v>
      </c>
      <c r="Y8" s="3"/>
      <c r="Z8" s="3"/>
      <c r="AA8" s="125">
        <f>AA10/R9</f>
        <v>2.4193548387096774E-2</v>
      </c>
      <c r="AB8" s="3"/>
      <c r="AC8" s="3"/>
      <c r="AD8" s="3"/>
      <c r="AE8" s="3"/>
      <c r="AF8" s="3"/>
      <c r="AG8" s="3"/>
      <c r="AH8" s="3"/>
      <c r="AI8" s="3"/>
      <c r="AJ8" s="3"/>
      <c r="AK8" s="3"/>
      <c r="AL8" s="3"/>
      <c r="AM8" s="3"/>
      <c r="AN8" s="3"/>
      <c r="AO8" s="3"/>
      <c r="AP8" s="3"/>
      <c r="AQ8" s="3"/>
      <c r="AR8" s="3"/>
      <c r="AS8" s="3"/>
      <c r="AT8" s="3"/>
    </row>
    <row r="9" spans="2:46" x14ac:dyDescent="0.3">
      <c r="B9" s="4"/>
      <c r="C9" s="24">
        <f>Seeds_Per_ha/'Conversions Page'!D6</f>
        <v>30000.000000000084</v>
      </c>
      <c r="D9" t="s">
        <v>42</v>
      </c>
      <c r="E9" s="12" t="s">
        <v>43</v>
      </c>
      <c r="G9" s="4"/>
      <c r="H9">
        <v>39</v>
      </c>
      <c r="I9" t="s">
        <v>99</v>
      </c>
      <c r="J9" s="12" t="s">
        <v>105</v>
      </c>
      <c r="L9" s="37"/>
      <c r="M9" s="3">
        <v>1.81</v>
      </c>
      <c r="N9" s="21" t="s">
        <v>201</v>
      </c>
      <c r="O9" s="42" t="s">
        <v>200</v>
      </c>
      <c r="Q9" s="3"/>
      <c r="R9" s="61">
        <f>R3*22.77</f>
        <v>35647.264297199283</v>
      </c>
      <c r="S9" s="3" t="s">
        <v>506</v>
      </c>
      <c r="T9" s="3"/>
      <c r="V9" s="3"/>
      <c r="W9" s="3">
        <f>R9*0.02</f>
        <v>712.94528594398571</v>
      </c>
      <c r="X9" s="3" t="s">
        <v>620</v>
      </c>
      <c r="Y9" s="3"/>
      <c r="Z9" s="3"/>
      <c r="AA9" s="105">
        <f>LCA!G74*1000</f>
        <v>80206.344668698381</v>
      </c>
      <c r="AB9" s="3" t="s">
        <v>622</v>
      </c>
      <c r="AC9" s="3"/>
      <c r="AD9" s="3"/>
      <c r="AE9" s="3"/>
      <c r="AF9" s="3"/>
      <c r="AG9" s="3"/>
      <c r="AH9" s="3"/>
      <c r="AI9" s="3"/>
      <c r="AJ9" s="3"/>
      <c r="AK9" s="3"/>
      <c r="AL9" s="3"/>
      <c r="AM9" s="3"/>
      <c r="AN9" s="3"/>
      <c r="AO9" s="3"/>
      <c r="AP9" s="3"/>
      <c r="AQ9" s="3"/>
      <c r="AR9" s="3"/>
      <c r="AS9" s="3"/>
      <c r="AT9" s="3"/>
    </row>
    <row r="10" spans="2:46" x14ac:dyDescent="0.3">
      <c r="C10">
        <f>C11*1900/'Conversions Page'!D9</f>
        <v>74131.500000000204</v>
      </c>
      <c r="D10" t="s">
        <v>45</v>
      </c>
      <c r="G10" s="4"/>
      <c r="H10">
        <f>H9/1000*'Conversions Page'!D16</f>
        <v>0.1404</v>
      </c>
      <c r="I10" t="s">
        <v>104</v>
      </c>
      <c r="L10" s="37"/>
      <c r="M10" s="3">
        <v>7.7</v>
      </c>
      <c r="N10" s="21" t="s">
        <v>204</v>
      </c>
      <c r="O10" s="12" t="s">
        <v>203</v>
      </c>
      <c r="Q10" s="3"/>
      <c r="R10" s="3"/>
      <c r="S10" s="3"/>
      <c r="T10" s="3"/>
      <c r="V10" s="3"/>
      <c r="W10" s="3">
        <f>W9*93/1000</f>
        <v>66.303911592790669</v>
      </c>
      <c r="X10" s="3" t="s">
        <v>621</v>
      </c>
      <c r="Y10" s="3"/>
      <c r="Z10" s="3"/>
      <c r="AA10" s="3">
        <f>AA9/93</f>
        <v>862.43381364191805</v>
      </c>
      <c r="AB10" s="3"/>
      <c r="AC10" s="3"/>
      <c r="AD10" s="3"/>
      <c r="AE10" s="3"/>
      <c r="AF10" s="3"/>
      <c r="AG10" s="3"/>
      <c r="AH10" s="3"/>
      <c r="AI10" s="3"/>
      <c r="AJ10" s="3"/>
      <c r="AK10" s="3"/>
      <c r="AL10" s="3"/>
      <c r="AM10" s="3"/>
      <c r="AN10" s="3"/>
      <c r="AO10" s="3"/>
      <c r="AP10" s="3"/>
      <c r="AQ10" s="3"/>
      <c r="AR10" s="3"/>
      <c r="AS10" s="3"/>
      <c r="AT10" s="3"/>
    </row>
    <row r="11" spans="2:46" x14ac:dyDescent="0.3">
      <c r="C11" s="34">
        <f>Seeds_Per_Acre_Input</f>
        <v>17.694593626924501</v>
      </c>
      <c r="D11" t="s">
        <v>372</v>
      </c>
      <c r="G11" s="4"/>
      <c r="H11" s="32">
        <v>0.97</v>
      </c>
      <c r="I11" t="s">
        <v>106</v>
      </c>
      <c r="M11" s="6">
        <f>(1/L_eth_Per_kWh_Elec)*'Conversions Page'!D16*Kg_Ethanol_Per_ha*kg_eth_to_L_eth</f>
        <v>3089.3382892460318</v>
      </c>
      <c r="N11" s="21" t="s">
        <v>205</v>
      </c>
      <c r="Q11" s="37" t="s">
        <v>626</v>
      </c>
      <c r="R11" s="107">
        <f>3.88*R9/1000</f>
        <v>138.31138547313321</v>
      </c>
      <c r="S11" s="3" t="s">
        <v>627</v>
      </c>
      <c r="T11" s="3"/>
      <c r="V11" s="3"/>
      <c r="W11" s="3"/>
      <c r="X11" s="3"/>
      <c r="Y11" s="3"/>
      <c r="Z11" s="3"/>
      <c r="AB11" s="3"/>
      <c r="AC11" s="3"/>
      <c r="AD11" s="3"/>
      <c r="AE11" s="3"/>
      <c r="AF11" s="3"/>
      <c r="AG11" s="3"/>
      <c r="AH11" s="3"/>
      <c r="AI11" s="3"/>
      <c r="AJ11" s="3"/>
      <c r="AK11" s="3"/>
      <c r="AL11" s="3"/>
      <c r="AM11" s="3"/>
      <c r="AN11" s="3"/>
      <c r="AO11" s="3"/>
      <c r="AP11" s="3"/>
      <c r="AQ11" s="3"/>
      <c r="AR11" s="3"/>
      <c r="AS11" s="3"/>
      <c r="AT11" s="3"/>
    </row>
    <row r="12" spans="2:46" x14ac:dyDescent="0.3">
      <c r="G12" s="4"/>
      <c r="L12" s="37"/>
      <c r="M12" s="22">
        <f>MJ_Per_L_Eth_Prod*Kg_Ethanol_Per_ha*kg_eth_to_L_eth</f>
        <v>11960.029927006095</v>
      </c>
      <c r="N12" s="21" t="s">
        <v>206</v>
      </c>
      <c r="O12" s="65"/>
      <c r="Q12" s="37" t="s">
        <v>629</v>
      </c>
      <c r="R12" s="22">
        <f>R9*2.01/1000</f>
        <v>71.651001237370551</v>
      </c>
      <c r="S12" s="3" t="s">
        <v>630</v>
      </c>
      <c r="T12" s="3"/>
      <c r="V12" s="3"/>
      <c r="W12" s="3"/>
      <c r="X12" s="3"/>
      <c r="Y12" s="3"/>
      <c r="Z12" s="3"/>
      <c r="AC12" s="3"/>
      <c r="AD12" s="3"/>
      <c r="AE12" s="3"/>
      <c r="AF12" s="3"/>
      <c r="AG12" s="3"/>
      <c r="AH12" s="3"/>
      <c r="AI12" s="3"/>
      <c r="AJ12" s="3"/>
      <c r="AK12" s="3"/>
      <c r="AL12" s="3"/>
      <c r="AM12" s="3"/>
      <c r="AN12" s="3"/>
      <c r="AO12" s="3"/>
      <c r="AP12" s="3"/>
      <c r="AQ12" s="3"/>
      <c r="AR12" s="3"/>
      <c r="AS12" s="3"/>
      <c r="AT12" s="3"/>
    </row>
    <row r="13" spans="2:46" x14ac:dyDescent="0.3">
      <c r="C13" s="269" t="s">
        <v>27</v>
      </c>
      <c r="D13" s="269"/>
      <c r="G13" s="4"/>
      <c r="H13" s="269" t="s">
        <v>27</v>
      </c>
      <c r="I13" s="269"/>
      <c r="L13" s="37"/>
      <c r="M13" s="22">
        <f>Stover_Post_EH*Lignin_Ratio</f>
        <v>291.10371645459998</v>
      </c>
      <c r="N13" s="21" t="s">
        <v>213</v>
      </c>
      <c r="O13" s="42" t="s">
        <v>226</v>
      </c>
      <c r="Q13" s="37" t="s">
        <v>631</v>
      </c>
      <c r="R13" s="22">
        <f>(4.14/0.85)/1000*R9</f>
        <v>173.62314610635883</v>
      </c>
      <c r="S13" s="3" t="s">
        <v>632</v>
      </c>
      <c r="T13" s="3"/>
      <c r="V13" s="3"/>
      <c r="W13" s="3"/>
      <c r="X13" s="3"/>
      <c r="Y13" s="3"/>
      <c r="Z13" s="3"/>
      <c r="AA13" s="3"/>
      <c r="AB13" s="3"/>
      <c r="AC13" s="3"/>
      <c r="AD13" s="3"/>
      <c r="AE13" s="3"/>
      <c r="AF13" s="3"/>
      <c r="AG13" s="3"/>
      <c r="AH13" s="3"/>
      <c r="AI13" s="3"/>
      <c r="AJ13" s="3"/>
      <c r="AK13" s="3"/>
      <c r="AL13" s="3"/>
      <c r="AM13" s="3"/>
      <c r="AN13" s="3"/>
      <c r="AO13" s="3"/>
      <c r="AP13" s="3"/>
      <c r="AQ13" s="3"/>
      <c r="AR13" s="3"/>
      <c r="AS13" s="3"/>
      <c r="AT13" s="3"/>
    </row>
    <row r="14" spans="2:46" x14ac:dyDescent="0.3">
      <c r="C14">
        <f>Input_Hectares</f>
        <v>1</v>
      </c>
      <c r="D14" t="s">
        <v>46</v>
      </c>
      <c r="G14" s="4"/>
      <c r="H14" s="22">
        <f>Biomass_Input_To_BP*Percen_To_Hammer_Mill</f>
        <v>4718.9529999999995</v>
      </c>
      <c r="I14" t="s">
        <v>142</v>
      </c>
      <c r="Q14" s="37" t="s">
        <v>639</v>
      </c>
      <c r="R14" s="107">
        <f>(4.22/1.85)*R9/1000</f>
        <v>81.314300180638355</v>
      </c>
      <c r="S14" s="3" t="s">
        <v>637</v>
      </c>
      <c r="T14" s="3"/>
      <c r="V14" s="3"/>
      <c r="W14" s="3"/>
      <c r="X14" s="3"/>
      <c r="Y14" s="3">
        <v>33.200000000000003</v>
      </c>
      <c r="Z14" s="3" t="s">
        <v>697</v>
      </c>
      <c r="AA14" s="3"/>
      <c r="AB14" s="3"/>
      <c r="AC14" s="3"/>
      <c r="AD14" s="3"/>
      <c r="AE14" s="3"/>
      <c r="AF14" s="3"/>
      <c r="AG14" s="3"/>
      <c r="AH14" s="3"/>
      <c r="AI14" s="3"/>
      <c r="AJ14" s="3"/>
      <c r="AK14" s="3"/>
      <c r="AL14" s="3"/>
      <c r="AM14" s="3"/>
      <c r="AN14" s="3"/>
      <c r="AO14" s="3"/>
      <c r="AP14" s="3"/>
      <c r="AQ14" s="3"/>
      <c r="AR14" s="3"/>
      <c r="AS14" s="3"/>
      <c r="AT14" s="3"/>
    </row>
    <row r="15" spans="2:46" x14ac:dyDescent="0.3">
      <c r="G15" s="4"/>
      <c r="H15" s="22">
        <f>(1-Percen_To_Hammer_Mill)*Biomass_Input_To_BP</f>
        <v>145.94700000000012</v>
      </c>
      <c r="I15" t="s">
        <v>369</v>
      </c>
      <c r="L15" s="37"/>
      <c r="M15" s="268" t="s">
        <v>27</v>
      </c>
      <c r="N15" s="268"/>
      <c r="O15" s="65"/>
      <c r="Q15" s="37" t="s">
        <v>175</v>
      </c>
      <c r="R15" s="107">
        <f>R9*(5.34/2.66)/1000</f>
        <v>71.562553137986527</v>
      </c>
      <c r="S15" s="3" t="s">
        <v>638</v>
      </c>
      <c r="T15" s="3"/>
      <c r="V15" s="3"/>
      <c r="W15" s="3"/>
      <c r="X15" s="3"/>
      <c r="Y15" s="3">
        <f>Y14*R9/1000</f>
        <v>1183.4891746670164</v>
      </c>
      <c r="Z15" s="3" t="s">
        <v>698</v>
      </c>
      <c r="AA15" s="3"/>
      <c r="AB15" s="3"/>
      <c r="AC15" s="3"/>
      <c r="AD15" s="3"/>
      <c r="AE15" s="3"/>
      <c r="AF15" s="3"/>
      <c r="AG15" s="3"/>
      <c r="AH15" s="3"/>
      <c r="AI15" s="3"/>
      <c r="AJ15" s="3"/>
      <c r="AK15" s="3"/>
      <c r="AL15" s="3"/>
      <c r="AM15" s="3"/>
      <c r="AN15" s="3"/>
      <c r="AO15" s="3"/>
      <c r="AP15" s="3"/>
      <c r="AQ15" s="3"/>
      <c r="AR15" s="3"/>
      <c r="AS15" s="3"/>
      <c r="AT15" s="3"/>
    </row>
    <row r="16" spans="2:46" x14ac:dyDescent="0.3">
      <c r="B16" s="267" t="s">
        <v>584</v>
      </c>
      <c r="C16" s="267"/>
      <c r="D16" s="267"/>
      <c r="E16" s="267"/>
      <c r="G16" s="4"/>
      <c r="H16" s="22">
        <f>C136-(Percen_To_Hammer_Mill*C136)</f>
        <v>63.632892000000083</v>
      </c>
      <c r="I16" t="s">
        <v>525</v>
      </c>
      <c r="L16" s="37" t="s">
        <v>227</v>
      </c>
      <c r="M16" s="22">
        <f>H72</f>
        <v>18366.165075999997</v>
      </c>
      <c r="N16" s="3" t="s">
        <v>212</v>
      </c>
      <c r="Q16" s="37" t="s">
        <v>640</v>
      </c>
      <c r="R16" s="107">
        <f>(7.72/711)*R9</f>
        <v>387.05609054061671</v>
      </c>
      <c r="S16" s="3" t="s">
        <v>101</v>
      </c>
      <c r="T16" s="3"/>
      <c r="V16" s="3"/>
      <c r="W16" s="3"/>
      <c r="X16" s="3"/>
      <c r="Y16" s="3">
        <v>32</v>
      </c>
      <c r="Z16" s="3" t="s">
        <v>700</v>
      </c>
      <c r="AA16" s="3" t="s">
        <v>699</v>
      </c>
      <c r="AC16" s="3"/>
      <c r="AD16" s="3"/>
      <c r="AE16" s="3"/>
      <c r="AF16" s="3"/>
      <c r="AG16" s="3"/>
      <c r="AH16" s="3"/>
      <c r="AI16" s="3"/>
      <c r="AJ16" s="3"/>
      <c r="AK16" s="3"/>
      <c r="AL16" s="3"/>
      <c r="AM16" s="3"/>
      <c r="AN16" s="3"/>
      <c r="AO16" s="3"/>
      <c r="AP16" s="3"/>
      <c r="AQ16" s="3"/>
      <c r="AR16" s="3"/>
      <c r="AS16" s="3"/>
      <c r="AT16" s="3"/>
    </row>
    <row r="17" spans="2:46" x14ac:dyDescent="0.3">
      <c r="C17" s="269" t="s">
        <v>12</v>
      </c>
      <c r="D17" s="269"/>
      <c r="G17" s="4"/>
      <c r="H17" s="22">
        <f>Percen_To_Hammer_Mill*C136</f>
        <v>2057.4635079999998</v>
      </c>
      <c r="I17" t="s">
        <v>526</v>
      </c>
      <c r="M17" s="6">
        <f>Corn_beer_Input_to_DD-M16-M18-Final_Anhydrous_Eth_Mass</f>
        <v>2258.535980827</v>
      </c>
      <c r="N17" s="3" t="s">
        <v>530</v>
      </c>
      <c r="O17" s="65"/>
      <c r="Q17" s="37" t="s">
        <v>656</v>
      </c>
      <c r="R17" s="22">
        <f>0.246*R9/1000</f>
        <v>8.7692270171110227</v>
      </c>
      <c r="S17" s="3" t="s">
        <v>26</v>
      </c>
      <c r="T17" s="3"/>
      <c r="V17" s="3"/>
      <c r="W17" s="3"/>
      <c r="X17" s="3"/>
      <c r="Y17" s="61">
        <f>Y15/Y16</f>
        <v>36.984036708344263</v>
      </c>
      <c r="Z17" s="3" t="s">
        <v>701</v>
      </c>
      <c r="AA17" s="3"/>
      <c r="AB17" s="163">
        <f>Y17/(R3+Y17)</f>
        <v>2.3078667445110151E-2</v>
      </c>
      <c r="AC17" s="3" t="s">
        <v>702</v>
      </c>
      <c r="AD17" s="3"/>
      <c r="AE17" s="3"/>
      <c r="AF17" s="3"/>
      <c r="AG17" s="3"/>
      <c r="AH17" s="3"/>
      <c r="AI17" s="3"/>
      <c r="AJ17" s="3"/>
      <c r="AK17" s="3"/>
      <c r="AL17" s="3"/>
      <c r="AM17" s="3"/>
      <c r="AN17" s="3"/>
      <c r="AO17" s="3"/>
      <c r="AP17" s="3"/>
      <c r="AQ17" s="3"/>
      <c r="AR17" s="3"/>
      <c r="AS17" s="3"/>
      <c r="AT17" s="3"/>
    </row>
    <row r="18" spans="2:46" x14ac:dyDescent="0.3">
      <c r="B18" s="4" t="s">
        <v>594</v>
      </c>
      <c r="C18" s="11">
        <f>Inputs!K25</f>
        <v>34</v>
      </c>
      <c r="D18" t="s">
        <v>595</v>
      </c>
      <c r="L18" s="31"/>
      <c r="M18" s="22">
        <f>(0.146*C136)*(44/12)</f>
        <v>1135.4936061333331</v>
      </c>
      <c r="N18" s="3" t="s">
        <v>211</v>
      </c>
      <c r="O18" s="66" t="s">
        <v>529</v>
      </c>
      <c r="Q18" s="37" t="s">
        <v>696</v>
      </c>
      <c r="R18" s="22">
        <f>Y18</f>
        <v>9.7701534862390762</v>
      </c>
      <c r="S18" s="3" t="s">
        <v>75</v>
      </c>
      <c r="T18" s="3"/>
      <c r="V18" s="3"/>
      <c r="W18" s="3"/>
      <c r="X18" s="3"/>
      <c r="Y18" s="22">
        <f>Y17/'Conversions Page'!D13</f>
        <v>9.7701534862390762</v>
      </c>
      <c r="Z18" s="3" t="s">
        <v>703</v>
      </c>
      <c r="AA18" s="3"/>
      <c r="AB18" s="3"/>
      <c r="AC18" s="3"/>
      <c r="AD18" s="3"/>
      <c r="AE18" s="3"/>
      <c r="AF18" s="3"/>
      <c r="AG18" s="3"/>
      <c r="AH18" s="3"/>
      <c r="AI18" s="3"/>
      <c r="AJ18" s="3"/>
      <c r="AK18" s="3"/>
      <c r="AL18" s="3"/>
      <c r="AM18" s="3"/>
      <c r="AN18" s="3"/>
      <c r="AO18" s="3"/>
      <c r="AP18" s="3"/>
      <c r="AQ18" s="3"/>
      <c r="AR18" s="3"/>
      <c r="AS18" s="3"/>
      <c r="AT18" s="3"/>
    </row>
    <row r="19" spans="2:46" x14ac:dyDescent="0.3">
      <c r="B19" s="9"/>
      <c r="E19" s="10"/>
      <c r="G19" s="267" t="s">
        <v>2</v>
      </c>
      <c r="H19" s="267"/>
      <c r="I19" s="267"/>
      <c r="J19" s="267"/>
      <c r="L19" s="37" t="s">
        <v>228</v>
      </c>
      <c r="M19" s="22">
        <f>Kg_Ethanol_Per_ha+Gas_Denaturant</f>
        <v>1235.208235858157</v>
      </c>
      <c r="N19" s="3" t="s">
        <v>229</v>
      </c>
      <c r="O19" s="65"/>
      <c r="Q19" s="3" t="s">
        <v>17</v>
      </c>
      <c r="R19" s="3"/>
      <c r="S19" s="3">
        <v>12.72</v>
      </c>
      <c r="T19" s="3" t="s">
        <v>641</v>
      </c>
      <c r="V19" s="3"/>
      <c r="W19" s="3"/>
      <c r="X19" s="3"/>
      <c r="Y19" s="3"/>
      <c r="Z19" s="3"/>
      <c r="AA19" s="3"/>
      <c r="AB19" s="3"/>
      <c r="AC19" s="3"/>
      <c r="AD19" s="3"/>
      <c r="AE19" s="3"/>
      <c r="AF19" s="3"/>
      <c r="AG19" s="3"/>
      <c r="AH19" s="3"/>
      <c r="AI19" s="3"/>
      <c r="AJ19" s="3"/>
      <c r="AK19" s="3"/>
      <c r="AL19" s="3"/>
      <c r="AM19" s="3"/>
      <c r="AN19" s="3"/>
      <c r="AO19" s="3"/>
      <c r="AP19" s="3"/>
      <c r="AQ19" s="3"/>
      <c r="AR19" s="3"/>
      <c r="AS19" s="3"/>
      <c r="AT19" s="3"/>
    </row>
    <row r="20" spans="2:46" x14ac:dyDescent="0.3">
      <c r="C20" s="265" t="s">
        <v>30</v>
      </c>
      <c r="D20" s="265"/>
      <c r="H20" s="269" t="s">
        <v>12</v>
      </c>
      <c r="I20" s="269"/>
      <c r="L20" s="3"/>
      <c r="M20" s="310">
        <f>M44</f>
        <v>703.77851622910475</v>
      </c>
      <c r="N20" s="3" t="s">
        <v>543</v>
      </c>
      <c r="O20" s="65"/>
      <c r="Q20" s="3"/>
      <c r="R20" s="3"/>
      <c r="S20" s="3">
        <f>S19*'Conversions Page'!D9</f>
        <v>5.7687074829931975</v>
      </c>
      <c r="T20" s="3" t="s">
        <v>605</v>
      </c>
      <c r="V20" s="3"/>
      <c r="W20" s="3"/>
      <c r="X20" s="3"/>
      <c r="Y20" s="3"/>
      <c r="Z20" s="3"/>
      <c r="AA20" s="3"/>
      <c r="AB20" s="3"/>
      <c r="AC20" s="3"/>
      <c r="AD20" s="3"/>
      <c r="AE20" s="3"/>
      <c r="AF20" s="3"/>
      <c r="AG20" s="3"/>
      <c r="AH20" s="3"/>
      <c r="AI20" s="3"/>
      <c r="AJ20" s="3"/>
      <c r="AK20" s="3"/>
      <c r="AL20" s="3"/>
      <c r="AM20" s="3"/>
      <c r="AN20" s="3"/>
      <c r="AO20" s="3"/>
      <c r="AP20" s="3"/>
      <c r="AQ20" s="3"/>
      <c r="AR20" s="3"/>
      <c r="AS20" s="3"/>
      <c r="AT20" s="3"/>
    </row>
    <row r="21" spans="2:46" x14ac:dyDescent="0.3">
      <c r="C21" s="11">
        <f>C22/'Conversions Page'!D6</f>
        <v>2.8333333333333335</v>
      </c>
      <c r="D21" t="s">
        <v>587</v>
      </c>
      <c r="E21" s="12" t="s">
        <v>18</v>
      </c>
      <c r="G21" s="4" t="s">
        <v>107</v>
      </c>
      <c r="H21" s="22">
        <f>Size_Reduced_Biomass</f>
        <v>4718.9529999999995</v>
      </c>
      <c r="I21" t="s">
        <v>108</v>
      </c>
      <c r="Q21" s="3"/>
      <c r="S21" s="3"/>
      <c r="T21" s="3"/>
      <c r="V21" s="3"/>
      <c r="W21" s="3"/>
      <c r="X21" s="3"/>
      <c r="Y21" s="3"/>
      <c r="Z21" s="3"/>
      <c r="AA21" s="3"/>
      <c r="AB21" s="3"/>
      <c r="AC21" s="3"/>
      <c r="AD21" s="3"/>
      <c r="AE21" s="3"/>
      <c r="AF21" s="3"/>
      <c r="AG21" s="3"/>
      <c r="AH21" s="3"/>
      <c r="AI21" s="3"/>
      <c r="AJ21" s="3"/>
      <c r="AK21" s="3"/>
      <c r="AL21" s="3"/>
      <c r="AM21" s="3"/>
      <c r="AN21" s="3"/>
      <c r="AO21" s="3"/>
      <c r="AP21" s="3"/>
      <c r="AQ21" s="3"/>
      <c r="AR21" s="3"/>
      <c r="AS21" s="3"/>
      <c r="AT21" s="3"/>
    </row>
    <row r="22" spans="2:46" x14ac:dyDescent="0.3">
      <c r="C22" s="11">
        <f>C23*'Conversions Page'!D14</f>
        <v>7.0013083333333332</v>
      </c>
      <c r="D22" t="s">
        <v>231</v>
      </c>
      <c r="E22" s="15"/>
      <c r="G22" s="4" t="s">
        <v>358</v>
      </c>
      <c r="H22" s="22">
        <f>Biomass_Input_To_DAH*Ratio_Water_To_Stover</f>
        <v>18875.811999999998</v>
      </c>
      <c r="I22" t="s">
        <v>112</v>
      </c>
      <c r="J22" s="75"/>
      <c r="L22" s="3"/>
      <c r="M22" s="278" t="s">
        <v>531</v>
      </c>
      <c r="N22" s="278"/>
      <c r="O22" s="65" t="s">
        <v>532</v>
      </c>
      <c r="Q22" s="61"/>
      <c r="R22" s="3"/>
      <c r="S22" s="3"/>
      <c r="T22" s="3"/>
      <c r="V22" s="3"/>
      <c r="W22" s="3"/>
      <c r="X22" s="3"/>
      <c r="Y22" s="3"/>
      <c r="Z22" s="3"/>
      <c r="AA22" s="3"/>
      <c r="AB22" s="3"/>
      <c r="AC22" s="3"/>
      <c r="AD22" s="3"/>
      <c r="AE22" s="3"/>
      <c r="AF22" s="3"/>
      <c r="AG22" s="3"/>
      <c r="AH22" s="3"/>
      <c r="AI22" s="3"/>
      <c r="AJ22" s="3"/>
      <c r="AK22" s="3"/>
      <c r="AL22" s="3"/>
      <c r="AM22" s="3"/>
      <c r="AN22" s="3"/>
      <c r="AO22" s="3"/>
      <c r="AP22" s="3"/>
      <c r="AQ22" s="3"/>
      <c r="AR22" s="3"/>
      <c r="AS22" s="3"/>
      <c r="AT22" s="3"/>
    </row>
    <row r="23" spans="2:46" x14ac:dyDescent="0.3">
      <c r="C23" s="16">
        <f>'Process Model'!C24/'Conversions Page'!D15</f>
        <v>2281381.3246266022</v>
      </c>
      <c r="D23" t="s">
        <v>237</v>
      </c>
      <c r="G23" s="4" t="s">
        <v>110</v>
      </c>
      <c r="H23" s="60">
        <f>Dilution_Water_Added*Percent_Acid_By_Weight/10</f>
        <v>151.006496</v>
      </c>
      <c r="I23" t="s">
        <v>113</v>
      </c>
      <c r="L23" s="3"/>
      <c r="M23" s="6">
        <f>(12.0107/44.01)*CO_2_Output_Vent</f>
        <v>309.88577721394284</v>
      </c>
      <c r="N23" s="21" t="s">
        <v>533</v>
      </c>
      <c r="O23" s="101">
        <f>M23/C136</f>
        <v>0.14609697947436187</v>
      </c>
      <c r="Q23" s="3"/>
      <c r="R23" s="3"/>
      <c r="S23" s="3"/>
      <c r="T23" s="3"/>
      <c r="V23" s="3"/>
      <c r="W23" s="3"/>
      <c r="X23" s="3"/>
      <c r="Y23" s="3"/>
      <c r="Z23" s="3"/>
      <c r="AA23" s="3"/>
      <c r="AB23" s="3"/>
      <c r="AC23" s="3"/>
      <c r="AD23" s="3"/>
      <c r="AE23" s="3"/>
      <c r="AF23" s="3"/>
      <c r="AG23" s="3"/>
      <c r="AH23" s="3"/>
      <c r="AI23" s="3"/>
      <c r="AJ23" s="3"/>
      <c r="AK23" s="3"/>
      <c r="AL23" s="3"/>
      <c r="AM23" s="3"/>
      <c r="AN23" s="3"/>
      <c r="AO23" s="3"/>
      <c r="AP23" s="3"/>
      <c r="AQ23" s="3"/>
      <c r="AR23" s="3"/>
      <c r="AS23" s="3"/>
      <c r="AT23" s="3"/>
    </row>
    <row r="24" spans="2:46" x14ac:dyDescent="0.3">
      <c r="C24" s="16">
        <f>C25/997</f>
        <v>8635.9636800547869</v>
      </c>
      <c r="D24" t="s">
        <v>557</v>
      </c>
      <c r="G24" s="4" t="s">
        <v>111</v>
      </c>
      <c r="H24" s="22">
        <f>Acid_Per_ha*H33</f>
        <v>52.443267842779797</v>
      </c>
      <c r="I24" t="s">
        <v>114</v>
      </c>
      <c r="L24" s="3"/>
      <c r="M24" s="6">
        <f>Final_Anhydrous_Eth_Mass*(24.0214/46.01)</f>
        <v>644.89091755799029</v>
      </c>
      <c r="N24" s="21" t="s">
        <v>534</v>
      </c>
      <c r="O24" s="101">
        <f>M24/C136</f>
        <v>0.30403659049064924</v>
      </c>
      <c r="Q24" s="3"/>
      <c r="R24" s="3"/>
      <c r="S24" s="3"/>
      <c r="T24" s="3"/>
      <c r="V24" s="3"/>
      <c r="W24" s="3"/>
      <c r="X24" s="3"/>
      <c r="Y24" s="3"/>
      <c r="Z24" s="3"/>
      <c r="AA24" s="3"/>
      <c r="AB24" s="3"/>
      <c r="AC24" s="3"/>
      <c r="AD24" s="3"/>
      <c r="AE24" s="3"/>
      <c r="AF24" s="3"/>
      <c r="AG24" s="3"/>
      <c r="AH24" s="3"/>
      <c r="AI24" s="3"/>
      <c r="AJ24" s="3"/>
      <c r="AK24" s="3"/>
      <c r="AL24" s="3"/>
      <c r="AM24" s="3"/>
      <c r="AN24" s="3"/>
      <c r="AO24" s="3"/>
      <c r="AP24" s="3"/>
      <c r="AQ24" s="3"/>
      <c r="AR24" s="3"/>
      <c r="AS24" s="3"/>
      <c r="AT24" s="3"/>
    </row>
    <row r="25" spans="2:46" x14ac:dyDescent="0.3">
      <c r="C25" s="16">
        <f>Inputs!K17</f>
        <v>8610055.7890146226</v>
      </c>
      <c r="D25" t="s">
        <v>8</v>
      </c>
      <c r="G25" s="4" t="s">
        <v>127</v>
      </c>
      <c r="H25" s="6">
        <f>MJ_DAH_Per_ha</f>
        <v>13026.086493909199</v>
      </c>
      <c r="I25" t="s">
        <v>115</v>
      </c>
      <c r="L25" s="3"/>
      <c r="M25" s="22">
        <f>H16</f>
        <v>63.632892000000083</v>
      </c>
      <c r="N25" s="21" t="s">
        <v>535</v>
      </c>
      <c r="O25" s="102">
        <f>M25/C136</f>
        <v>3.0000000000000041E-2</v>
      </c>
      <c r="Q25" s="3"/>
      <c r="R25" s="3"/>
      <c r="S25" s="3"/>
      <c r="T25" s="3"/>
      <c r="V25" s="3"/>
      <c r="W25" s="3"/>
      <c r="X25" s="3"/>
      <c r="Y25" s="3"/>
      <c r="Z25" s="3"/>
      <c r="AA25" s="3"/>
      <c r="AB25" s="3"/>
      <c r="AC25" s="3"/>
      <c r="AD25" s="3"/>
      <c r="AE25" s="3"/>
      <c r="AF25" s="3"/>
      <c r="AG25" s="3"/>
      <c r="AH25" s="3"/>
      <c r="AI25" s="3"/>
      <c r="AJ25" s="3"/>
      <c r="AK25" s="3"/>
      <c r="AL25" s="3"/>
      <c r="AM25" s="3"/>
      <c r="AN25" s="3"/>
      <c r="AO25" s="3"/>
      <c r="AP25" s="3"/>
      <c r="AQ25" s="3"/>
      <c r="AR25" s="3"/>
      <c r="AS25" s="3"/>
      <c r="AT25" s="3"/>
    </row>
    <row r="26" spans="2:46" x14ac:dyDescent="0.3">
      <c r="C26" s="16">
        <f>Inputs!A16</f>
        <v>4664015.4830839848</v>
      </c>
      <c r="D26" t="s">
        <v>596</v>
      </c>
      <c r="G26" s="4" t="s">
        <v>339</v>
      </c>
      <c r="H26" s="6">
        <f>MJ_per_ha_300</f>
        <v>224.29684576062604</v>
      </c>
      <c r="I26" t="s">
        <v>115</v>
      </c>
      <c r="L26" s="3"/>
      <c r="M26" s="22">
        <f>H65</f>
        <v>55.551514716000156</v>
      </c>
      <c r="N26" s="21" t="s">
        <v>536</v>
      </c>
      <c r="O26" s="102">
        <f>M26/C136</f>
        <v>2.6190000000000074E-2</v>
      </c>
      <c r="Q26" s="3"/>
      <c r="R26" s="3"/>
      <c r="S26" s="3"/>
      <c r="T26" s="3"/>
      <c r="V26" s="3"/>
      <c r="W26" s="3"/>
      <c r="X26" s="3"/>
      <c r="Y26" s="3"/>
      <c r="Z26" s="3"/>
      <c r="AA26" s="3"/>
      <c r="AB26" s="3"/>
      <c r="AC26" s="3"/>
      <c r="AD26" s="3"/>
      <c r="AE26" s="3"/>
      <c r="AF26" s="3"/>
      <c r="AG26" s="3"/>
      <c r="AH26" s="3"/>
      <c r="AI26" s="3"/>
      <c r="AJ26" s="3"/>
      <c r="AK26" s="3"/>
      <c r="AL26" s="3"/>
      <c r="AM26" s="3"/>
      <c r="AN26" s="3"/>
      <c r="AO26" s="3"/>
      <c r="AP26" s="3"/>
      <c r="AQ26" s="3"/>
      <c r="AR26" s="3"/>
      <c r="AS26" s="3"/>
      <c r="AT26" s="3"/>
    </row>
    <row r="27" spans="2:46" x14ac:dyDescent="0.3">
      <c r="G27" s="4"/>
      <c r="H27" s="6"/>
      <c r="L27" s="3"/>
      <c r="M27" s="22">
        <f>Burnable_BM_kgs*O27</f>
        <v>1114.9859801202454</v>
      </c>
      <c r="N27" s="21" t="s">
        <v>537</v>
      </c>
      <c r="O27" s="103">
        <f>1-SUM(O23:O26)</f>
        <v>0.49367643003498884</v>
      </c>
      <c r="Q27" s="3"/>
      <c r="R27" s="3"/>
      <c r="S27" s="3"/>
      <c r="T27" s="3"/>
      <c r="V27" s="3"/>
      <c r="W27" s="3"/>
      <c r="X27" s="3"/>
      <c r="Y27" s="3"/>
      <c r="Z27" s="3"/>
      <c r="AA27" s="3"/>
      <c r="AB27" s="3"/>
      <c r="AC27" s="3"/>
      <c r="AD27" s="3"/>
      <c r="AE27" s="3"/>
      <c r="AF27" s="3"/>
      <c r="AG27" s="3"/>
      <c r="AH27" s="3"/>
      <c r="AI27" s="3"/>
      <c r="AJ27" s="3"/>
      <c r="AK27" s="3"/>
      <c r="AL27" s="3"/>
      <c r="AM27" s="3"/>
      <c r="AN27" s="3"/>
      <c r="AO27" s="3"/>
      <c r="AP27" s="3"/>
      <c r="AQ27" s="3"/>
      <c r="AR27" s="3"/>
      <c r="AS27" s="3"/>
      <c r="AT27" s="3"/>
    </row>
    <row r="28" spans="2:46" x14ac:dyDescent="0.3">
      <c r="C28" s="269" t="s">
        <v>27</v>
      </c>
      <c r="D28" s="269"/>
      <c r="G28" s="4"/>
      <c r="H28" s="265" t="s">
        <v>30</v>
      </c>
      <c r="I28" s="265"/>
      <c r="L28" s="3"/>
      <c r="M28" s="3"/>
      <c r="N28" s="104" t="s">
        <v>541</v>
      </c>
      <c r="O28" s="103">
        <v>0.51800000000000002</v>
      </c>
      <c r="Q28" s="3"/>
      <c r="R28" s="3"/>
      <c r="S28" s="3"/>
      <c r="T28" s="3"/>
      <c r="V28" s="3"/>
      <c r="W28" s="3"/>
      <c r="X28" s="3"/>
      <c r="Y28" s="3"/>
      <c r="Z28" s="3"/>
      <c r="AA28" s="3"/>
      <c r="AB28" s="3"/>
      <c r="AC28" s="3"/>
      <c r="AD28" s="3"/>
      <c r="AE28" s="3"/>
      <c r="AF28" s="3"/>
      <c r="AG28" s="3"/>
      <c r="AH28" s="3"/>
      <c r="AI28" s="3"/>
      <c r="AJ28" s="3"/>
      <c r="AK28" s="3"/>
      <c r="AL28" s="3"/>
      <c r="AM28" s="3"/>
      <c r="AN28" s="3"/>
      <c r="AO28" s="3"/>
      <c r="AP28" s="3"/>
      <c r="AQ28" s="3"/>
      <c r="AR28" s="3"/>
      <c r="AS28" s="3"/>
      <c r="AT28" s="3"/>
    </row>
    <row r="29" spans="2:46" x14ac:dyDescent="0.3">
      <c r="B29" s="4"/>
      <c r="C29" s="28">
        <f>Input_Hectares</f>
        <v>1</v>
      </c>
      <c r="D29" s="21" t="s">
        <v>47</v>
      </c>
      <c r="G29" s="4"/>
      <c r="H29" s="6">
        <v>4</v>
      </c>
      <c r="I29" t="s">
        <v>116</v>
      </c>
      <c r="J29" s="25" t="s">
        <v>128</v>
      </c>
      <c r="L29" s="3"/>
      <c r="M29" s="3"/>
      <c r="N29" s="3"/>
      <c r="O29" s="103"/>
      <c r="Q29" s="3"/>
      <c r="R29" s="3"/>
      <c r="S29" s="3"/>
      <c r="T29" s="3"/>
      <c r="V29" s="3"/>
      <c r="W29" s="3"/>
      <c r="X29" s="3"/>
      <c r="Y29" s="3"/>
      <c r="Z29" s="3"/>
      <c r="AA29" s="3"/>
      <c r="AB29" s="3"/>
      <c r="AC29" s="3"/>
      <c r="AD29" s="3"/>
      <c r="AE29" s="3"/>
      <c r="AF29" s="3"/>
      <c r="AG29" s="3"/>
      <c r="AH29" s="3"/>
      <c r="AI29" s="3"/>
      <c r="AJ29" s="3"/>
      <c r="AK29" s="3"/>
      <c r="AL29" s="3"/>
      <c r="AM29" s="3"/>
      <c r="AN29" s="3"/>
      <c r="AO29" s="3"/>
      <c r="AP29" s="3"/>
      <c r="AQ29" s="3"/>
      <c r="AR29" s="3"/>
      <c r="AS29" s="3"/>
      <c r="AT29" s="3"/>
    </row>
    <row r="30" spans="2:46" x14ac:dyDescent="0.3">
      <c r="B30" s="4"/>
      <c r="C30" s="28">
        <f>C26-Inputs!K19</f>
        <v>4653291.2417708319</v>
      </c>
      <c r="D30" s="21" t="s">
        <v>379</v>
      </c>
      <c r="G30" s="4"/>
      <c r="H30" s="33">
        <v>0.08</v>
      </c>
      <c r="I30" t="s">
        <v>117</v>
      </c>
      <c r="L30" s="3"/>
      <c r="M30" s="22">
        <f>C136</f>
        <v>2121.0963999999999</v>
      </c>
      <c r="N30" s="3" t="s">
        <v>539</v>
      </c>
      <c r="O30" s="65"/>
      <c r="Q30" s="3"/>
      <c r="R30" s="3"/>
      <c r="S30" s="3"/>
      <c r="T30" s="3"/>
      <c r="V30" s="3"/>
      <c r="W30" s="3"/>
      <c r="X30" s="3"/>
      <c r="Y30" s="3"/>
      <c r="Z30" s="3"/>
      <c r="AA30" s="3"/>
      <c r="AB30" s="3"/>
      <c r="AC30" s="3"/>
      <c r="AD30" s="3"/>
      <c r="AE30" s="3"/>
      <c r="AF30" s="3"/>
      <c r="AG30" s="3"/>
      <c r="AH30" s="3"/>
      <c r="AI30" s="3"/>
      <c r="AJ30" s="3"/>
      <c r="AK30" s="3"/>
      <c r="AL30" s="3"/>
      <c r="AM30" s="3"/>
      <c r="AN30" s="3"/>
      <c r="AO30" s="3"/>
      <c r="AP30" s="3"/>
      <c r="AQ30" s="3"/>
      <c r="AR30" s="3"/>
      <c r="AS30" s="3"/>
      <c r="AT30" s="3"/>
    </row>
    <row r="31" spans="2:46" x14ac:dyDescent="0.3">
      <c r="B31" s="4"/>
      <c r="D31" s="21"/>
      <c r="G31" s="4"/>
      <c r="H31">
        <v>98.078999999999994</v>
      </c>
      <c r="I31" t="s">
        <v>118</v>
      </c>
      <c r="L31" s="3"/>
      <c r="M31" s="22">
        <f>SUM(M23:M27)</f>
        <v>2188.9470816081785</v>
      </c>
      <c r="N31" s="3" t="s">
        <v>538</v>
      </c>
      <c r="O31" s="65" t="s">
        <v>542</v>
      </c>
      <c r="Q31" s="3"/>
      <c r="R31" s="3"/>
      <c r="S31" s="3"/>
      <c r="T31" s="3"/>
      <c r="V31" s="3"/>
      <c r="W31" s="3"/>
      <c r="X31" s="3"/>
      <c r="Y31" s="3"/>
      <c r="Z31" s="3"/>
      <c r="AA31" s="3"/>
      <c r="AB31" s="3"/>
      <c r="AC31" s="3"/>
      <c r="AD31" s="3"/>
      <c r="AE31" s="3"/>
      <c r="AF31" s="3"/>
      <c r="AG31" s="3"/>
      <c r="AH31" s="3"/>
      <c r="AI31" s="3"/>
      <c r="AJ31" s="3"/>
      <c r="AK31" s="3"/>
      <c r="AL31" s="3"/>
      <c r="AM31" s="3"/>
      <c r="AN31" s="3"/>
      <c r="AO31" s="3"/>
      <c r="AP31" s="3"/>
      <c r="AQ31" s="3"/>
      <c r="AR31" s="3"/>
      <c r="AS31" s="3"/>
      <c r="AT31" s="3"/>
    </row>
    <row r="32" spans="2:46" x14ac:dyDescent="0.3">
      <c r="B32" s="267" t="s">
        <v>28</v>
      </c>
      <c r="C32" s="267"/>
      <c r="D32" s="267"/>
      <c r="E32" s="267"/>
      <c r="G32" s="4"/>
      <c r="H32">
        <v>17.030999999999999</v>
      </c>
      <c r="I32" t="s">
        <v>119</v>
      </c>
      <c r="L32" s="3"/>
      <c r="M32" s="22">
        <f>M30-M31</f>
        <v>-67.850681608178547</v>
      </c>
      <c r="N32" s="3" t="s">
        <v>540</v>
      </c>
      <c r="O32" s="102">
        <f>M31/M30</f>
        <v>1.0319884950104947</v>
      </c>
      <c r="Q32" s="3"/>
      <c r="R32" s="3"/>
      <c r="S32" s="3"/>
      <c r="T32" s="3"/>
      <c r="V32" s="3"/>
      <c r="W32" s="3"/>
      <c r="X32" s="3"/>
      <c r="Y32" s="3"/>
      <c r="Z32" s="3"/>
      <c r="AA32" s="3"/>
      <c r="AB32" s="3"/>
      <c r="AC32" s="3"/>
      <c r="AD32" s="3"/>
      <c r="AE32" s="3"/>
      <c r="AF32" s="3"/>
      <c r="AG32" s="3"/>
      <c r="AH32" s="3"/>
      <c r="AI32" s="3"/>
      <c r="AJ32" s="3"/>
      <c r="AK32" s="3"/>
      <c r="AL32" s="3"/>
      <c r="AM32" s="3"/>
      <c r="AN32" s="3"/>
      <c r="AO32" s="3"/>
      <c r="AP32" s="3"/>
      <c r="AQ32" s="3"/>
      <c r="AR32" s="3"/>
      <c r="AS32" s="3"/>
      <c r="AT32" s="3"/>
    </row>
    <row r="33" spans="2:46" x14ac:dyDescent="0.3">
      <c r="B33" s="4"/>
      <c r="C33" s="269" t="s">
        <v>12</v>
      </c>
      <c r="D33" s="269"/>
      <c r="G33" s="4"/>
      <c r="H33" s="6">
        <f>Molar_Mass_nh3*2/Molar_mass_h2so4</f>
        <v>0.34729146912183034</v>
      </c>
      <c r="I33" t="s">
        <v>120</v>
      </c>
      <c r="L33" s="3"/>
      <c r="M33" s="3"/>
      <c r="N33" s="3"/>
      <c r="O33" s="65"/>
      <c r="Q33" s="3"/>
      <c r="R33" s="3"/>
      <c r="S33" s="3"/>
      <c r="T33" s="3"/>
      <c r="V33" s="3"/>
      <c r="W33" s="3"/>
      <c r="X33" s="3"/>
      <c r="Y33" s="3"/>
      <c r="Z33" s="3"/>
      <c r="AA33" s="3"/>
      <c r="AB33" s="3"/>
      <c r="AC33" s="3"/>
      <c r="AD33" s="3"/>
      <c r="AE33" s="3"/>
      <c r="AF33" s="3"/>
      <c r="AG33" s="3"/>
      <c r="AH33" s="3"/>
      <c r="AI33" s="3"/>
      <c r="AJ33" s="3"/>
      <c r="AK33" s="3"/>
      <c r="AL33" s="3"/>
      <c r="AM33" s="3"/>
      <c r="AN33" s="3"/>
      <c r="AO33" s="3"/>
      <c r="AP33" s="3"/>
      <c r="AQ33" s="3"/>
      <c r="AR33" s="3"/>
      <c r="AS33" s="3"/>
      <c r="AT33" s="3"/>
    </row>
    <row r="34" spans="2:46" x14ac:dyDescent="0.3">
      <c r="B34" s="4" t="s">
        <v>32</v>
      </c>
      <c r="C34" s="6">
        <f>Inputs!A6</f>
        <v>161.37</v>
      </c>
      <c r="D34" t="s">
        <v>50</v>
      </c>
      <c r="E34" s="12" t="s">
        <v>544</v>
      </c>
      <c r="H34">
        <v>4.1840000000000002</v>
      </c>
      <c r="I34" t="s">
        <v>121</v>
      </c>
      <c r="J34" s="12" t="s">
        <v>129</v>
      </c>
      <c r="L34" s="3"/>
      <c r="M34" s="3"/>
      <c r="N34" s="3"/>
      <c r="O34" s="65"/>
      <c r="Q34" s="3"/>
      <c r="R34" s="3"/>
      <c r="S34" s="3"/>
      <c r="T34" s="3"/>
      <c r="V34" s="3"/>
      <c r="W34" s="3"/>
      <c r="X34" s="3"/>
      <c r="Y34" s="3"/>
      <c r="Z34" s="3"/>
      <c r="AA34" s="3"/>
      <c r="AB34" s="3"/>
      <c r="AC34" s="3"/>
      <c r="AD34" s="3"/>
      <c r="AE34" s="3"/>
      <c r="AF34" s="3"/>
      <c r="AG34" s="3"/>
      <c r="AH34" s="3"/>
      <c r="AI34" s="3"/>
      <c r="AJ34" s="3"/>
      <c r="AK34" s="3"/>
      <c r="AL34" s="3"/>
      <c r="AM34" s="3"/>
      <c r="AN34" s="3"/>
      <c r="AO34" s="3"/>
      <c r="AP34" s="3"/>
      <c r="AQ34" s="3"/>
      <c r="AR34" s="3"/>
      <c r="AS34" s="3"/>
      <c r="AT34" s="3"/>
    </row>
    <row r="35" spans="2:46" x14ac:dyDescent="0.3">
      <c r="B35" s="4" t="s">
        <v>33</v>
      </c>
      <c r="C35" s="6">
        <f>Inputs!A7</f>
        <v>15.65</v>
      </c>
      <c r="D35" t="s">
        <v>577</v>
      </c>
      <c r="H35">
        <v>1.03</v>
      </c>
      <c r="I35" t="s">
        <v>126</v>
      </c>
      <c r="L35" s="3"/>
      <c r="M35" s="3"/>
      <c r="N35" s="3"/>
      <c r="O35" s="65"/>
      <c r="Q35" s="3"/>
      <c r="R35" s="3"/>
      <c r="S35" s="3"/>
      <c r="T35" s="3"/>
      <c r="V35" s="3"/>
      <c r="W35" s="3"/>
      <c r="X35" s="3"/>
      <c r="Y35" s="3"/>
      <c r="Z35" s="3"/>
      <c r="AA35" s="3"/>
      <c r="AB35" s="3"/>
      <c r="AC35" s="3"/>
      <c r="AD35" s="3"/>
      <c r="AE35" s="3"/>
      <c r="AF35" s="3"/>
      <c r="AG35" s="3"/>
      <c r="AH35" s="3"/>
      <c r="AI35" s="3"/>
      <c r="AJ35" s="3"/>
      <c r="AK35" s="3"/>
      <c r="AL35" s="3"/>
      <c r="AM35" s="3"/>
      <c r="AN35" s="3"/>
      <c r="AO35" s="3"/>
      <c r="AP35" s="3"/>
      <c r="AQ35" s="3"/>
      <c r="AR35" s="3"/>
      <c r="AS35" s="3"/>
      <c r="AT35" s="3"/>
    </row>
    <row r="36" spans="2:46" x14ac:dyDescent="0.3">
      <c r="B36" s="4" t="s">
        <v>34</v>
      </c>
      <c r="C36" s="6">
        <f>Inputs!A8</f>
        <v>76.09</v>
      </c>
      <c r="D36" t="s">
        <v>578</v>
      </c>
      <c r="H36">
        <v>1.34</v>
      </c>
      <c r="I36" t="s">
        <v>122</v>
      </c>
      <c r="L36" s="267" t="s">
        <v>759</v>
      </c>
      <c r="M36" s="267"/>
      <c r="N36" s="267"/>
      <c r="O36" s="267"/>
      <c r="Q36" s="3"/>
      <c r="R36" s="3"/>
      <c r="S36" s="3"/>
      <c r="T36" s="3"/>
      <c r="V36" s="3"/>
      <c r="W36" s="3"/>
      <c r="X36" s="3"/>
      <c r="Y36" s="3"/>
      <c r="Z36" s="3"/>
      <c r="AA36" s="3"/>
      <c r="AB36" s="3"/>
      <c r="AC36" s="3"/>
      <c r="AD36" s="3"/>
      <c r="AE36" s="3"/>
      <c r="AF36" s="3"/>
      <c r="AG36" s="3"/>
      <c r="AH36" s="3"/>
      <c r="AI36" s="3"/>
      <c r="AJ36" s="3"/>
      <c r="AK36" s="3"/>
      <c r="AL36" s="3"/>
      <c r="AM36" s="3"/>
      <c r="AN36" s="3"/>
      <c r="AO36" s="3"/>
      <c r="AP36" s="3"/>
      <c r="AQ36" s="3"/>
      <c r="AR36" s="3"/>
      <c r="AS36" s="3"/>
      <c r="AT36" s="3"/>
    </row>
    <row r="37" spans="2:46" x14ac:dyDescent="0.3">
      <c r="B37" s="4"/>
      <c r="H37">
        <v>175</v>
      </c>
      <c r="I37" t="s">
        <v>123</v>
      </c>
      <c r="L37" s="3"/>
      <c r="M37" s="268" t="s">
        <v>12</v>
      </c>
      <c r="N37" s="268"/>
      <c r="O37" s="65"/>
      <c r="Q37" s="3"/>
      <c r="R37" s="3"/>
      <c r="S37" s="3"/>
      <c r="T37" s="3"/>
      <c r="V37" s="3"/>
      <c r="W37" s="3"/>
      <c r="X37" s="3"/>
      <c r="Y37" s="3"/>
      <c r="Z37" s="3"/>
      <c r="AA37" s="3"/>
      <c r="AB37" s="3"/>
      <c r="AC37" s="3"/>
      <c r="AD37" s="3"/>
      <c r="AE37" s="3"/>
      <c r="AF37" s="3"/>
      <c r="AG37" s="3"/>
      <c r="AH37" s="3"/>
      <c r="AI37" s="3"/>
      <c r="AJ37" s="3"/>
      <c r="AK37" s="3"/>
      <c r="AL37" s="3"/>
      <c r="AM37" s="3"/>
      <c r="AN37" s="3"/>
      <c r="AO37" s="3"/>
      <c r="AP37" s="3"/>
      <c r="AQ37" s="3"/>
      <c r="AR37" s="3"/>
      <c r="AS37" s="3"/>
      <c r="AT37" s="3"/>
    </row>
    <row r="38" spans="2:46" x14ac:dyDescent="0.3">
      <c r="B38" s="4"/>
      <c r="C38" s="265" t="s">
        <v>30</v>
      </c>
      <c r="D38" s="265"/>
      <c r="H38">
        <v>20</v>
      </c>
      <c r="I38" t="s">
        <v>124</v>
      </c>
      <c r="L38" s="3"/>
      <c r="M38" s="6">
        <f>Burnable_BM_kgs</f>
        <v>2258.535980827</v>
      </c>
      <c r="N38" s="3" t="s">
        <v>530</v>
      </c>
      <c r="O38" s="65"/>
      <c r="Q38" s="3"/>
      <c r="R38" s="3"/>
      <c r="S38" s="3"/>
      <c r="T38" s="3"/>
      <c r="V38" s="3"/>
      <c r="W38" s="3"/>
      <c r="X38" s="3"/>
      <c r="Y38" s="3"/>
      <c r="Z38" s="3"/>
      <c r="AA38" s="3"/>
      <c r="AB38" s="3"/>
      <c r="AC38" s="3"/>
      <c r="AD38" s="3"/>
      <c r="AE38" s="3"/>
      <c r="AF38" s="3"/>
      <c r="AG38" s="3"/>
      <c r="AH38" s="3"/>
      <c r="AI38" s="3"/>
      <c r="AJ38" s="3"/>
      <c r="AK38" s="3"/>
      <c r="AL38" s="3"/>
      <c r="AM38" s="3"/>
      <c r="AN38" s="3"/>
      <c r="AO38" s="3"/>
      <c r="AP38" s="3"/>
      <c r="AQ38" s="3"/>
      <c r="AR38" s="3"/>
      <c r="AS38" s="3"/>
      <c r="AT38" s="3"/>
    </row>
    <row r="39" spans="2:46" x14ac:dyDescent="0.3">
      <c r="C39">
        <v>144</v>
      </c>
      <c r="D39" t="s">
        <v>89</v>
      </c>
      <c r="E39" s="12" t="s">
        <v>88</v>
      </c>
      <c r="H39" s="6">
        <f>((Dilution_Water_Added*C_P_Water*(Final_Temp-Initial_Temp))+(Biomass_Input_To_DAH*C_P_Stover*(Final_Temp-Initial_Temp))+(Acid_Per_ha*C_P_H2so4*(Final_Temp-Initial_Temp)))/1000</f>
        <v>13026.086493909199</v>
      </c>
      <c r="I39" t="s">
        <v>125</v>
      </c>
      <c r="L39" s="37" t="s">
        <v>618</v>
      </c>
      <c r="M39" s="6">
        <v>16.739999999999998</v>
      </c>
      <c r="N39" s="3" t="s">
        <v>619</v>
      </c>
      <c r="O39" s="76"/>
      <c r="Q39" s="3"/>
      <c r="R39" s="3"/>
      <c r="S39" s="3"/>
      <c r="T39" s="3"/>
      <c r="V39" s="3"/>
      <c r="W39" s="3"/>
      <c r="X39" s="3"/>
      <c r="Y39" s="3"/>
      <c r="Z39" s="3"/>
      <c r="AA39" s="3"/>
      <c r="AB39" s="3"/>
      <c r="AC39" s="3"/>
      <c r="AD39" s="3"/>
      <c r="AE39" s="3"/>
      <c r="AF39" s="3"/>
      <c r="AG39" s="3"/>
      <c r="AH39" s="3"/>
      <c r="AI39" s="3"/>
      <c r="AJ39" s="3"/>
      <c r="AK39" s="3"/>
      <c r="AL39" s="3"/>
      <c r="AM39" s="3"/>
      <c r="AN39" s="3"/>
      <c r="AO39" s="3"/>
      <c r="AP39" s="3"/>
      <c r="AQ39" s="3"/>
      <c r="AR39" s="3"/>
      <c r="AS39" s="3"/>
      <c r="AT39" s="3"/>
    </row>
    <row r="40" spans="2:46" x14ac:dyDescent="0.3">
      <c r="C40">
        <v>64</v>
      </c>
      <c r="D40" t="s">
        <v>91</v>
      </c>
      <c r="E40" s="12"/>
      <c r="L40" s="3"/>
      <c r="M40" s="3"/>
      <c r="N40" s="3"/>
      <c r="O40" s="65"/>
      <c r="Q40" s="3"/>
      <c r="R40" s="3"/>
      <c r="S40" s="3"/>
      <c r="T40" s="3"/>
      <c r="V40" s="3"/>
      <c r="W40" s="3"/>
      <c r="X40" s="3"/>
      <c r="Y40" s="3"/>
      <c r="Z40" s="3"/>
      <c r="AA40" s="3"/>
      <c r="AB40" s="3"/>
      <c r="AC40" s="3"/>
      <c r="AD40" s="3"/>
      <c r="AE40" s="3"/>
      <c r="AF40" s="3"/>
      <c r="AG40" s="3"/>
      <c r="AH40" s="3"/>
      <c r="AI40" s="3"/>
      <c r="AJ40" s="3"/>
      <c r="AK40" s="3"/>
      <c r="AL40" s="3"/>
      <c r="AM40" s="3"/>
      <c r="AN40" s="3"/>
      <c r="AO40" s="3"/>
      <c r="AP40" s="3"/>
      <c r="AQ40" s="3"/>
      <c r="AR40" s="3"/>
      <c r="AS40" s="3"/>
      <c r="AT40" s="3"/>
    </row>
    <row r="41" spans="2:46" x14ac:dyDescent="0.3">
      <c r="C41">
        <v>82</v>
      </c>
      <c r="D41" t="s">
        <v>90</v>
      </c>
      <c r="G41" s="265" t="s">
        <v>130</v>
      </c>
      <c r="H41" s="265"/>
      <c r="I41" s="265"/>
      <c r="J41" s="265"/>
      <c r="L41" s="3"/>
      <c r="M41" s="106">
        <f>(13)/(28+13)</f>
        <v>0.31707317073170732</v>
      </c>
      <c r="N41" s="3" t="s">
        <v>617</v>
      </c>
      <c r="O41" s="65"/>
      <c r="Q41" s="3"/>
      <c r="R41" s="3"/>
      <c r="S41" s="3"/>
      <c r="T41" s="3"/>
      <c r="V41" s="3"/>
      <c r="W41" s="3"/>
      <c r="X41" s="3"/>
      <c r="Y41" s="3"/>
      <c r="Z41" s="3"/>
      <c r="AA41" s="3"/>
      <c r="AB41" s="3"/>
      <c r="AC41" s="3"/>
      <c r="AD41" s="3"/>
      <c r="AE41" s="3"/>
      <c r="AF41" s="3"/>
      <c r="AG41" s="3"/>
      <c r="AH41" s="3"/>
      <c r="AI41" s="3"/>
      <c r="AJ41" s="3"/>
      <c r="AK41" s="3"/>
      <c r="AL41" s="3"/>
      <c r="AM41" s="3"/>
      <c r="AN41" s="3"/>
      <c r="AO41" s="3"/>
      <c r="AP41" s="3"/>
      <c r="AQ41" s="3"/>
      <c r="AR41" s="3"/>
      <c r="AS41" s="3"/>
      <c r="AT41" s="3"/>
    </row>
    <row r="42" spans="2:46" x14ac:dyDescent="0.3">
      <c r="H42">
        <v>0.41049999999999998</v>
      </c>
      <c r="I42" t="s">
        <v>131</v>
      </c>
      <c r="L42" s="3"/>
      <c r="M42" s="28">
        <f>SUM(Inputs!F20:F21,Inputs!F23,Inputs!F25:F26,Inputs!F41)</f>
        <v>5456.9903412225958</v>
      </c>
      <c r="N42" s="3" t="s">
        <v>615</v>
      </c>
      <c r="O42" s="65"/>
      <c r="Q42" s="3"/>
      <c r="R42" s="3"/>
      <c r="S42" s="3"/>
      <c r="T42" s="3"/>
      <c r="V42" s="3"/>
      <c r="W42" s="3"/>
      <c r="X42" s="3"/>
      <c r="Y42" s="3"/>
      <c r="Z42" s="3"/>
      <c r="AA42" s="3"/>
      <c r="AB42" s="3"/>
      <c r="AC42" s="3"/>
      <c r="AD42" s="3"/>
      <c r="AE42" s="3"/>
      <c r="AF42" s="3"/>
      <c r="AG42" s="3"/>
      <c r="AH42" s="3"/>
      <c r="AI42" s="3"/>
      <c r="AJ42" s="3"/>
      <c r="AK42" s="3"/>
      <c r="AL42" s="3"/>
      <c r="AM42" s="3"/>
      <c r="AN42" s="3"/>
      <c r="AO42" s="3"/>
      <c r="AP42" s="3"/>
      <c r="AQ42" s="3"/>
      <c r="AR42" s="3"/>
      <c r="AS42" s="3"/>
      <c r="AT42" s="3"/>
    </row>
    <row r="43" spans="2:46" x14ac:dyDescent="0.3">
      <c r="C43" s="5">
        <f>C39*'Conversions Page'!D6*'Conversions Page'!D9</f>
        <v>161.37469387755098</v>
      </c>
      <c r="D43" t="s">
        <v>50</v>
      </c>
      <c r="H43">
        <v>0.31390000000000001</v>
      </c>
      <c r="I43" t="s">
        <v>132</v>
      </c>
      <c r="L43" s="22">
        <f>Inputs!F46/(1-M41)/3.6</f>
        <v>15888.687403601549</v>
      </c>
      <c r="M43" s="61">
        <f>M42/'Conversions Page'!D16</f>
        <v>1515.83065033961</v>
      </c>
      <c r="N43" s="3" t="s">
        <v>612</v>
      </c>
      <c r="O43" s="65"/>
      <c r="Q43" s="3"/>
      <c r="R43" s="3"/>
      <c r="S43" s="3"/>
      <c r="T43" s="3"/>
      <c r="V43" s="3"/>
      <c r="W43" s="3"/>
      <c r="X43" s="3"/>
      <c r="Y43" s="3"/>
      <c r="Z43" s="3"/>
      <c r="AA43" s="3"/>
      <c r="AB43" s="3"/>
      <c r="AC43" s="3"/>
      <c r="AD43" s="3"/>
      <c r="AE43" s="3"/>
      <c r="AF43" s="3"/>
      <c r="AG43" s="3"/>
      <c r="AH43" s="3"/>
      <c r="AI43" s="3"/>
      <c r="AJ43" s="3"/>
      <c r="AK43" s="3"/>
      <c r="AL43" s="3"/>
      <c r="AM43" s="3"/>
      <c r="AN43" s="3"/>
      <c r="AO43" s="3"/>
      <c r="AP43" s="3"/>
      <c r="AQ43" s="3"/>
      <c r="AR43" s="3"/>
      <c r="AS43" s="3"/>
      <c r="AT43" s="3"/>
    </row>
    <row r="44" spans="2:46" x14ac:dyDescent="0.3">
      <c r="C44" s="5">
        <f>C40*'Conversions Page'!D6*'Conversions Page'!D9</f>
        <v>71.722086167800441</v>
      </c>
      <c r="D44" t="s">
        <v>92</v>
      </c>
      <c r="H44">
        <v>6.3399999999999998E-2</v>
      </c>
      <c r="I44" t="s">
        <v>133</v>
      </c>
      <c r="J44" s="12" t="s">
        <v>136</v>
      </c>
      <c r="L44" s="3">
        <f>M41*L43</f>
        <v>5037.8764938248814</v>
      </c>
      <c r="M44" s="139">
        <f>((M43)/(1-M41))*M41</f>
        <v>703.77851622910475</v>
      </c>
      <c r="N44" s="3" t="s">
        <v>613</v>
      </c>
      <c r="O44" s="65"/>
      <c r="Q44" s="3"/>
      <c r="R44" s="3"/>
      <c r="S44" s="3"/>
      <c r="T44" s="3"/>
      <c r="V44" s="3"/>
      <c r="W44" s="3"/>
      <c r="X44" s="3"/>
      <c r="Y44" s="3"/>
      <c r="Z44" s="3"/>
      <c r="AA44" s="3"/>
      <c r="AB44" s="3"/>
      <c r="AC44" s="3"/>
      <c r="AD44" s="3"/>
      <c r="AE44" s="3"/>
      <c r="AF44" s="3"/>
      <c r="AG44" s="3"/>
      <c r="AH44" s="3"/>
      <c r="AI44" s="3"/>
      <c r="AJ44" s="3"/>
      <c r="AK44" s="3"/>
      <c r="AL44" s="3"/>
      <c r="AM44" s="3"/>
      <c r="AN44" s="3"/>
      <c r="AO44" s="3"/>
      <c r="AP44" s="3"/>
      <c r="AQ44" s="3"/>
      <c r="AR44" s="3"/>
      <c r="AS44" s="3"/>
      <c r="AT44" s="3"/>
    </row>
    <row r="45" spans="2:46" x14ac:dyDescent="0.3">
      <c r="C45" s="5">
        <f>'Conversions Page'!D9*'Conversions Page'!D6*'Process Model'!C41</f>
        <v>91.89392290249431</v>
      </c>
      <c r="D45" t="s">
        <v>93</v>
      </c>
      <c r="H45">
        <v>0.16950000000000001</v>
      </c>
      <c r="I45" t="s">
        <v>135</v>
      </c>
      <c r="M45" s="3"/>
      <c r="N45" s="3"/>
      <c r="O45" s="65"/>
      <c r="Q45" s="3"/>
      <c r="R45" s="3"/>
      <c r="S45" s="3"/>
      <c r="T45" s="3"/>
      <c r="V45" s="3"/>
      <c r="W45" s="3"/>
      <c r="X45" s="3"/>
      <c r="Y45" s="3"/>
      <c r="Z45" s="3"/>
      <c r="AA45" s="3"/>
      <c r="AB45" s="3"/>
      <c r="AC45" s="3"/>
      <c r="AD45" s="3"/>
      <c r="AE45" s="3"/>
      <c r="AF45" s="3"/>
      <c r="AG45" s="3"/>
      <c r="AH45" s="3"/>
      <c r="AI45" s="3"/>
      <c r="AJ45" s="3"/>
      <c r="AK45" s="3"/>
      <c r="AL45" s="3"/>
      <c r="AM45" s="3"/>
      <c r="AN45" s="3"/>
      <c r="AO45" s="3"/>
      <c r="AP45" s="3"/>
      <c r="AQ45" s="3"/>
      <c r="AR45" s="3"/>
      <c r="AS45" s="3"/>
      <c r="AT45" s="3"/>
    </row>
    <row r="46" spans="2:46" x14ac:dyDescent="0.3">
      <c r="C46" s="5"/>
      <c r="H46">
        <v>4.2700000000000002E-2</v>
      </c>
      <c r="I46" t="s">
        <v>134</v>
      </c>
      <c r="L46" s="3"/>
      <c r="M46" s="3"/>
      <c r="N46" s="3"/>
      <c r="O46" s="65"/>
      <c r="Q46" s="3"/>
      <c r="R46" s="3"/>
      <c r="S46" s="3"/>
      <c r="T46" s="3"/>
      <c r="V46" s="3"/>
      <c r="W46" s="3"/>
      <c r="X46" s="3"/>
      <c r="Y46" s="3"/>
      <c r="Z46" s="3"/>
      <c r="AA46" s="3"/>
      <c r="AB46" s="3"/>
      <c r="AC46" s="3"/>
      <c r="AD46" s="3"/>
      <c r="AE46" s="3"/>
      <c r="AF46" s="3"/>
      <c r="AG46" s="3"/>
      <c r="AH46" s="3"/>
      <c r="AI46" s="3"/>
      <c r="AJ46" s="3"/>
      <c r="AK46" s="3"/>
      <c r="AL46" s="3"/>
      <c r="AM46" s="3"/>
      <c r="AN46" s="3"/>
      <c r="AO46" s="3"/>
      <c r="AP46" s="3"/>
      <c r="AQ46" s="3"/>
      <c r="AR46" s="3"/>
      <c r="AS46" s="3"/>
      <c r="AT46" s="3"/>
    </row>
    <row r="47" spans="2:46" x14ac:dyDescent="0.3">
      <c r="C47" s="5">
        <f>1</f>
        <v>1</v>
      </c>
      <c r="D47" t="s">
        <v>581</v>
      </c>
      <c r="L47" s="3"/>
      <c r="M47" s="3"/>
      <c r="N47" s="3"/>
      <c r="O47" s="65"/>
      <c r="Q47" s="3"/>
      <c r="R47" s="3"/>
      <c r="S47" s="3"/>
      <c r="T47" s="3"/>
      <c r="V47" s="3"/>
      <c r="W47" s="3"/>
      <c r="X47" s="3"/>
      <c r="Y47" s="3"/>
      <c r="Z47" s="3"/>
      <c r="AA47" s="3"/>
      <c r="AB47" s="3"/>
      <c r="AC47" s="3"/>
      <c r="AD47" s="3"/>
      <c r="AE47" s="3"/>
      <c r="AF47" s="3"/>
      <c r="AG47" s="3"/>
      <c r="AH47" s="3"/>
      <c r="AI47" s="3"/>
      <c r="AJ47" s="3"/>
      <c r="AK47" s="3"/>
      <c r="AL47" s="3"/>
      <c r="AM47" s="3"/>
      <c r="AN47" s="3"/>
      <c r="AO47" s="3"/>
      <c r="AP47" s="3"/>
      <c r="AQ47" s="3"/>
      <c r="AR47" s="3"/>
      <c r="AS47" s="3"/>
      <c r="AT47" s="3"/>
    </row>
    <row r="48" spans="2:46" x14ac:dyDescent="0.3">
      <c r="C48" s="56">
        <f>(2*30.97)/(283.88)</f>
        <v>0.21819078483866422</v>
      </c>
      <c r="D48" t="s">
        <v>579</v>
      </c>
      <c r="G48" s="4" t="s">
        <v>156</v>
      </c>
      <c r="H48" s="32">
        <v>0.81299999999999994</v>
      </c>
      <c r="I48" t="s">
        <v>138</v>
      </c>
      <c r="J48" s="25" t="s">
        <v>128</v>
      </c>
      <c r="L48" s="3"/>
      <c r="M48" s="3"/>
      <c r="N48" s="3"/>
      <c r="O48" s="65"/>
      <c r="Q48" s="3"/>
      <c r="R48" s="3"/>
      <c r="S48" s="3"/>
      <c r="T48" s="3"/>
      <c r="V48" s="3"/>
      <c r="W48" s="3"/>
      <c r="X48" s="3"/>
      <c r="Y48" s="3"/>
      <c r="Z48" s="3"/>
      <c r="AA48" s="3"/>
      <c r="AB48" s="3"/>
      <c r="AC48" s="3"/>
      <c r="AD48" s="3"/>
      <c r="AE48" s="3"/>
      <c r="AF48" s="3"/>
      <c r="AG48" s="3"/>
      <c r="AH48" s="3"/>
      <c r="AI48" s="3"/>
      <c r="AJ48" s="3"/>
      <c r="AK48" s="3"/>
      <c r="AL48" s="3"/>
      <c r="AM48" s="3"/>
      <c r="AN48" s="3"/>
      <c r="AO48" s="3"/>
      <c r="AP48" s="3"/>
      <c r="AQ48" s="3"/>
      <c r="AR48" s="3"/>
      <c r="AS48" s="3"/>
      <c r="AT48" s="3"/>
    </row>
    <row r="49" spans="2:46" x14ac:dyDescent="0.3">
      <c r="C49" s="56">
        <f>(2*39)/94.2</f>
        <v>0.8280254777070063</v>
      </c>
      <c r="D49" t="s">
        <v>580</v>
      </c>
      <c r="H49" s="32">
        <v>0.67</v>
      </c>
      <c r="I49" t="s">
        <v>139</v>
      </c>
      <c r="L49" s="3">
        <f>M38*M39</f>
        <v>37807.892319043975</v>
      </c>
      <c r="M49" s="3">
        <f>M38*M39/3.6</f>
        <v>10502.192310845548</v>
      </c>
      <c r="N49" s="3" t="s">
        <v>101</v>
      </c>
      <c r="O49" s="65"/>
      <c r="Q49" s="3"/>
      <c r="R49" s="3"/>
      <c r="S49" s="3"/>
      <c r="T49" s="3"/>
      <c r="V49" s="3"/>
      <c r="W49" s="3"/>
      <c r="X49" s="3"/>
      <c r="Y49" s="3"/>
      <c r="Z49" s="3"/>
      <c r="AA49" s="3"/>
      <c r="AB49" s="3"/>
      <c r="AC49" s="3"/>
      <c r="AD49" s="3"/>
      <c r="AE49" s="3"/>
      <c r="AF49" s="3"/>
      <c r="AG49" s="3"/>
      <c r="AH49" s="3"/>
      <c r="AI49" s="3"/>
      <c r="AJ49" s="3"/>
      <c r="AK49" s="3"/>
      <c r="AL49" s="3"/>
      <c r="AM49" s="3"/>
      <c r="AN49" s="3"/>
      <c r="AO49" s="3"/>
      <c r="AP49" s="3"/>
      <c r="AQ49" s="3"/>
      <c r="AR49" s="3"/>
      <c r="AS49" s="3"/>
      <c r="AT49" s="3"/>
    </row>
    <row r="50" spans="2:46" x14ac:dyDescent="0.3">
      <c r="B50" s="6"/>
      <c r="C50" s="10"/>
      <c r="H50" s="32">
        <v>0.97299999999999998</v>
      </c>
      <c r="I50" t="s">
        <v>143</v>
      </c>
      <c r="L50" s="3"/>
      <c r="M50" s="3">
        <f>M49*0.176</f>
        <v>1848.3858467088164</v>
      </c>
      <c r="N50" s="3"/>
      <c r="O50" s="65"/>
      <c r="Q50" s="3"/>
      <c r="R50" s="3"/>
      <c r="S50" s="3"/>
      <c r="T50" s="3"/>
      <c r="V50" s="3"/>
      <c r="W50" s="3"/>
      <c r="X50" s="3"/>
      <c r="Y50" s="3"/>
      <c r="Z50" s="3"/>
      <c r="AA50" s="3"/>
      <c r="AB50" s="3"/>
      <c r="AC50" s="3"/>
      <c r="AD50" s="3"/>
      <c r="AE50" s="3"/>
      <c r="AF50" s="3"/>
      <c r="AG50" s="3"/>
      <c r="AH50" s="3"/>
      <c r="AI50" s="3"/>
      <c r="AJ50" s="3"/>
      <c r="AK50" s="3"/>
      <c r="AL50" s="3"/>
      <c r="AM50" s="3"/>
      <c r="AN50" s="3"/>
      <c r="AO50" s="3"/>
      <c r="AP50" s="3"/>
      <c r="AQ50" s="3"/>
      <c r="AR50" s="3"/>
      <c r="AS50" s="3"/>
      <c r="AT50" s="3"/>
    </row>
    <row r="51" spans="2:46" x14ac:dyDescent="0.3">
      <c r="B51" s="6"/>
      <c r="C51" s="269" t="s">
        <v>27</v>
      </c>
      <c r="D51" s="269"/>
      <c r="J51" s="15"/>
      <c r="L51" s="3"/>
      <c r="M51" s="3"/>
      <c r="N51" s="3"/>
      <c r="O51" s="65"/>
      <c r="Q51" s="3"/>
      <c r="R51" s="3"/>
      <c r="S51" s="3"/>
      <c r="T51" s="3"/>
      <c r="V51" s="3"/>
      <c r="W51" s="3"/>
      <c r="X51" s="3"/>
      <c r="Y51" s="3"/>
      <c r="Z51" s="3"/>
      <c r="AA51" s="3"/>
      <c r="AB51" s="3"/>
      <c r="AC51" s="3"/>
      <c r="AD51" s="3"/>
      <c r="AE51" s="3"/>
      <c r="AF51" s="3"/>
      <c r="AG51" s="3"/>
      <c r="AH51" s="3"/>
      <c r="AI51" s="3"/>
      <c r="AJ51" s="3"/>
      <c r="AK51" s="3"/>
      <c r="AL51" s="3"/>
      <c r="AM51" s="3"/>
      <c r="AN51" s="3"/>
      <c r="AO51" s="3"/>
      <c r="AP51" s="3"/>
      <c r="AQ51" s="3"/>
      <c r="AR51" s="3"/>
      <c r="AS51" s="3"/>
      <c r="AT51" s="3"/>
    </row>
    <row r="52" spans="2:46" x14ac:dyDescent="0.3">
      <c r="B52" s="6"/>
      <c r="C52" s="29">
        <f>Input_Hectares</f>
        <v>1</v>
      </c>
      <c r="D52" s="13" t="s">
        <v>48</v>
      </c>
      <c r="E52" s="13"/>
      <c r="G52" s="265" t="s">
        <v>137</v>
      </c>
      <c r="H52" s="265"/>
      <c r="I52" s="265"/>
      <c r="J52" s="265"/>
      <c r="L52" s="3"/>
      <c r="M52" s="3"/>
      <c r="N52" s="3"/>
      <c r="O52" s="65"/>
      <c r="Q52" s="3"/>
      <c r="R52" s="3"/>
      <c r="S52" s="3"/>
      <c r="T52" s="3"/>
      <c r="V52" s="3"/>
      <c r="W52" s="3"/>
      <c r="X52" s="3"/>
      <c r="Y52" s="3"/>
      <c r="Z52" s="3"/>
      <c r="AA52" s="3"/>
      <c r="AB52" s="3"/>
      <c r="AC52" s="3"/>
      <c r="AD52" s="3"/>
      <c r="AE52" s="3"/>
      <c r="AF52" s="3"/>
      <c r="AG52" s="3"/>
      <c r="AH52" s="3"/>
      <c r="AI52" s="3"/>
      <c r="AJ52" s="3"/>
      <c r="AK52" s="3"/>
      <c r="AL52" s="3"/>
      <c r="AM52" s="3"/>
      <c r="AN52" s="3"/>
      <c r="AO52" s="3"/>
      <c r="AP52" s="3"/>
      <c r="AQ52" s="3"/>
      <c r="AR52" s="3"/>
      <c r="AS52" s="3"/>
      <c r="AT52" s="3"/>
    </row>
    <row r="53" spans="2:46" x14ac:dyDescent="0.3">
      <c r="B53" s="6"/>
      <c r="C53" s="29">
        <f>(1-Inputs!K4)*Inputs!A6</f>
        <v>0</v>
      </c>
      <c r="D53" s="13" t="s">
        <v>373</v>
      </c>
      <c r="E53" s="13"/>
      <c r="H53">
        <f>Cellulose_Ratio*H48</f>
        <v>0.33373649999999994</v>
      </c>
      <c r="I53" t="s">
        <v>140</v>
      </c>
      <c r="L53" s="3"/>
      <c r="M53" s="3"/>
      <c r="N53" s="3"/>
      <c r="O53" s="65"/>
      <c r="Q53" s="3"/>
      <c r="R53" s="3"/>
      <c r="S53" s="3"/>
      <c r="T53" s="3"/>
      <c r="V53" s="3"/>
      <c r="W53" s="3"/>
      <c r="X53" s="3"/>
      <c r="Y53" s="3"/>
      <c r="Z53" s="3"/>
      <c r="AA53" s="3"/>
      <c r="AB53" s="3"/>
      <c r="AC53" s="3"/>
      <c r="AD53" s="3"/>
      <c r="AE53" s="3"/>
      <c r="AF53" s="3"/>
      <c r="AG53" s="3"/>
      <c r="AH53" s="3"/>
      <c r="AI53" s="3"/>
      <c r="AJ53" s="3"/>
      <c r="AK53" s="3"/>
      <c r="AL53" s="3"/>
      <c r="AM53" s="3"/>
      <c r="AN53" s="3"/>
      <c r="AO53" s="3"/>
      <c r="AP53" s="3"/>
      <c r="AQ53" s="3"/>
      <c r="AR53" s="3"/>
      <c r="AS53" s="3"/>
      <c r="AT53" s="3"/>
    </row>
    <row r="54" spans="2:46" x14ac:dyDescent="0.3">
      <c r="B54" s="6"/>
      <c r="C54" s="29">
        <f>(1-Inputs!K5)*Inputs!A7</f>
        <v>0</v>
      </c>
      <c r="D54" s="13" t="s">
        <v>374</v>
      </c>
      <c r="E54" s="13"/>
      <c r="H54">
        <f>Cellulose_Ratio-Glucose_DAH</f>
        <v>7.676350000000004E-2</v>
      </c>
      <c r="I54" t="s">
        <v>131</v>
      </c>
      <c r="L54" s="3"/>
      <c r="M54" s="3"/>
      <c r="N54" s="3"/>
      <c r="O54" s="65"/>
      <c r="Q54" s="3"/>
      <c r="R54" s="3"/>
      <c r="S54" s="3"/>
      <c r="T54" s="3"/>
      <c r="V54" s="3"/>
      <c r="W54" s="3"/>
      <c r="X54" s="3"/>
      <c r="Y54" s="3"/>
      <c r="Z54" s="3"/>
      <c r="AA54" s="3"/>
      <c r="AB54" s="3"/>
      <c r="AC54" s="3"/>
      <c r="AD54" s="3"/>
      <c r="AE54" s="3"/>
      <c r="AF54" s="3"/>
      <c r="AG54" s="3"/>
      <c r="AH54" s="3"/>
      <c r="AI54" s="3"/>
      <c r="AJ54" s="3"/>
      <c r="AK54" s="3"/>
      <c r="AL54" s="3"/>
      <c r="AM54" s="3"/>
      <c r="AN54" s="3"/>
      <c r="AO54" s="3"/>
      <c r="AP54" s="3"/>
      <c r="AQ54" s="3"/>
      <c r="AR54" s="3"/>
      <c r="AS54" s="3"/>
      <c r="AT54" s="3"/>
    </row>
    <row r="55" spans="2:46" x14ac:dyDescent="0.3">
      <c r="B55" s="6"/>
      <c r="C55" s="29">
        <f>(1-Inputs!K6)*Inputs!A8</f>
        <v>0</v>
      </c>
      <c r="D55" s="13" t="s">
        <v>375</v>
      </c>
      <c r="E55" s="13"/>
      <c r="H55">
        <f>Hemicellulose_Ratio*H49</f>
        <v>0.21031300000000003</v>
      </c>
      <c r="I55" t="s">
        <v>141</v>
      </c>
      <c r="L55" s="3"/>
      <c r="M55" s="3"/>
      <c r="N55" s="3"/>
      <c r="O55" s="65"/>
      <c r="Q55" s="3"/>
      <c r="R55" s="3"/>
      <c r="S55" s="3"/>
      <c r="T55" s="3"/>
      <c r="V55" s="3"/>
      <c r="W55" s="3"/>
      <c r="X55" s="3"/>
      <c r="Y55" s="3"/>
      <c r="Z55" s="3"/>
      <c r="AA55" s="3"/>
      <c r="AB55" s="3"/>
      <c r="AC55" s="3"/>
      <c r="AD55" s="3"/>
      <c r="AE55" s="3"/>
      <c r="AF55" s="3"/>
      <c r="AG55" s="3"/>
      <c r="AH55" s="3"/>
      <c r="AI55" s="3"/>
      <c r="AJ55" s="3"/>
      <c r="AK55" s="3"/>
      <c r="AL55" s="3"/>
      <c r="AM55" s="3"/>
      <c r="AN55" s="3"/>
      <c r="AO55" s="3"/>
      <c r="AP55" s="3"/>
      <c r="AQ55" s="3"/>
      <c r="AR55" s="3"/>
      <c r="AS55" s="3"/>
      <c r="AT55" s="3"/>
    </row>
    <row r="56" spans="2:46" x14ac:dyDescent="0.3">
      <c r="B56" s="6"/>
      <c r="C56" s="23"/>
      <c r="D56" s="13"/>
      <c r="E56" s="13"/>
      <c r="H56">
        <f>Hemicellulose_Ratio-Xylose_DAH</f>
        <v>0.10358699999999998</v>
      </c>
      <c r="I56" t="s">
        <v>132</v>
      </c>
      <c r="L56" s="3"/>
      <c r="M56" s="3"/>
      <c r="N56" s="3"/>
      <c r="O56" s="65"/>
      <c r="Q56" s="3"/>
      <c r="R56" s="3"/>
      <c r="S56" s="3"/>
      <c r="T56" s="3"/>
      <c r="V56" s="3"/>
      <c r="W56" s="3"/>
      <c r="X56" s="3"/>
      <c r="Y56" s="3"/>
      <c r="Z56" s="3"/>
      <c r="AA56" s="3"/>
      <c r="AB56" s="3"/>
      <c r="AC56" s="3"/>
      <c r="AD56" s="3"/>
      <c r="AE56" s="3"/>
      <c r="AF56" s="3"/>
      <c r="AG56" s="3"/>
      <c r="AH56" s="3"/>
      <c r="AI56" s="3"/>
      <c r="AJ56" s="3"/>
      <c r="AK56" s="3"/>
      <c r="AL56" s="3"/>
      <c r="AM56" s="3"/>
      <c r="AN56" s="3"/>
      <c r="AO56" s="3"/>
      <c r="AP56" s="3"/>
      <c r="AQ56" s="3"/>
      <c r="AR56" s="3"/>
      <c r="AS56" s="3"/>
      <c r="AT56" s="3"/>
    </row>
    <row r="57" spans="2:46" x14ac:dyDescent="0.3">
      <c r="B57" s="267" t="s">
        <v>16</v>
      </c>
      <c r="C57" s="267"/>
      <c r="D57" s="267"/>
      <c r="E57" s="267"/>
      <c r="H57">
        <f>Lignin_Ratio</f>
        <v>6.3399999999999998E-2</v>
      </c>
      <c r="I57" t="s">
        <v>133</v>
      </c>
      <c r="L57" s="3"/>
      <c r="M57" s="3"/>
      <c r="N57" s="3"/>
      <c r="O57" s="65"/>
      <c r="Q57" s="3"/>
      <c r="R57" s="3"/>
      <c r="S57" s="3"/>
      <c r="T57" s="3"/>
      <c r="V57" s="3"/>
      <c r="W57" s="3"/>
      <c r="X57" s="3"/>
      <c r="Y57" s="3"/>
      <c r="Z57" s="3"/>
      <c r="AA57" s="3"/>
      <c r="AB57" s="3"/>
      <c r="AC57" s="3"/>
      <c r="AD57" s="3"/>
      <c r="AE57" s="3"/>
      <c r="AF57" s="3"/>
      <c r="AG57" s="3"/>
      <c r="AH57" s="3"/>
      <c r="AI57" s="3"/>
      <c r="AJ57" s="3"/>
      <c r="AK57" s="3"/>
      <c r="AL57" s="3"/>
      <c r="AM57" s="3"/>
      <c r="AN57" s="3"/>
      <c r="AO57" s="3"/>
      <c r="AP57" s="3"/>
      <c r="AQ57" s="3"/>
      <c r="AR57" s="3"/>
      <c r="AS57" s="3"/>
      <c r="AT57" s="3"/>
    </row>
    <row r="58" spans="2:46" x14ac:dyDescent="0.3">
      <c r="C58" s="269" t="s">
        <v>12</v>
      </c>
      <c r="D58" s="269"/>
      <c r="E58" s="8"/>
      <c r="H58">
        <f>Extractives_Ratio</f>
        <v>0.16950000000000001</v>
      </c>
      <c r="I58" t="s">
        <v>135</v>
      </c>
      <c r="L58" s="3"/>
      <c r="M58" s="3"/>
      <c r="N58" s="3"/>
      <c r="O58" s="65"/>
      <c r="Q58" s="3"/>
      <c r="R58" s="3"/>
      <c r="S58" s="3"/>
      <c r="T58" s="3"/>
      <c r="V58" s="3"/>
      <c r="W58" s="3"/>
      <c r="X58" s="3"/>
      <c r="Y58" s="3"/>
      <c r="Z58" s="3"/>
      <c r="AA58" s="3"/>
      <c r="AB58" s="3"/>
      <c r="AC58" s="3"/>
      <c r="AD58" s="3"/>
      <c r="AE58" s="3"/>
      <c r="AF58" s="3"/>
      <c r="AG58" s="3"/>
      <c r="AH58" s="3"/>
      <c r="AI58" s="3"/>
      <c r="AJ58" s="3"/>
      <c r="AK58" s="3"/>
      <c r="AL58" s="3"/>
      <c r="AM58" s="3"/>
      <c r="AN58" s="3"/>
      <c r="AO58" s="3"/>
      <c r="AP58" s="3"/>
      <c r="AQ58" s="3"/>
      <c r="AR58" s="3"/>
      <c r="AS58" s="3"/>
      <c r="AT58" s="3"/>
    </row>
    <row r="59" spans="2:46" x14ac:dyDescent="0.3">
      <c r="B59" s="4" t="s">
        <v>38</v>
      </c>
      <c r="C59" s="6">
        <v>452.3</v>
      </c>
      <c r="D59" t="s">
        <v>51</v>
      </c>
      <c r="H59">
        <f>Ash_Ratio</f>
        <v>4.2700000000000002E-2</v>
      </c>
      <c r="I59" t="s">
        <v>134</v>
      </c>
      <c r="L59" s="3"/>
      <c r="M59" s="3"/>
      <c r="N59" s="3"/>
      <c r="O59" s="65"/>
      <c r="Q59" s="3"/>
      <c r="R59" s="3"/>
      <c r="S59" s="3"/>
      <c r="T59" s="3"/>
      <c r="V59" s="3"/>
      <c r="W59" s="3"/>
      <c r="X59" s="3"/>
      <c r="Y59" s="3"/>
      <c r="Z59" s="3"/>
      <c r="AA59" s="3"/>
      <c r="AB59" s="3"/>
      <c r="AC59" s="3"/>
      <c r="AD59" s="3"/>
      <c r="AE59" s="3"/>
      <c r="AF59" s="3"/>
      <c r="AG59" s="3"/>
      <c r="AH59" s="3"/>
      <c r="AI59" s="3"/>
      <c r="AJ59" s="3"/>
      <c r="AK59" s="3"/>
      <c r="AL59" s="3"/>
      <c r="AM59" s="3"/>
      <c r="AN59" s="3"/>
      <c r="AO59" s="3"/>
      <c r="AP59" s="3"/>
      <c r="AQ59" s="3"/>
      <c r="AR59" s="3"/>
      <c r="AS59" s="3"/>
      <c r="AT59" s="3"/>
    </row>
    <row r="60" spans="2:46" x14ac:dyDescent="0.3">
      <c r="B60" s="6"/>
      <c r="L60" s="3"/>
      <c r="M60" s="3"/>
      <c r="N60" s="3"/>
      <c r="O60" s="65"/>
      <c r="Q60" s="3"/>
      <c r="R60" s="3"/>
      <c r="S60" s="3"/>
      <c r="T60" s="3"/>
      <c r="V60" s="3"/>
      <c r="W60" s="3"/>
      <c r="X60" s="3"/>
      <c r="Y60" s="3"/>
      <c r="Z60" s="3"/>
      <c r="AA60" s="3"/>
      <c r="AB60" s="3"/>
      <c r="AC60" s="3"/>
      <c r="AD60" s="3"/>
      <c r="AE60" s="3"/>
      <c r="AF60" s="3"/>
      <c r="AG60" s="3"/>
      <c r="AH60" s="3"/>
      <c r="AI60" s="3"/>
      <c r="AJ60" s="3"/>
      <c r="AK60" s="3"/>
      <c r="AL60" s="3"/>
      <c r="AM60" s="3"/>
      <c r="AN60" s="3"/>
      <c r="AO60" s="3"/>
      <c r="AP60" s="3"/>
      <c r="AQ60" s="3"/>
      <c r="AR60" s="3"/>
      <c r="AS60" s="3"/>
      <c r="AT60" s="3"/>
    </row>
    <row r="61" spans="2:46" x14ac:dyDescent="0.3">
      <c r="B61" s="6"/>
      <c r="C61" s="265" t="s">
        <v>30</v>
      </c>
      <c r="D61" s="265"/>
      <c r="F61" s="18" t="s">
        <v>17</v>
      </c>
      <c r="H61" s="269" t="s">
        <v>27</v>
      </c>
      <c r="I61" s="269"/>
      <c r="L61" s="3"/>
      <c r="M61" s="3"/>
      <c r="N61" s="3"/>
      <c r="O61" s="65"/>
      <c r="Q61" s="3"/>
      <c r="R61" s="3"/>
      <c r="S61" s="3"/>
      <c r="T61" s="3"/>
      <c r="V61" s="3"/>
      <c r="W61" s="3"/>
      <c r="X61" s="3"/>
      <c r="Y61" s="3"/>
      <c r="Z61" s="3"/>
      <c r="AA61" s="3"/>
      <c r="AB61" s="3"/>
      <c r="AC61" s="3"/>
      <c r="AD61" s="3"/>
      <c r="AE61" s="3"/>
      <c r="AF61" s="3"/>
      <c r="AG61" s="3"/>
      <c r="AH61" s="3"/>
      <c r="AI61" s="3"/>
      <c r="AJ61" s="3"/>
      <c r="AK61" s="3"/>
      <c r="AL61" s="3"/>
      <c r="AM61" s="3"/>
      <c r="AN61" s="3"/>
      <c r="AO61" s="3"/>
      <c r="AP61" s="3"/>
      <c r="AQ61" s="3"/>
      <c r="AR61" s="3"/>
      <c r="AS61" s="3"/>
      <c r="AT61" s="3"/>
    </row>
    <row r="62" spans="2:46" x14ac:dyDescent="0.3">
      <c r="B62" s="6"/>
      <c r="C62" s="6">
        <v>183.04</v>
      </c>
      <c r="D62" t="s">
        <v>37</v>
      </c>
      <c r="E62" t="s">
        <v>41</v>
      </c>
      <c r="H62" s="22">
        <f>Biomass_Input_To_DAH*Mass_Passthrough_DAH</f>
        <v>4591.5412689999994</v>
      </c>
      <c r="I62" t="s">
        <v>146</v>
      </c>
      <c r="L62" s="3"/>
      <c r="M62" s="3"/>
      <c r="N62" s="3"/>
      <c r="O62" s="65"/>
      <c r="Q62" s="3"/>
      <c r="R62" s="3"/>
      <c r="S62" s="3"/>
      <c r="T62" s="3"/>
      <c r="V62" s="3"/>
      <c r="W62" s="3"/>
      <c r="X62" s="3"/>
      <c r="Y62" s="3"/>
      <c r="Z62" s="3"/>
      <c r="AA62" s="3"/>
      <c r="AB62" s="3"/>
      <c r="AC62" s="3"/>
      <c r="AD62" s="3"/>
      <c r="AE62" s="3"/>
      <c r="AF62" s="3"/>
      <c r="AG62" s="3"/>
      <c r="AH62" s="3"/>
      <c r="AI62" s="3"/>
      <c r="AJ62" s="3"/>
      <c r="AK62" s="3"/>
      <c r="AL62" s="3"/>
      <c r="AM62" s="3"/>
      <c r="AN62" s="3"/>
      <c r="AO62" s="3"/>
      <c r="AP62" s="3"/>
      <c r="AQ62" s="3"/>
      <c r="AR62" s="3"/>
      <c r="AS62" s="3"/>
      <c r="AT62" s="3"/>
    </row>
    <row r="63" spans="2:46" x14ac:dyDescent="0.3">
      <c r="B63" s="6"/>
      <c r="C63" s="6">
        <f>Est_Lime_Per_Acre*'Conversions Page'!D6</f>
        <v>452.30099199999995</v>
      </c>
      <c r="D63" s="10" t="s">
        <v>51</v>
      </c>
      <c r="E63" s="14" t="s">
        <v>15</v>
      </c>
      <c r="H63" s="22">
        <f>Biomass_Input_To_DAH+Dilution_Water_Added+Acid_Per_ha+Base_Per_ha</f>
        <v>23798.214763842781</v>
      </c>
      <c r="I63" t="s">
        <v>145</v>
      </c>
      <c r="L63" s="3"/>
      <c r="M63" s="3"/>
      <c r="N63" s="3"/>
      <c r="O63" s="65"/>
      <c r="Q63" s="3"/>
      <c r="R63" s="3"/>
      <c r="S63" s="3"/>
      <c r="T63" s="3"/>
      <c r="V63" s="3"/>
      <c r="W63" s="3"/>
      <c r="X63" s="3"/>
      <c r="Y63" s="3"/>
      <c r="Z63" s="3"/>
      <c r="AA63" s="3"/>
      <c r="AB63" s="3"/>
      <c r="AC63" s="3"/>
      <c r="AD63" s="3"/>
      <c r="AE63" s="3"/>
      <c r="AF63" s="3"/>
      <c r="AG63" s="3"/>
      <c r="AH63" s="3"/>
      <c r="AI63" s="3"/>
      <c r="AJ63" s="3"/>
      <c r="AK63" s="3"/>
      <c r="AL63" s="3"/>
      <c r="AM63" s="3"/>
      <c r="AN63" s="3"/>
      <c r="AO63" s="3"/>
      <c r="AP63" s="3"/>
      <c r="AQ63" s="3"/>
      <c r="AR63" s="3"/>
      <c r="AS63" s="3"/>
      <c r="AT63" s="3"/>
    </row>
    <row r="64" spans="2:46" x14ac:dyDescent="0.3">
      <c r="B64" s="6"/>
      <c r="C64" s="10"/>
      <c r="H64" s="22">
        <f>PreHydrolysate_Slurry-DAH_Stover_Content</f>
        <v>19206.673494842784</v>
      </c>
      <c r="I64" t="s">
        <v>370</v>
      </c>
      <c r="L64" s="3"/>
      <c r="M64" s="3"/>
      <c r="N64" s="3"/>
      <c r="O64" s="65"/>
      <c r="Q64" s="3"/>
      <c r="R64" s="3"/>
      <c r="S64" s="3"/>
      <c r="T64" s="3"/>
      <c r="V64" s="3"/>
      <c r="W64" s="3"/>
      <c r="X64" s="3"/>
      <c r="Y64" s="3"/>
      <c r="Z64" s="3"/>
      <c r="AA64" s="3"/>
      <c r="AB64" s="3"/>
      <c r="AC64" s="3"/>
      <c r="AD64" s="3"/>
      <c r="AE64" s="3"/>
      <c r="AF64" s="3"/>
      <c r="AG64" s="3"/>
      <c r="AH64" s="3"/>
      <c r="AI64" s="3"/>
      <c r="AJ64" s="3"/>
      <c r="AK64" s="3"/>
      <c r="AL64" s="3"/>
      <c r="AM64" s="3"/>
      <c r="AN64" s="3"/>
      <c r="AO64" s="3"/>
      <c r="AP64" s="3"/>
      <c r="AQ64" s="3"/>
      <c r="AR64" s="3"/>
      <c r="AS64" s="3"/>
      <c r="AT64" s="3"/>
    </row>
    <row r="65" spans="2:49" x14ac:dyDescent="0.3">
      <c r="B65" s="6"/>
      <c r="C65" s="276" t="s">
        <v>27</v>
      </c>
      <c r="D65" s="276"/>
      <c r="E65" s="8"/>
      <c r="H65" s="22">
        <f>H17-(H17*Mass_Passthrough_DAH)</f>
        <v>55.551514716000156</v>
      </c>
      <c r="I65" t="s">
        <v>527</v>
      </c>
      <c r="L65" s="3"/>
      <c r="M65" s="3"/>
      <c r="N65" s="3"/>
      <c r="O65" s="65"/>
      <c r="Q65" s="3"/>
      <c r="R65" s="3"/>
      <c r="S65" s="3"/>
      <c r="T65" s="3"/>
      <c r="V65" s="3"/>
      <c r="W65" s="3"/>
      <c r="X65" s="3"/>
      <c r="Y65" s="3"/>
      <c r="Z65" s="3"/>
      <c r="AA65" s="3"/>
      <c r="AB65" s="3"/>
      <c r="AC65" s="3"/>
      <c r="AD65" s="3"/>
      <c r="AE65" s="3"/>
      <c r="AF65" s="3"/>
      <c r="AG65" s="3"/>
      <c r="AH65" s="3"/>
      <c r="AI65" s="3"/>
      <c r="AJ65" s="3"/>
      <c r="AK65" s="3"/>
      <c r="AL65" s="3"/>
      <c r="AM65" s="3"/>
      <c r="AN65" s="3"/>
      <c r="AO65" s="3"/>
      <c r="AP65" s="3"/>
      <c r="AQ65" s="3"/>
      <c r="AR65" s="3"/>
      <c r="AS65" s="3"/>
      <c r="AT65" s="3"/>
    </row>
    <row r="66" spans="2:49" x14ac:dyDescent="0.3">
      <c r="B66" s="6"/>
      <c r="C66" s="4">
        <f>Input_Hectares</f>
        <v>1</v>
      </c>
      <c r="D66" s="10" t="s">
        <v>49</v>
      </c>
      <c r="H66" s="22">
        <f>H17-H65</f>
        <v>2001.9119932839997</v>
      </c>
      <c r="I66" t="s">
        <v>528</v>
      </c>
      <c r="L66" s="3"/>
      <c r="M66" s="3"/>
      <c r="N66" s="3"/>
      <c r="O66" s="65"/>
      <c r="Q66" s="3"/>
      <c r="R66" s="3"/>
      <c r="S66" s="3"/>
      <c r="T66" s="3"/>
      <c r="V66" s="3"/>
      <c r="W66" s="3"/>
      <c r="X66" s="3"/>
      <c r="Y66" s="3"/>
      <c r="Z66" s="3"/>
      <c r="AA66" s="3"/>
      <c r="AB66" s="3"/>
      <c r="AC66" s="3"/>
      <c r="AD66" s="3"/>
      <c r="AE66" s="3"/>
      <c r="AF66" s="3"/>
      <c r="AG66" s="3"/>
      <c r="AH66" s="3"/>
      <c r="AI66" s="3"/>
      <c r="AJ66" s="3"/>
      <c r="AK66" s="3"/>
      <c r="AL66" s="3"/>
      <c r="AM66" s="3"/>
      <c r="AN66" s="3"/>
      <c r="AO66" s="3"/>
      <c r="AP66" s="3"/>
      <c r="AQ66" s="3"/>
      <c r="AR66" s="3"/>
      <c r="AS66" s="3"/>
      <c r="AT66" s="3"/>
    </row>
    <row r="67" spans="2:49" x14ac:dyDescent="0.3">
      <c r="B67" s="6"/>
      <c r="C67" s="4">
        <v>0</v>
      </c>
      <c r="D67" s="10" t="s">
        <v>394</v>
      </c>
      <c r="H67" s="6"/>
      <c r="L67" s="3"/>
      <c r="M67" s="3"/>
      <c r="N67" s="3"/>
      <c r="O67" s="65"/>
      <c r="Q67" s="3"/>
      <c r="R67" s="3"/>
      <c r="S67" s="3"/>
      <c r="T67" s="3"/>
      <c r="V67" s="3"/>
      <c r="W67" s="3"/>
      <c r="X67" s="3"/>
      <c r="Y67" s="3"/>
      <c r="Z67" s="3"/>
      <c r="AA67" s="3"/>
      <c r="AB67" s="3"/>
      <c r="AC67" s="3"/>
      <c r="AD67" s="3"/>
      <c r="AE67" s="3"/>
      <c r="AF67" s="3"/>
      <c r="AG67" s="3"/>
      <c r="AH67" s="3"/>
      <c r="AI67" s="3"/>
      <c r="AJ67" s="3"/>
      <c r="AK67" s="3"/>
      <c r="AL67" s="3"/>
      <c r="AM67" s="3"/>
      <c r="AN67" s="3"/>
      <c r="AO67" s="3"/>
      <c r="AP67" s="3"/>
      <c r="AQ67" s="3"/>
      <c r="AR67" s="3"/>
      <c r="AS67" s="3"/>
      <c r="AT67" s="3"/>
    </row>
    <row r="68" spans="2:49" x14ac:dyDescent="0.3">
      <c r="B68" s="6"/>
      <c r="C68" s="4"/>
      <c r="D68" s="10"/>
      <c r="G68" s="267" t="s">
        <v>3</v>
      </c>
      <c r="H68" s="267"/>
      <c r="I68" s="267"/>
      <c r="J68" s="267"/>
      <c r="L68" s="3"/>
      <c r="M68" s="3"/>
      <c r="N68" s="3"/>
      <c r="O68" s="65"/>
      <c r="Q68" s="3"/>
      <c r="R68" s="3"/>
      <c r="S68" s="3"/>
      <c r="T68" s="3"/>
      <c r="V68" s="3"/>
      <c r="W68" s="3"/>
      <c r="X68" s="3"/>
      <c r="Y68" s="3"/>
      <c r="Z68" s="3"/>
      <c r="AA68" s="3"/>
      <c r="AB68" s="3"/>
      <c r="AC68" s="3"/>
      <c r="AD68" s="3"/>
      <c r="AE68" s="3"/>
      <c r="AF68" s="3"/>
      <c r="AG68" s="3"/>
      <c r="AH68" s="3"/>
      <c r="AI68" s="3"/>
      <c r="AJ68" s="3"/>
      <c r="AK68" s="3"/>
      <c r="AL68" s="3"/>
      <c r="AM68" s="3"/>
      <c r="AN68" s="3"/>
      <c r="AO68" s="3"/>
      <c r="AP68" s="3"/>
      <c r="AQ68" s="3"/>
      <c r="AR68" s="3"/>
      <c r="AS68" s="3"/>
      <c r="AT68" s="3"/>
    </row>
    <row r="69" spans="2:49" x14ac:dyDescent="0.3">
      <c r="B69" s="267" t="s">
        <v>29</v>
      </c>
      <c r="C69" s="267"/>
      <c r="D69" s="267"/>
      <c r="E69" s="267"/>
      <c r="H69" s="269" t="s">
        <v>12</v>
      </c>
      <c r="I69" s="269"/>
      <c r="L69" s="3"/>
      <c r="M69" s="3"/>
      <c r="N69" s="3"/>
      <c r="O69" s="65"/>
      <c r="Q69" s="3"/>
      <c r="R69" s="3"/>
      <c r="S69" s="3"/>
      <c r="T69" s="3"/>
      <c r="V69" s="3"/>
      <c r="W69" s="3"/>
      <c r="X69" s="3"/>
      <c r="Y69" s="3"/>
      <c r="Z69" s="3"/>
      <c r="AA69" s="3"/>
      <c r="AB69" s="3"/>
      <c r="AC69" s="3"/>
      <c r="AD69" s="3"/>
      <c r="AE69" s="3"/>
      <c r="AF69" s="3"/>
      <c r="AG69" s="3"/>
      <c r="AH69" s="3"/>
      <c r="AI69" s="3"/>
      <c r="AJ69" s="3"/>
      <c r="AK69" s="3"/>
      <c r="AL69" s="3"/>
      <c r="AM69" s="3"/>
      <c r="AN69" s="3"/>
      <c r="AO69" s="3"/>
      <c r="AP69" s="3"/>
      <c r="AQ69" s="3"/>
      <c r="AR69" s="3"/>
      <c r="AS69" s="3"/>
      <c r="AT69" s="3"/>
    </row>
    <row r="70" spans="2:49" x14ac:dyDescent="0.3">
      <c r="C70" s="269" t="s">
        <v>12</v>
      </c>
      <c r="D70" s="269"/>
      <c r="E70" t="s">
        <v>53</v>
      </c>
      <c r="G70" s="4" t="s">
        <v>147</v>
      </c>
      <c r="H70" s="22">
        <f>DAH_Stover_Content</f>
        <v>4591.5412689999994</v>
      </c>
      <c r="I70" t="s">
        <v>146</v>
      </c>
      <c r="L70" s="3"/>
      <c r="M70" s="3"/>
      <c r="N70" s="3"/>
      <c r="O70" s="65"/>
      <c r="Q70" s="3"/>
      <c r="R70" s="3"/>
      <c r="S70" s="3"/>
      <c r="T70" s="3"/>
      <c r="V70" s="3"/>
      <c r="W70" s="3"/>
      <c r="X70" s="3"/>
      <c r="Y70" s="3"/>
      <c r="Z70" s="3"/>
      <c r="AA70" s="3"/>
      <c r="AB70" s="3"/>
      <c r="AC70" s="3"/>
      <c r="AD70" s="3"/>
      <c r="AE70" s="3"/>
      <c r="AF70" s="3"/>
      <c r="AG70" s="3"/>
      <c r="AH70" s="3"/>
      <c r="AI70" s="3"/>
      <c r="AJ70" s="3"/>
      <c r="AK70" s="3"/>
      <c r="AL70" s="3"/>
      <c r="AM70" s="3"/>
      <c r="AN70" s="3"/>
      <c r="AO70" s="3"/>
      <c r="AP70" s="3"/>
      <c r="AQ70" s="3"/>
      <c r="AR70" s="3"/>
      <c r="AS70" s="3"/>
      <c r="AT70" s="3"/>
    </row>
    <row r="71" spans="2:49" x14ac:dyDescent="0.3">
      <c r="B71" s="4" t="s">
        <v>52</v>
      </c>
      <c r="C71" s="11">
        <f>Fertilizer_Use_Input</f>
        <v>1.2130000000000001</v>
      </c>
      <c r="D71" t="s">
        <v>8</v>
      </c>
      <c r="E71" s="26" t="s">
        <v>54</v>
      </c>
      <c r="G71" s="4" t="s">
        <v>144</v>
      </c>
      <c r="H71" s="22">
        <f>PreHydrolysate_Slurry</f>
        <v>23798.214763842781</v>
      </c>
      <c r="I71" t="s">
        <v>145</v>
      </c>
      <c r="L71" s="3"/>
      <c r="M71" s="3"/>
      <c r="N71" s="3"/>
      <c r="O71" s="65"/>
      <c r="Q71" s="3"/>
      <c r="R71" s="3"/>
      <c r="S71" s="3"/>
      <c r="T71" s="3"/>
      <c r="V71" s="3"/>
      <c r="W71" s="3"/>
      <c r="X71" s="3"/>
      <c r="Y71" s="3"/>
      <c r="Z71" s="3"/>
      <c r="AA71" s="3"/>
      <c r="AB71" s="3"/>
      <c r="AC71" s="3"/>
      <c r="AD71" s="3"/>
      <c r="AE71" s="3"/>
      <c r="AF71" s="3"/>
      <c r="AG71" s="3"/>
      <c r="AH71" s="3"/>
      <c r="AI71" s="3"/>
      <c r="AJ71" s="3"/>
      <c r="AK71" s="3"/>
      <c r="AL71" s="3"/>
      <c r="AM71" s="3"/>
      <c r="AN71" s="3"/>
      <c r="AO71" s="3"/>
      <c r="AP71" s="3"/>
      <c r="AQ71" s="3"/>
      <c r="AR71" s="3"/>
      <c r="AS71" s="3"/>
      <c r="AT71" s="3"/>
    </row>
    <row r="72" spans="2:49" x14ac:dyDescent="0.3">
      <c r="B72" t="s">
        <v>553</v>
      </c>
      <c r="C72" t="s">
        <v>554</v>
      </c>
      <c r="G72" s="4" t="s">
        <v>109</v>
      </c>
      <c r="H72" s="22">
        <f>Stover_PostDAH*Ratio_Water_To_Prehydrolysate</f>
        <v>18366.165075999997</v>
      </c>
      <c r="I72" t="s">
        <v>150</v>
      </c>
      <c r="L72" s="3"/>
      <c r="M72" s="3"/>
      <c r="N72" s="3"/>
      <c r="O72" s="65"/>
      <c r="Q72" s="3"/>
      <c r="R72" s="3"/>
      <c r="S72" s="3"/>
      <c r="T72" s="3"/>
      <c r="V72" s="3"/>
      <c r="W72" s="3"/>
      <c r="X72" s="3"/>
      <c r="Y72" s="3"/>
      <c r="Z72" s="3"/>
      <c r="AA72" s="3"/>
      <c r="AB72" s="3"/>
      <c r="AC72" s="3"/>
      <c r="AD72" s="3"/>
      <c r="AE72" s="3"/>
      <c r="AF72" s="3"/>
      <c r="AG72" s="3"/>
      <c r="AH72" s="3"/>
      <c r="AI72" s="3"/>
      <c r="AJ72" s="3"/>
      <c r="AK72" s="3"/>
      <c r="AL72" s="3"/>
      <c r="AM72" s="3"/>
      <c r="AN72" s="3"/>
      <c r="AO72" s="3"/>
      <c r="AP72" s="3"/>
      <c r="AQ72" s="3"/>
      <c r="AR72" s="3"/>
      <c r="AS72" s="3"/>
      <c r="AT72" s="3"/>
    </row>
    <row r="73" spans="2:49" x14ac:dyDescent="0.3">
      <c r="C73" s="265" t="s">
        <v>30</v>
      </c>
      <c r="D73" s="265"/>
      <c r="G73" s="4" t="s">
        <v>148</v>
      </c>
      <c r="H73" s="22">
        <f>Ratio_Cellulase_To_Cellulose*Cellulose_Ratio*DAH_Stover_Content</f>
        <v>37.696553818489996</v>
      </c>
      <c r="I73" t="s">
        <v>149</v>
      </c>
      <c r="L73" s="3"/>
      <c r="M73" s="3"/>
      <c r="N73" s="3"/>
      <c r="O73" s="65"/>
      <c r="Q73" s="3"/>
      <c r="R73" s="3"/>
      <c r="S73" s="3"/>
      <c r="T73" s="3"/>
      <c r="V73" s="3"/>
      <c r="W73" s="3"/>
      <c r="X73" s="3"/>
      <c r="Y73" s="3"/>
      <c r="Z73" s="3"/>
      <c r="AA73" s="3"/>
      <c r="AB73" s="3"/>
      <c r="AC73" s="3"/>
      <c r="AD73" s="3"/>
      <c r="AE73" s="3"/>
      <c r="AF73" s="3"/>
      <c r="AG73" s="3"/>
      <c r="AH73" s="3"/>
      <c r="AI73" s="3"/>
      <c r="AJ73" s="3"/>
      <c r="AK73" s="3"/>
      <c r="AL73" s="3"/>
      <c r="AM73" s="3"/>
      <c r="AN73" s="3"/>
      <c r="AO73" s="3"/>
      <c r="AP73" s="3"/>
      <c r="AQ73" s="3"/>
      <c r="AR73" s="3"/>
      <c r="AS73" s="3"/>
      <c r="AT73" s="3"/>
    </row>
    <row r="74" spans="2:49" x14ac:dyDescent="0.3">
      <c r="C74">
        <v>1.0820000000000001</v>
      </c>
      <c r="D74" t="s">
        <v>55</v>
      </c>
      <c r="E74" s="12" t="s">
        <v>88</v>
      </c>
      <c r="F74" s="18" t="s">
        <v>17</v>
      </c>
      <c r="G74" s="4" t="s">
        <v>303</v>
      </c>
      <c r="H74" s="6">
        <f>Q_Required_Cooling_EH</f>
        <v>-600.61951339788993</v>
      </c>
      <c r="I74" t="s">
        <v>115</v>
      </c>
      <c r="L74" s="3"/>
      <c r="M74" s="3"/>
      <c r="N74" s="3"/>
      <c r="O74" s="65"/>
      <c r="Q74" s="3"/>
      <c r="R74" s="3"/>
      <c r="S74" s="3"/>
      <c r="T74" s="3"/>
      <c r="V74" s="3"/>
      <c r="W74" s="3"/>
      <c r="X74" s="3"/>
      <c r="Y74" s="3"/>
      <c r="Z74" s="3"/>
      <c r="AA74" s="3"/>
      <c r="AB74" s="3"/>
      <c r="AC74" s="3"/>
      <c r="AD74" s="3"/>
      <c r="AE74" s="3"/>
      <c r="AF74" s="3"/>
      <c r="AG74" s="3"/>
      <c r="AH74" s="3"/>
      <c r="AI74" s="3"/>
      <c r="AJ74" s="3"/>
      <c r="AK74" s="3"/>
      <c r="AL74" s="3"/>
      <c r="AM74" s="3"/>
      <c r="AN74" s="3"/>
      <c r="AO74" s="3"/>
      <c r="AP74" s="3"/>
      <c r="AQ74" s="3"/>
      <c r="AR74" s="3"/>
      <c r="AS74" s="3"/>
      <c r="AT74" s="3"/>
    </row>
    <row r="75" spans="2:49" x14ac:dyDescent="0.3">
      <c r="C75" s="11">
        <f>Lbs_Fertilizer_Per_Acre*'Conversions Page'!D9</f>
        <v>0.49070294784580498</v>
      </c>
      <c r="D75" t="s">
        <v>56</v>
      </c>
      <c r="G75" s="4" t="s">
        <v>339</v>
      </c>
      <c r="H75" s="6">
        <f>MJ_Per_ha_400</f>
        <v>50.206795130034394</v>
      </c>
      <c r="I75" t="s">
        <v>115</v>
      </c>
      <c r="L75" s="3"/>
      <c r="M75" s="3"/>
      <c r="N75" s="3"/>
      <c r="O75" s="65"/>
      <c r="Q75" s="3"/>
      <c r="R75" s="3"/>
      <c r="S75" s="3"/>
      <c r="T75" s="3"/>
      <c r="V75" s="3"/>
      <c r="W75" s="3"/>
      <c r="X75" s="3"/>
      <c r="Y75" s="3"/>
      <c r="Z75" s="3"/>
      <c r="AA75" s="3"/>
      <c r="AB75" s="3"/>
      <c r="AC75" s="3"/>
      <c r="AD75" s="3"/>
      <c r="AE75" s="3"/>
      <c r="AF75" s="3"/>
      <c r="AG75" s="3"/>
      <c r="AH75" s="3"/>
      <c r="AI75" s="3"/>
      <c r="AJ75" s="3"/>
      <c r="AK75" s="3"/>
      <c r="AL75" s="3"/>
      <c r="AM75" s="3"/>
      <c r="AN75" s="3"/>
      <c r="AO75" s="3"/>
      <c r="AP75" s="3"/>
      <c r="AQ75" s="3"/>
      <c r="AR75" s="3"/>
      <c r="AS75" s="3"/>
      <c r="AT75" s="3"/>
    </row>
    <row r="76" spans="2:49" x14ac:dyDescent="0.3">
      <c r="C76" s="11">
        <f>kg_Atrazine_Per_Acre*'Conversions Page'!D6</f>
        <v>1.2125515192743763</v>
      </c>
      <c r="D76" t="s">
        <v>57</v>
      </c>
      <c r="G76" s="4"/>
      <c r="L76" s="3"/>
      <c r="M76" s="3"/>
      <c r="N76" s="3"/>
      <c r="O76" s="65"/>
      <c r="Q76" s="3"/>
      <c r="R76" s="3"/>
      <c r="S76" s="3"/>
      <c r="T76" s="3"/>
      <c r="V76" s="3"/>
      <c r="W76" s="3"/>
      <c r="X76" s="3"/>
      <c r="Y76" s="3"/>
      <c r="Z76" s="3"/>
      <c r="AA76" s="3"/>
      <c r="AB76" s="3"/>
      <c r="AC76" s="3"/>
      <c r="AD76" s="3"/>
      <c r="AE76" s="3"/>
      <c r="AF76" s="3"/>
      <c r="AG76" s="3"/>
      <c r="AH76" s="3"/>
      <c r="AI76" s="3"/>
      <c r="AJ76" s="3"/>
      <c r="AK76" s="3"/>
      <c r="AL76" s="3"/>
      <c r="AM76" s="3"/>
      <c r="AN76" s="3"/>
      <c r="AO76" s="3"/>
      <c r="AP76" s="3"/>
      <c r="AQ76" s="3"/>
      <c r="AR76" s="3"/>
      <c r="AS76" s="3"/>
      <c r="AT76" s="3"/>
    </row>
    <row r="77" spans="2:49" x14ac:dyDescent="0.3">
      <c r="E77" s="7"/>
      <c r="G77" s="4"/>
      <c r="H77" s="265" t="s">
        <v>30</v>
      </c>
      <c r="I77" s="265"/>
      <c r="J77" s="12" t="s">
        <v>153</v>
      </c>
      <c r="L77" s="3"/>
      <c r="M77" s="3"/>
      <c r="N77" s="3"/>
      <c r="O77" s="65"/>
      <c r="Q77" s="3"/>
      <c r="R77" s="3"/>
      <c r="S77" s="3"/>
      <c r="T77" s="3"/>
      <c r="V77" s="3"/>
      <c r="W77" s="3"/>
      <c r="X77" s="3"/>
      <c r="Y77" s="3"/>
      <c r="Z77" s="3"/>
      <c r="AA77" s="3"/>
      <c r="AB77" s="3"/>
      <c r="AC77" s="3"/>
      <c r="AD77" s="3"/>
      <c r="AE77" s="3"/>
      <c r="AF77" s="3"/>
      <c r="AG77" s="3"/>
      <c r="AH77" s="3"/>
      <c r="AI77" s="3"/>
      <c r="AJ77" s="3"/>
      <c r="AK77" s="3"/>
      <c r="AL77" s="3"/>
      <c r="AM77" s="3"/>
      <c r="AN77" s="3"/>
      <c r="AO77" s="3"/>
      <c r="AP77" s="3"/>
      <c r="AQ77" s="3"/>
      <c r="AR77" s="3"/>
      <c r="AS77" s="3"/>
      <c r="AT77" s="3"/>
    </row>
    <row r="78" spans="2:49" x14ac:dyDescent="0.3">
      <c r="C78" s="269" t="s">
        <v>27</v>
      </c>
      <c r="D78" s="269"/>
      <c r="G78" s="4"/>
      <c r="H78">
        <v>4</v>
      </c>
      <c r="I78" t="s">
        <v>151</v>
      </c>
      <c r="L78" s="3"/>
      <c r="M78" s="3"/>
      <c r="N78" s="3"/>
      <c r="O78" s="65"/>
      <c r="Q78" s="3"/>
      <c r="R78" s="3"/>
      <c r="S78" s="3"/>
      <c r="T78" s="3"/>
      <c r="V78" s="3"/>
      <c r="W78" s="3"/>
      <c r="X78" s="3"/>
      <c r="Y78" s="3"/>
      <c r="Z78" s="3"/>
      <c r="AA78" s="3"/>
      <c r="AB78" s="3"/>
      <c r="AC78" s="3"/>
      <c r="AD78" s="3"/>
      <c r="AE78" s="3"/>
      <c r="AF78" s="3"/>
      <c r="AG78" s="3"/>
      <c r="AH78" s="3"/>
      <c r="AI78" s="3"/>
      <c r="AJ78" s="3"/>
      <c r="AK78" s="3"/>
      <c r="AL78" s="3"/>
      <c r="AM78" s="3"/>
      <c r="AN78" s="3"/>
      <c r="AO78" s="3"/>
      <c r="AP78" s="3"/>
      <c r="AQ78" s="3"/>
      <c r="AR78" s="3"/>
      <c r="AS78" s="3"/>
      <c r="AT78" s="3"/>
    </row>
    <row r="79" spans="2:49" x14ac:dyDescent="0.3">
      <c r="C79">
        <f>Input_Hectares</f>
        <v>1</v>
      </c>
      <c r="D79" t="s">
        <v>58</v>
      </c>
      <c r="G79" s="4"/>
      <c r="H79">
        <v>0.02</v>
      </c>
      <c r="I79" t="s">
        <v>152</v>
      </c>
      <c r="L79" s="3"/>
      <c r="M79" s="3"/>
      <c r="N79" s="3"/>
      <c r="O79" s="65"/>
      <c r="Q79" s="3"/>
      <c r="R79" s="3"/>
      <c r="S79" s="3"/>
      <c r="T79" s="3"/>
      <c r="V79" s="3"/>
      <c r="W79" s="3"/>
      <c r="X79" s="3"/>
      <c r="Y79" s="3"/>
      <c r="Z79" s="3"/>
      <c r="AA79" s="3"/>
      <c r="AB79" s="3"/>
      <c r="AC79" s="3"/>
      <c r="AD79" s="3"/>
      <c r="AE79" s="3"/>
      <c r="AF79" s="3"/>
      <c r="AG79" s="3"/>
      <c r="AH79" s="3"/>
      <c r="AI79" s="3"/>
      <c r="AJ79" s="3"/>
      <c r="AK79" s="3"/>
      <c r="AL79" s="3"/>
      <c r="AM79" s="3"/>
      <c r="AN79" s="3"/>
      <c r="AO79" s="3"/>
      <c r="AP79" s="3"/>
      <c r="AQ79" s="3"/>
      <c r="AR79" s="3"/>
      <c r="AS79" s="3"/>
      <c r="AT79" s="3"/>
    </row>
    <row r="80" spans="2:49" x14ac:dyDescent="0.3">
      <c r="C80">
        <v>0</v>
      </c>
      <c r="D80" t="s">
        <v>397</v>
      </c>
      <c r="G80" s="4"/>
      <c r="H80">
        <v>175</v>
      </c>
      <c r="I80" t="s">
        <v>154</v>
      </c>
      <c r="L80" s="3"/>
      <c r="M80" s="3"/>
      <c r="N80" s="3"/>
      <c r="O80" s="65"/>
      <c r="Q80" s="3"/>
      <c r="R80" s="3"/>
      <c r="S80" s="3"/>
      <c r="T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row>
    <row r="81" spans="2:49" x14ac:dyDescent="0.3">
      <c r="D81" s="10"/>
      <c r="G81" s="4"/>
      <c r="H81">
        <v>48</v>
      </c>
      <c r="I81" t="s">
        <v>155</v>
      </c>
      <c r="L81" s="3"/>
      <c r="M81" s="3"/>
      <c r="N81" s="3"/>
      <c r="O81" s="65"/>
      <c r="Q81" s="3"/>
      <c r="R81" s="3"/>
      <c r="S81" s="3"/>
      <c r="T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row>
    <row r="82" spans="2:49" x14ac:dyDescent="0.3">
      <c r="B82" s="267" t="s">
        <v>418</v>
      </c>
      <c r="C82" s="267"/>
      <c r="D82" s="267"/>
      <c r="E82" s="267"/>
      <c r="G82" s="4"/>
      <c r="H82" s="6">
        <f>(Stover_PostDAH*C_P_Stover*(Final_Slurry_temp_ForEH-Inital_Slurry_temp_PostDAH))/1000</f>
        <v>-600.61951339788993</v>
      </c>
      <c r="I82" t="s">
        <v>304</v>
      </c>
      <c r="L82" s="3"/>
      <c r="M82" s="3"/>
      <c r="N82" s="3"/>
      <c r="O82" s="65"/>
      <c r="Q82" s="3"/>
      <c r="R82" s="3"/>
      <c r="S82" s="3"/>
      <c r="T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row>
    <row r="83" spans="2:49" x14ac:dyDescent="0.3">
      <c r="C83" s="279" t="s">
        <v>12</v>
      </c>
      <c r="D83" s="279"/>
      <c r="G83" s="4"/>
      <c r="L83" s="3"/>
      <c r="M83" s="3"/>
      <c r="N83" s="3"/>
      <c r="O83" s="65"/>
      <c r="Q83" s="3"/>
      <c r="R83" s="3"/>
      <c r="S83" s="3"/>
      <c r="T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row>
    <row r="84" spans="2:49" x14ac:dyDescent="0.3">
      <c r="B84" s="4" t="s">
        <v>59</v>
      </c>
      <c r="C84" s="11">
        <v>2.9649999999999999</v>
      </c>
      <c r="D84" s="10" t="s">
        <v>60</v>
      </c>
      <c r="E84" t="s">
        <v>555</v>
      </c>
      <c r="G84" s="265" t="s">
        <v>137</v>
      </c>
      <c r="H84" s="265"/>
      <c r="I84" s="265"/>
      <c r="J84" s="265"/>
      <c r="L84" s="3"/>
      <c r="M84" s="3"/>
      <c r="N84" s="3"/>
      <c r="O84" s="65"/>
      <c r="Q84" s="3"/>
      <c r="R84" s="3"/>
      <c r="S84" s="3"/>
      <c r="T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row>
    <row r="85" spans="2:49" x14ac:dyDescent="0.3">
      <c r="B85" s="4" t="s">
        <v>66</v>
      </c>
      <c r="C85" s="11">
        <v>56.124000000000002</v>
      </c>
      <c r="D85" s="10" t="s">
        <v>77</v>
      </c>
      <c r="G85" s="4"/>
      <c r="H85">
        <f>Glucose_DAH</f>
        <v>0.33373649999999994</v>
      </c>
      <c r="I85" t="s">
        <v>140</v>
      </c>
      <c r="L85" s="3"/>
      <c r="M85" s="3"/>
      <c r="N85" s="3"/>
      <c r="O85" s="65"/>
      <c r="Q85" s="3"/>
      <c r="R85" s="3"/>
      <c r="S85" s="3"/>
      <c r="T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row>
    <row r="86" spans="2:49" x14ac:dyDescent="0.3">
      <c r="B86" s="4"/>
      <c r="C86" s="11"/>
      <c r="D86" s="10"/>
      <c r="G86" s="4"/>
      <c r="H86">
        <f>Cellulose_Ratio-Glucose_DAH</f>
        <v>7.676350000000004E-2</v>
      </c>
      <c r="I86" t="s">
        <v>131</v>
      </c>
      <c r="L86" s="3"/>
      <c r="M86" s="3"/>
      <c r="N86" s="3"/>
      <c r="O86" s="65"/>
      <c r="Q86" s="3"/>
      <c r="R86" s="3"/>
      <c r="S86" s="3"/>
      <c r="T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row>
    <row r="87" spans="2:49" x14ac:dyDescent="0.3">
      <c r="B87" s="4"/>
      <c r="C87" s="280" t="s">
        <v>30</v>
      </c>
      <c r="D87" s="280"/>
      <c r="H87">
        <f>Xylose_DAH</f>
        <v>0.21031300000000003</v>
      </c>
      <c r="I87" t="s">
        <v>141</v>
      </c>
      <c r="L87" s="3"/>
      <c r="M87" s="3"/>
      <c r="N87" s="3"/>
      <c r="O87" s="65"/>
      <c r="Q87" s="3"/>
      <c r="R87" s="3"/>
      <c r="S87" s="3"/>
      <c r="T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row>
    <row r="88" spans="2:49" x14ac:dyDescent="0.3">
      <c r="B88" s="4"/>
      <c r="C88" s="11">
        <v>1.2</v>
      </c>
      <c r="D88" s="10" t="s">
        <v>67</v>
      </c>
      <c r="E88" s="25" t="s">
        <v>68</v>
      </c>
      <c r="H88">
        <f>Hemicellulose_Ratio-Xylose_DAH</f>
        <v>0.10358699999999998</v>
      </c>
      <c r="I88" t="s">
        <v>132</v>
      </c>
      <c r="L88" s="3"/>
      <c r="M88" s="3"/>
      <c r="N88" s="3"/>
      <c r="O88" s="65"/>
      <c r="Q88" s="3"/>
      <c r="R88" s="3"/>
      <c r="S88" s="3"/>
      <c r="T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row>
    <row r="89" spans="2:49" x14ac:dyDescent="0.3">
      <c r="B89" s="4"/>
      <c r="C89" s="11">
        <f>Hours_Labor_Per_Acre*'Conversions Page'!D6</f>
        <v>2.9652599999999998</v>
      </c>
      <c r="D89" s="10" t="s">
        <v>60</v>
      </c>
      <c r="E89" s="25"/>
      <c r="H89">
        <f>Lignin_Ratio</f>
        <v>6.3399999999999998E-2</v>
      </c>
      <c r="I89" t="s">
        <v>133</v>
      </c>
      <c r="L89" s="3"/>
      <c r="M89" s="3"/>
      <c r="N89" s="3"/>
      <c r="O89" s="65"/>
      <c r="Q89" s="3"/>
      <c r="R89" s="3"/>
      <c r="S89" s="3"/>
      <c r="T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row>
    <row r="90" spans="2:49" x14ac:dyDescent="0.3">
      <c r="B90" s="4"/>
      <c r="C90" s="11">
        <v>6</v>
      </c>
      <c r="D90" s="10" t="s">
        <v>69</v>
      </c>
      <c r="E90" s="25"/>
      <c r="H90">
        <f>Extractives_Ratio</f>
        <v>0.16950000000000001</v>
      </c>
      <c r="I90" t="s">
        <v>135</v>
      </c>
      <c r="L90" s="3"/>
      <c r="M90" s="3"/>
      <c r="N90" s="3"/>
      <c r="O90" s="65"/>
      <c r="Q90" s="3"/>
      <c r="R90" s="3"/>
      <c r="S90" s="3"/>
      <c r="T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row>
    <row r="91" spans="2:49" x14ac:dyDescent="0.3">
      <c r="B91" s="4"/>
      <c r="C91" s="11">
        <f>Approx_Gal_Diesel_Per_Acre*'Conversions Page'!D6</f>
        <v>14.8263</v>
      </c>
      <c r="D91" s="10" t="s">
        <v>70</v>
      </c>
      <c r="E91" s="25"/>
      <c r="H91">
        <f>Ash_Ratio</f>
        <v>4.2700000000000002E-2</v>
      </c>
      <c r="I91" t="s">
        <v>134</v>
      </c>
      <c r="L91" s="3"/>
      <c r="M91" s="3"/>
      <c r="N91" s="3"/>
      <c r="O91" s="65"/>
      <c r="Q91" s="3"/>
      <c r="R91" s="3"/>
      <c r="S91" s="3"/>
      <c r="T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row>
    <row r="92" spans="2:49" x14ac:dyDescent="0.3">
      <c r="B92" s="4">
        <v>128</v>
      </c>
      <c r="C92" s="11">
        <f>C91*'Conversions Page'!D13</f>
        <v>56.123624283000005</v>
      </c>
      <c r="D92" s="10" t="s">
        <v>71</v>
      </c>
      <c r="E92" s="25"/>
      <c r="L92" s="3"/>
      <c r="M92" s="3"/>
      <c r="N92" s="3"/>
      <c r="O92" s="65"/>
      <c r="Q92" s="3"/>
      <c r="R92" s="3"/>
      <c r="S92" s="3"/>
      <c r="T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row>
    <row r="93" spans="2:49" x14ac:dyDescent="0.3">
      <c r="E93" s="7"/>
      <c r="G93" s="4" t="s">
        <v>156</v>
      </c>
      <c r="H93" s="32">
        <v>0.95199999999999996</v>
      </c>
      <c r="I93" t="s">
        <v>157</v>
      </c>
      <c r="J93" s="17" t="s">
        <v>153</v>
      </c>
      <c r="L93" s="3"/>
      <c r="M93" s="3"/>
      <c r="N93" s="3"/>
      <c r="O93" s="65"/>
      <c r="Q93" s="3"/>
      <c r="R93" s="3"/>
      <c r="S93" s="3"/>
      <c r="T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row>
    <row r="94" spans="2:49" x14ac:dyDescent="0.3">
      <c r="C94" s="269" t="s">
        <v>27</v>
      </c>
      <c r="D94" s="269"/>
      <c r="L94" s="3"/>
      <c r="M94" s="3"/>
      <c r="N94" s="3"/>
      <c r="O94" s="65"/>
      <c r="Q94" s="3"/>
      <c r="R94" s="3"/>
      <c r="S94" s="3"/>
      <c r="T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row>
    <row r="95" spans="2:49" x14ac:dyDescent="0.3">
      <c r="C95">
        <f>Input_Hectares</f>
        <v>1</v>
      </c>
      <c r="D95" t="s">
        <v>61</v>
      </c>
      <c r="G95" s="265" t="s">
        <v>158</v>
      </c>
      <c r="H95" s="265"/>
      <c r="I95" s="265"/>
      <c r="J95" s="265"/>
      <c r="L95" s="3"/>
      <c r="M95" s="3"/>
      <c r="N95" s="3"/>
      <c r="O95" s="65"/>
      <c r="Q95" s="3"/>
      <c r="R95" s="3"/>
      <c r="S95" s="3"/>
      <c r="T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row>
    <row r="96" spans="2:49" x14ac:dyDescent="0.3">
      <c r="H96">
        <f>(Glucose_After_DAH)+Cellulose_After_DAH*H93</f>
        <v>0.40681535199999996</v>
      </c>
      <c r="I96" t="s">
        <v>140</v>
      </c>
      <c r="L96" s="3"/>
      <c r="M96" s="3"/>
      <c r="N96" s="3"/>
      <c r="O96" s="65"/>
      <c r="Q96" s="3"/>
      <c r="R96" s="3"/>
      <c r="S96" s="3"/>
      <c r="T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row>
    <row r="97" spans="2:49" x14ac:dyDescent="0.3">
      <c r="B97" s="267" t="s">
        <v>419</v>
      </c>
      <c r="C97" s="267"/>
      <c r="D97" s="267"/>
      <c r="E97" s="267"/>
      <c r="H97">
        <f>(1-H93)*Cellulose_After_DAH</f>
        <v>3.6846480000000052E-3</v>
      </c>
      <c r="I97" t="s">
        <v>131</v>
      </c>
      <c r="L97" s="3"/>
      <c r="M97" s="3"/>
      <c r="N97" s="3"/>
      <c r="O97" s="65"/>
      <c r="Q97" s="3"/>
      <c r="R97" s="3"/>
      <c r="S97" s="3"/>
      <c r="T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row>
    <row r="98" spans="2:49" x14ac:dyDescent="0.3">
      <c r="C98" s="269" t="s">
        <v>12</v>
      </c>
      <c r="D98" s="269"/>
      <c r="H98">
        <f>Xylose_After_DAH</f>
        <v>0.21031300000000003</v>
      </c>
      <c r="I98" t="s">
        <v>141</v>
      </c>
      <c r="L98" s="3"/>
      <c r="M98" s="3"/>
      <c r="N98" s="3"/>
      <c r="O98" s="65"/>
      <c r="Q98" s="3"/>
      <c r="R98" s="3"/>
      <c r="S98" s="3"/>
      <c r="T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row>
    <row r="99" spans="2:49" x14ac:dyDescent="0.3">
      <c r="B99" s="30" t="s">
        <v>62</v>
      </c>
      <c r="C99" s="27">
        <f>Input_Hectares</f>
        <v>1</v>
      </c>
      <c r="D99" t="s">
        <v>63</v>
      </c>
      <c r="H99">
        <f>HemiCell_After_DAH</f>
        <v>0.10358699999999998</v>
      </c>
      <c r="I99" t="s">
        <v>132</v>
      </c>
      <c r="L99" s="3"/>
      <c r="M99" s="3"/>
      <c r="N99" s="3"/>
      <c r="O99" s="65"/>
      <c r="Q99" s="3"/>
      <c r="R99" s="3"/>
      <c r="S99" s="3"/>
      <c r="T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row>
    <row r="100" spans="2:49" x14ac:dyDescent="0.3">
      <c r="B100" s="4" t="s">
        <v>420</v>
      </c>
      <c r="C100" s="5">
        <f>Inputs!A15</f>
        <v>33055.830359649139</v>
      </c>
      <c r="D100" s="10" t="s">
        <v>8</v>
      </c>
      <c r="H100">
        <f>Lignin_After_DAH</f>
        <v>6.3399999999999998E-2</v>
      </c>
      <c r="I100" t="s">
        <v>133</v>
      </c>
      <c r="L100" s="3"/>
      <c r="M100" s="3"/>
      <c r="N100" s="3"/>
      <c r="O100" s="65"/>
      <c r="Q100" s="3"/>
      <c r="R100" s="3"/>
      <c r="S100" s="3"/>
      <c r="T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row>
    <row r="101" spans="2:49" x14ac:dyDescent="0.3">
      <c r="B101" s="4" t="s">
        <v>403</v>
      </c>
      <c r="C101" s="6">
        <f>C108-SUM(C34:C36)</f>
        <v>121.3599999999999</v>
      </c>
      <c r="D101" s="10" t="s">
        <v>8</v>
      </c>
      <c r="H101">
        <f>Extract_After_DAH</f>
        <v>0.16950000000000001</v>
      </c>
      <c r="I101" t="s">
        <v>135</v>
      </c>
      <c r="L101" s="3"/>
      <c r="M101" s="3"/>
      <c r="N101" s="3"/>
      <c r="O101" s="65"/>
      <c r="Q101" s="3"/>
      <c r="R101" s="3"/>
      <c r="S101" s="3"/>
      <c r="T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row>
    <row r="102" spans="2:49" x14ac:dyDescent="0.3">
      <c r="B102" s="4"/>
      <c r="D102" s="10"/>
      <c r="E102" s="12"/>
      <c r="F102" s="18" t="s">
        <v>17</v>
      </c>
      <c r="H102">
        <f>Ash_After_DAH</f>
        <v>4.2700000000000002E-2</v>
      </c>
      <c r="I102" t="s">
        <v>134</v>
      </c>
      <c r="L102" s="3"/>
      <c r="M102" s="3"/>
      <c r="N102" s="3"/>
      <c r="O102" s="65"/>
      <c r="Q102" s="3"/>
      <c r="R102" s="3"/>
      <c r="S102" s="3"/>
      <c r="T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row>
    <row r="103" spans="2:49" x14ac:dyDescent="0.3">
      <c r="B103" s="4"/>
      <c r="C103" s="281" t="s">
        <v>30</v>
      </c>
      <c r="D103" s="281"/>
      <c r="E103" s="12"/>
      <c r="L103" s="3"/>
      <c r="M103" s="3"/>
      <c r="N103" s="3"/>
      <c r="O103" s="65"/>
      <c r="Q103" s="3"/>
      <c r="R103" s="3"/>
      <c r="S103" s="3"/>
      <c r="T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row>
    <row r="104" spans="2:49" x14ac:dyDescent="0.3">
      <c r="B104" s="4"/>
      <c r="C104">
        <f>Inputs!K10</f>
        <v>286.89</v>
      </c>
      <c r="D104" s="10" t="s">
        <v>545</v>
      </c>
      <c r="E104" s="12"/>
      <c r="H104" s="269" t="s">
        <v>27</v>
      </c>
      <c r="I104" s="269"/>
      <c r="L104" s="3"/>
      <c r="M104" s="3"/>
      <c r="N104" s="3"/>
      <c r="O104" s="65"/>
      <c r="Q104" s="3"/>
      <c r="R104" s="3"/>
      <c r="S104" s="3"/>
      <c r="T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row>
    <row r="105" spans="2:49" x14ac:dyDescent="0.3">
      <c r="B105" s="4"/>
      <c r="C105">
        <f>Inputs!K11</f>
        <v>113.19</v>
      </c>
      <c r="D105" s="10" t="s">
        <v>546</v>
      </c>
      <c r="E105" s="12" t="s">
        <v>544</v>
      </c>
      <c r="H105" s="22">
        <f>Stover_PostDAH</f>
        <v>4591.5412689999994</v>
      </c>
      <c r="I105" t="s">
        <v>160</v>
      </c>
      <c r="L105" s="3"/>
      <c r="M105" s="3"/>
      <c r="N105" s="3"/>
      <c r="O105" s="65"/>
      <c r="Q105" s="3"/>
      <c r="R105" s="3"/>
      <c r="S105" s="3"/>
      <c r="T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row>
    <row r="106" spans="2:49" x14ac:dyDescent="0.3">
      <c r="B106" s="4"/>
      <c r="C106">
        <f>Inputs!K12</f>
        <v>201.72</v>
      </c>
      <c r="D106" s="10" t="s">
        <v>547</v>
      </c>
      <c r="E106" s="12"/>
      <c r="H106" s="22">
        <f>Stover_PostDAH+H72+H73</f>
        <v>22995.402898818487</v>
      </c>
      <c r="I106" t="s">
        <v>159</v>
      </c>
      <c r="L106" s="3"/>
      <c r="M106" s="3"/>
      <c r="N106" s="3"/>
      <c r="O106" s="65"/>
      <c r="Q106" s="3"/>
      <c r="R106" s="3"/>
      <c r="S106" s="3"/>
      <c r="T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row>
    <row r="107" spans="2:49" x14ac:dyDescent="0.3">
      <c r="B107" s="4"/>
      <c r="C107">
        <f>Inputs!K13</f>
        <v>25.78</v>
      </c>
      <c r="D107" s="10" t="s">
        <v>548</v>
      </c>
      <c r="E107" s="12"/>
      <c r="L107" s="3"/>
      <c r="M107" s="3"/>
      <c r="N107" s="3"/>
      <c r="O107" s="65"/>
      <c r="Q107" s="3"/>
      <c r="R107" s="3"/>
      <c r="S107" s="3"/>
      <c r="T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row>
    <row r="108" spans="2:49" x14ac:dyDescent="0.3">
      <c r="C108" s="6">
        <f>Inputs!K14</f>
        <v>374.46999999999991</v>
      </c>
      <c r="D108" s="10" t="s">
        <v>549</v>
      </c>
      <c r="G108" s="267" t="s">
        <v>4</v>
      </c>
      <c r="H108" s="267"/>
      <c r="I108" s="267"/>
      <c r="J108" s="267"/>
      <c r="L108" s="3"/>
      <c r="M108" s="3"/>
      <c r="N108" s="3"/>
      <c r="O108" s="65"/>
      <c r="Q108" s="3"/>
      <c r="R108" s="3"/>
      <c r="S108" s="3"/>
      <c r="T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row>
    <row r="109" spans="2:49" x14ac:dyDescent="0.3">
      <c r="H109" s="269" t="s">
        <v>12</v>
      </c>
      <c r="I109" s="269"/>
      <c r="L109" s="3"/>
      <c r="M109" s="3"/>
      <c r="N109" s="3"/>
      <c r="O109" s="65"/>
      <c r="Q109" s="3"/>
      <c r="R109" s="3"/>
      <c r="S109" s="3"/>
      <c r="T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row>
    <row r="110" spans="2:49" x14ac:dyDescent="0.3">
      <c r="C110" s="6">
        <f>Inputs!K22</f>
        <v>9729.8049084442191</v>
      </c>
      <c r="D110" t="s">
        <v>398</v>
      </c>
      <c r="E110" t="s">
        <v>9</v>
      </c>
      <c r="G110" s="4" t="s">
        <v>96</v>
      </c>
      <c r="H110" s="6">
        <f>MJ_Per_ha_EnzymeProd</f>
        <v>1343.5051780909837</v>
      </c>
      <c r="I110" t="s">
        <v>115</v>
      </c>
      <c r="L110" s="3"/>
      <c r="M110" s="3"/>
      <c r="N110" s="3"/>
      <c r="O110" s="65"/>
      <c r="Q110" s="3"/>
      <c r="R110" s="3"/>
      <c r="S110" s="3"/>
      <c r="T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row>
    <row r="111" spans="2:49" x14ac:dyDescent="0.3">
      <c r="C111" s="5">
        <f>C110-(C110*0.25)</f>
        <v>7297.3536813331648</v>
      </c>
      <c r="D111" t="s">
        <v>399</v>
      </c>
      <c r="G111" s="4" t="s">
        <v>180</v>
      </c>
      <c r="H111" s="22">
        <f>Glucose_EP_I</f>
        <v>140</v>
      </c>
      <c r="I111" t="s">
        <v>8</v>
      </c>
      <c r="L111" s="3"/>
      <c r="M111" s="3"/>
      <c r="N111" s="3"/>
      <c r="O111" s="65"/>
      <c r="Q111" s="3"/>
      <c r="R111" s="3"/>
      <c r="S111" s="3"/>
      <c r="T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row>
    <row r="112" spans="2:49" x14ac:dyDescent="0.3">
      <c r="C112" s="5">
        <f>C111/0.25</f>
        <v>29189.414725332659</v>
      </c>
      <c r="D112" t="s">
        <v>515</v>
      </c>
      <c r="G112" s="4" t="s">
        <v>175</v>
      </c>
      <c r="H112" s="59">
        <f>Ammon_DAH_I</f>
        <v>52.443267842779797</v>
      </c>
      <c r="I112" t="s">
        <v>8</v>
      </c>
      <c r="L112" s="3"/>
      <c r="M112" s="3"/>
      <c r="N112" s="3"/>
      <c r="O112" s="65"/>
      <c r="Q112" s="3"/>
      <c r="R112" s="3"/>
      <c r="S112" s="3"/>
      <c r="T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row>
    <row r="113" spans="2:49" x14ac:dyDescent="0.3">
      <c r="C113" s="5">
        <f>C112-C111</f>
        <v>21892.061043999493</v>
      </c>
      <c r="D113" t="s">
        <v>511</v>
      </c>
      <c r="G113" s="4" t="s">
        <v>171</v>
      </c>
      <c r="H113" s="59">
        <f>SO2_EP_I</f>
        <v>0.90327199999999996</v>
      </c>
      <c r="I113" t="s">
        <v>8</v>
      </c>
      <c r="L113" s="3"/>
      <c r="M113" s="3"/>
      <c r="N113" s="3"/>
      <c r="O113" s="65"/>
      <c r="Q113" s="3"/>
      <c r="R113" s="3"/>
      <c r="S113" s="3"/>
      <c r="T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row>
    <row r="114" spans="2:49" x14ac:dyDescent="0.3">
      <c r="G114" s="4" t="s">
        <v>170</v>
      </c>
      <c r="H114" s="59">
        <f>CSL_EP_I</f>
        <v>80.676169999999999</v>
      </c>
      <c r="I114" t="s">
        <v>8</v>
      </c>
      <c r="L114" s="3"/>
      <c r="M114" s="3"/>
      <c r="N114" s="3"/>
      <c r="O114" s="65"/>
      <c r="Q114" s="3"/>
      <c r="R114" s="3"/>
      <c r="S114" s="3"/>
      <c r="T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row>
    <row r="115" spans="2:49" x14ac:dyDescent="0.3">
      <c r="C115" s="6">
        <f>Inputs!K21</f>
        <v>10971.907662713695</v>
      </c>
      <c r="D115" t="s">
        <v>512</v>
      </c>
      <c r="G115" s="4" t="s">
        <v>168</v>
      </c>
      <c r="H115" s="59">
        <f>Corn_Oil_EP_I</f>
        <v>0.74412</v>
      </c>
      <c r="I115" t="s">
        <v>338</v>
      </c>
      <c r="L115" s="3"/>
      <c r="M115" s="3"/>
      <c r="N115" s="3"/>
      <c r="O115" s="65"/>
      <c r="Q115" s="3"/>
      <c r="R115" s="3"/>
      <c r="S115" s="3"/>
      <c r="T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row>
    <row r="116" spans="2:49" x14ac:dyDescent="0.3">
      <c r="C116" s="6">
        <f>C115-(C115*0.15)</f>
        <v>9326.1215133066398</v>
      </c>
      <c r="D116" t="s">
        <v>513</v>
      </c>
      <c r="G116" s="4" t="s">
        <v>166</v>
      </c>
      <c r="H116" s="59">
        <f>Ammon_Sulfate_EP</f>
        <v>1.041768</v>
      </c>
      <c r="I116" t="s">
        <v>8</v>
      </c>
      <c r="L116" s="3"/>
      <c r="M116" s="3"/>
      <c r="N116" s="3"/>
      <c r="O116" s="65"/>
      <c r="Q116" s="3"/>
      <c r="R116" s="3"/>
      <c r="S116" s="3"/>
      <c r="T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row>
    <row r="117" spans="2:49" x14ac:dyDescent="0.3">
      <c r="C117" s="6">
        <f>C116/0.7</f>
        <v>13323.0307332952</v>
      </c>
      <c r="D117" t="s">
        <v>516</v>
      </c>
      <c r="G117" s="4" t="s">
        <v>165</v>
      </c>
      <c r="H117" s="59">
        <f>Potass_Phosph_EP_I</f>
        <v>1.48824</v>
      </c>
      <c r="I117" t="s">
        <v>8</v>
      </c>
      <c r="L117" s="3"/>
      <c r="M117" s="3"/>
      <c r="N117" s="3"/>
      <c r="O117" s="65"/>
      <c r="Q117" s="3"/>
      <c r="R117" s="3"/>
      <c r="S117" s="3"/>
      <c r="T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row>
    <row r="118" spans="2:49" x14ac:dyDescent="0.3">
      <c r="C118" s="6">
        <f>C117-C115</f>
        <v>2351.1230705815051</v>
      </c>
      <c r="D118" t="s">
        <v>514</v>
      </c>
      <c r="G118" s="4" t="s">
        <v>164</v>
      </c>
      <c r="H118" s="59">
        <f>Mg_Sulfate_EP_I</f>
        <v>0.22323599999999999</v>
      </c>
      <c r="I118" t="s">
        <v>8</v>
      </c>
      <c r="L118" s="3"/>
      <c r="M118" s="3"/>
      <c r="N118" s="3"/>
      <c r="O118" s="65"/>
      <c r="Q118" s="3"/>
      <c r="R118" s="3"/>
      <c r="S118" s="3"/>
      <c r="T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row>
    <row r="119" spans="2:49" x14ac:dyDescent="0.3">
      <c r="G119" s="4" t="s">
        <v>163</v>
      </c>
      <c r="H119" s="59">
        <f>Inputs!A32</f>
        <v>0.27648</v>
      </c>
      <c r="I119" t="s">
        <v>8</v>
      </c>
      <c r="L119" s="3"/>
      <c r="M119" s="3"/>
      <c r="N119" s="3"/>
      <c r="O119" s="65"/>
      <c r="Q119" s="3"/>
      <c r="R119" s="3"/>
      <c r="S119" s="3"/>
      <c r="T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row>
    <row r="120" spans="2:49" x14ac:dyDescent="0.3">
      <c r="C120" s="5">
        <f>C117+C112</f>
        <v>42512.445458627859</v>
      </c>
      <c r="D120" t="s">
        <v>400</v>
      </c>
      <c r="G120" s="4" t="s">
        <v>961</v>
      </c>
      <c r="H120" s="59">
        <f>Inputs!A33</f>
        <v>8.7004090000000005</v>
      </c>
      <c r="I120" t="s">
        <v>8</v>
      </c>
      <c r="L120" s="3"/>
      <c r="M120" s="3"/>
      <c r="N120" s="3"/>
      <c r="O120" s="65"/>
      <c r="Q120" s="3"/>
      <c r="R120" s="3"/>
      <c r="S120" s="3"/>
      <c r="T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row>
    <row r="121" spans="2:49" x14ac:dyDescent="0.3">
      <c r="B121" s="5"/>
      <c r="C121" s="5">
        <f>0.436*(C110+C115)</f>
        <v>9025.9466810248505</v>
      </c>
      <c r="D121" t="s">
        <v>519</v>
      </c>
      <c r="L121" s="3"/>
      <c r="M121" s="3"/>
      <c r="N121" s="3"/>
      <c r="O121" s="65"/>
      <c r="Q121" s="3"/>
      <c r="R121" s="3"/>
      <c r="S121" s="3"/>
      <c r="T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row>
    <row r="122" spans="2:49" x14ac:dyDescent="0.3">
      <c r="B122" s="5"/>
      <c r="C122" s="5">
        <f>C121*44.01/12.0107</f>
        <v>33073.169210112952</v>
      </c>
      <c r="D122" t="s">
        <v>518</v>
      </c>
      <c r="H122" s="265" t="s">
        <v>30</v>
      </c>
      <c r="I122" s="265"/>
      <c r="L122" s="3"/>
      <c r="M122" s="3"/>
      <c r="N122" s="3"/>
      <c r="O122" s="65"/>
      <c r="Q122" s="3"/>
      <c r="R122" s="3"/>
      <c r="S122" s="3"/>
      <c r="T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row>
    <row r="123" spans="2:49" x14ac:dyDescent="0.3">
      <c r="B123" s="5"/>
      <c r="C123" s="5">
        <f>C118+C113</f>
        <v>24243.184114580996</v>
      </c>
      <c r="D123" t="s">
        <v>517</v>
      </c>
      <c r="G123" s="4" t="s">
        <v>177</v>
      </c>
      <c r="H123" s="6">
        <f>1.1*H73</f>
        <v>41.466209200339001</v>
      </c>
      <c r="I123" t="s">
        <v>149</v>
      </c>
      <c r="L123" s="3"/>
      <c r="M123" s="3"/>
      <c r="N123" s="3"/>
      <c r="O123" s="65"/>
      <c r="Q123" s="3"/>
      <c r="R123" s="3"/>
      <c r="S123" s="3"/>
      <c r="T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row>
    <row r="124" spans="2:49" x14ac:dyDescent="0.3">
      <c r="B124" s="5"/>
      <c r="C124" s="5">
        <f>(31.998/44.01)*C122</f>
        <v>24046.245589302303</v>
      </c>
      <c r="D124" t="s">
        <v>521</v>
      </c>
      <c r="G124" s="4" t="s">
        <v>96</v>
      </c>
      <c r="H124">
        <v>9</v>
      </c>
      <c r="I124" t="s">
        <v>176</v>
      </c>
      <c r="J124" s="17" t="s">
        <v>153</v>
      </c>
      <c r="L124" s="3"/>
      <c r="M124" s="3"/>
      <c r="N124" s="3"/>
      <c r="O124" s="65"/>
      <c r="Q124" s="3"/>
      <c r="R124" s="3"/>
      <c r="S124" s="3"/>
      <c r="T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row>
    <row r="125" spans="2:49" x14ac:dyDescent="0.3">
      <c r="C125" s="5">
        <f>0.46*(C115+C110)</f>
        <v>9522.7877827326411</v>
      </c>
      <c r="D125" t="s">
        <v>522</v>
      </c>
      <c r="E125" s="25" t="s">
        <v>552</v>
      </c>
      <c r="G125" s="4" t="s">
        <v>96</v>
      </c>
      <c r="H125" s="6">
        <f>Electricity_Per_kg_Cell*Total_Cellulase_Required*'Conversions Page'!D16</f>
        <v>1343.5051780909837</v>
      </c>
      <c r="I125" s="10" t="s">
        <v>115</v>
      </c>
      <c r="L125" s="3"/>
      <c r="M125" s="3"/>
      <c r="N125" s="3"/>
      <c r="O125" s="65"/>
      <c r="Q125" s="3"/>
      <c r="R125" s="3"/>
      <c r="S125" s="3"/>
      <c r="T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row>
    <row r="126" spans="2:49" x14ac:dyDescent="0.3">
      <c r="C126" s="5">
        <f>C125/(15.999/18.01528)</f>
        <v>10722.900699200431</v>
      </c>
      <c r="D126" t="s">
        <v>550</v>
      </c>
      <c r="G126" s="4" t="s">
        <v>174</v>
      </c>
      <c r="H126">
        <v>4</v>
      </c>
      <c r="I126" s="10" t="s">
        <v>173</v>
      </c>
      <c r="L126" s="3"/>
      <c r="M126" s="3"/>
      <c r="N126" s="3"/>
      <c r="O126" s="65"/>
      <c r="Q126" s="3"/>
      <c r="R126" s="3"/>
      <c r="S126" s="3"/>
      <c r="T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row>
    <row r="127" spans="2:49" x14ac:dyDescent="0.3">
      <c r="C127" s="32">
        <v>0.5</v>
      </c>
      <c r="D127" t="s">
        <v>562</v>
      </c>
      <c r="G127" s="4" t="s">
        <v>178</v>
      </c>
      <c r="H127" s="6">
        <f>Glucose_Reqd_Per_kg_Cellulase*Total_Cellulase_Required</f>
        <v>165.86483680135601</v>
      </c>
      <c r="I127" s="10" t="s">
        <v>179</v>
      </c>
      <c r="L127" s="3"/>
      <c r="M127" s="3"/>
      <c r="N127" s="3"/>
      <c r="O127" s="65"/>
      <c r="Q127" s="3"/>
      <c r="R127" s="3"/>
      <c r="S127" s="3"/>
      <c r="T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row>
    <row r="128" spans="2:49" x14ac:dyDescent="0.3">
      <c r="C128" s="6">
        <f>C110*Percent_Stover_Harvested</f>
        <v>4864.9024542221096</v>
      </c>
      <c r="D128" t="s">
        <v>65</v>
      </c>
      <c r="E128" t="s">
        <v>10</v>
      </c>
      <c r="G128" s="4" t="s">
        <v>172</v>
      </c>
      <c r="H128">
        <v>7</v>
      </c>
      <c r="I128" s="10" t="s">
        <v>162</v>
      </c>
      <c r="L128" s="3"/>
      <c r="M128" s="3"/>
      <c r="N128" s="3"/>
      <c r="O128" s="65"/>
      <c r="Q128" s="3"/>
      <c r="R128" s="3"/>
      <c r="S128" s="3"/>
      <c r="T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row>
    <row r="129" spans="2:49" x14ac:dyDescent="0.3">
      <c r="C129" s="6"/>
      <c r="D129" s="6"/>
      <c r="G129" s="4" t="s">
        <v>171</v>
      </c>
      <c r="H129">
        <v>0.6</v>
      </c>
      <c r="I129" s="10" t="s">
        <v>162</v>
      </c>
      <c r="L129" s="3"/>
      <c r="M129" s="3"/>
      <c r="N129" s="3"/>
      <c r="O129" s="65"/>
      <c r="Q129" s="3"/>
      <c r="R129" s="3"/>
      <c r="S129" s="3"/>
      <c r="T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row>
    <row r="130" spans="2:49" x14ac:dyDescent="0.3">
      <c r="C130" s="269" t="s">
        <v>27</v>
      </c>
      <c r="D130" s="269"/>
      <c r="G130" s="4" t="s">
        <v>170</v>
      </c>
      <c r="H130" s="33">
        <v>0.01</v>
      </c>
      <c r="I130" s="10" t="s">
        <v>169</v>
      </c>
      <c r="L130" s="3"/>
      <c r="M130" s="3"/>
      <c r="N130" s="3"/>
      <c r="O130" s="65"/>
      <c r="Q130" s="3"/>
      <c r="R130" s="3"/>
      <c r="S130" s="3"/>
      <c r="T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row>
    <row r="131" spans="2:49" x14ac:dyDescent="0.3">
      <c r="C131" s="2">
        <f>ROUND(Approx_Stover_Per_ha*Input_Hectares,2)</f>
        <v>4864.8999999999996</v>
      </c>
      <c r="D131" t="s">
        <v>64</v>
      </c>
      <c r="G131" s="4" t="s">
        <v>168</v>
      </c>
      <c r="H131" s="32">
        <v>1E-3</v>
      </c>
      <c r="I131" s="10" t="s">
        <v>167</v>
      </c>
      <c r="L131" s="3"/>
      <c r="M131" s="3"/>
      <c r="N131" s="3"/>
      <c r="O131" s="65"/>
      <c r="Q131" s="3"/>
      <c r="R131" s="3"/>
      <c r="S131" s="3"/>
      <c r="T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row>
    <row r="132" spans="2:49" x14ac:dyDescent="0.3">
      <c r="C132" s="22">
        <f>C115</f>
        <v>10971.907662713695</v>
      </c>
      <c r="D132" t="s">
        <v>371</v>
      </c>
      <c r="G132" s="4" t="s">
        <v>166</v>
      </c>
      <c r="H132">
        <v>1.4</v>
      </c>
      <c r="I132" s="10" t="s">
        <v>162</v>
      </c>
      <c r="J132" s="35" t="s">
        <v>348</v>
      </c>
      <c r="L132" s="3"/>
      <c r="M132" s="3"/>
      <c r="N132" s="3"/>
      <c r="O132" s="65"/>
      <c r="Q132" s="3"/>
      <c r="R132" s="3"/>
      <c r="S132" s="3"/>
      <c r="T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row>
    <row r="133" spans="2:49" x14ac:dyDescent="0.3">
      <c r="C133" s="22">
        <f>C110*0.5</f>
        <v>4864.9024542221096</v>
      </c>
      <c r="D133" t="s">
        <v>381</v>
      </c>
      <c r="G133" s="4" t="s">
        <v>165</v>
      </c>
      <c r="H133">
        <v>2</v>
      </c>
      <c r="I133" s="10" t="s">
        <v>162</v>
      </c>
      <c r="L133" s="3"/>
      <c r="M133" s="3"/>
      <c r="N133" s="3"/>
      <c r="O133" s="65"/>
      <c r="Q133" s="3"/>
      <c r="R133" s="3"/>
      <c r="S133" s="3"/>
      <c r="T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row>
    <row r="134" spans="2:49" x14ac:dyDescent="0.3">
      <c r="C134" s="22">
        <f>C123</f>
        <v>24243.184114580996</v>
      </c>
      <c r="D134" t="s">
        <v>402</v>
      </c>
      <c r="G134" s="4" t="s">
        <v>164</v>
      </c>
      <c r="H134">
        <v>0.3</v>
      </c>
      <c r="I134" s="10" t="s">
        <v>162</v>
      </c>
      <c r="L134" s="3"/>
      <c r="M134" s="3"/>
      <c r="N134" s="3"/>
      <c r="O134" s="65"/>
      <c r="Q134" s="3"/>
      <c r="R134" s="3"/>
      <c r="S134" s="3"/>
      <c r="T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row>
    <row r="135" spans="2:49" x14ac:dyDescent="0.3">
      <c r="C135" s="22"/>
      <c r="G135" s="4" t="s">
        <v>163</v>
      </c>
      <c r="H135">
        <v>0.4</v>
      </c>
      <c r="I135" s="10" t="s">
        <v>162</v>
      </c>
      <c r="L135" s="3"/>
      <c r="M135" s="3"/>
      <c r="N135" s="3"/>
      <c r="O135" s="65"/>
      <c r="Q135" s="3"/>
      <c r="R135" s="3"/>
      <c r="S135" s="3"/>
      <c r="T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row>
    <row r="136" spans="2:49" x14ac:dyDescent="0.3">
      <c r="B136" s="6"/>
      <c r="C136" s="22">
        <f>((Stover_Biomass_From_Agr)/(C110+C115))*C121</f>
        <v>2121.0963999999999</v>
      </c>
      <c r="D136" t="s">
        <v>523</v>
      </c>
      <c r="G136" s="4" t="s">
        <v>161</v>
      </c>
      <c r="H136">
        <v>50</v>
      </c>
      <c r="I136" s="10" t="s">
        <v>162</v>
      </c>
      <c r="L136" s="3"/>
      <c r="M136" s="3"/>
      <c r="N136" s="3"/>
      <c r="O136" s="65"/>
      <c r="Q136" s="3"/>
      <c r="R136" s="3"/>
      <c r="S136" s="3"/>
      <c r="T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row>
    <row r="137" spans="2:49" x14ac:dyDescent="0.3">
      <c r="B137" s="6"/>
      <c r="C137" s="22">
        <f>(Stover_Biomass_From_Agr/(C110+C115))*C125</f>
        <v>2237.8539999999998</v>
      </c>
      <c r="D137" t="s">
        <v>524</v>
      </c>
      <c r="G137" s="4" t="s">
        <v>336</v>
      </c>
      <c r="H137">
        <v>1150</v>
      </c>
      <c r="I137" s="10" t="s">
        <v>162</v>
      </c>
      <c r="L137" s="3"/>
      <c r="M137" s="3"/>
      <c r="N137" s="3"/>
      <c r="O137" s="65"/>
      <c r="Q137" s="3"/>
      <c r="R137" s="3"/>
      <c r="S137" s="3"/>
      <c r="T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row>
    <row r="138" spans="2:49" x14ac:dyDescent="0.3">
      <c r="G138" s="4" t="s">
        <v>337</v>
      </c>
      <c r="H138" s="6">
        <f>(Total_Cellulase_Required*1000)/Cellulase_Density</f>
        <v>36.057573217686084</v>
      </c>
      <c r="I138" s="10" t="s">
        <v>76</v>
      </c>
      <c r="L138" s="3"/>
      <c r="M138" s="3"/>
      <c r="N138" s="3"/>
      <c r="O138" s="65"/>
      <c r="Q138" s="3"/>
      <c r="R138" s="3"/>
      <c r="S138" s="3"/>
      <c r="T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row>
    <row r="139" spans="2:49" x14ac:dyDescent="0.3">
      <c r="B139" s="267" t="s">
        <v>14</v>
      </c>
      <c r="C139" s="267"/>
      <c r="D139" s="267"/>
      <c r="E139" s="267"/>
      <c r="L139" s="3"/>
      <c r="M139" s="3"/>
      <c r="N139" s="3"/>
      <c r="O139" s="65"/>
      <c r="Q139" s="3"/>
      <c r="R139" s="3"/>
      <c r="S139" s="3"/>
      <c r="T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row>
    <row r="140" spans="2:49" x14ac:dyDescent="0.3">
      <c r="C140" s="269" t="s">
        <v>12</v>
      </c>
      <c r="D140" s="269"/>
      <c r="H140" s="269" t="s">
        <v>27</v>
      </c>
      <c r="I140" s="269"/>
      <c r="L140" s="3"/>
      <c r="M140" s="3"/>
      <c r="N140" s="3"/>
      <c r="O140" s="65"/>
      <c r="Q140" s="3"/>
      <c r="R140" s="3"/>
      <c r="S140" s="3"/>
      <c r="T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row>
    <row r="141" spans="2:49" x14ac:dyDescent="0.3">
      <c r="B141" s="4" t="s">
        <v>78</v>
      </c>
      <c r="C141">
        <v>16.09</v>
      </c>
      <c r="D141" t="s">
        <v>80</v>
      </c>
      <c r="G141" s="4"/>
      <c r="H141" s="22">
        <f>Total_Cellulase_Required</f>
        <v>41.466209200339001</v>
      </c>
      <c r="I141" s="10" t="s">
        <v>149</v>
      </c>
      <c r="L141" s="3"/>
      <c r="M141" s="3"/>
      <c r="N141" s="3"/>
      <c r="O141" s="65"/>
      <c r="Q141" s="3"/>
      <c r="R141" s="3"/>
      <c r="S141" s="3"/>
      <c r="T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row>
    <row r="142" spans="2:49" x14ac:dyDescent="0.3">
      <c r="B142" s="4" t="s">
        <v>79</v>
      </c>
      <c r="C142">
        <f>Stover_Biomass_From_Agr</f>
        <v>4864.8999999999996</v>
      </c>
      <c r="D142" t="s">
        <v>11</v>
      </c>
      <c r="G142" s="4"/>
      <c r="H142" s="22">
        <f>SUM(H111:H119)-Cellulase_Produced</f>
        <v>236.33034464244076</v>
      </c>
      <c r="I142" s="10" t="s">
        <v>390</v>
      </c>
      <c r="L142" s="3"/>
      <c r="M142" s="3"/>
      <c r="N142" s="3"/>
      <c r="O142" s="65"/>
      <c r="Q142" s="3"/>
      <c r="R142" s="3"/>
      <c r="S142" s="3"/>
      <c r="T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row>
    <row r="143" spans="2:49" x14ac:dyDescent="0.3">
      <c r="B143" s="4" t="s">
        <v>84</v>
      </c>
      <c r="C143">
        <f>C149</f>
        <v>0.24324499999999999</v>
      </c>
      <c r="D143" t="s">
        <v>85</v>
      </c>
      <c r="H143" s="3"/>
      <c r="L143" s="3"/>
      <c r="M143" s="3"/>
      <c r="N143" s="3"/>
      <c r="O143" s="65"/>
      <c r="Q143" s="3"/>
      <c r="R143" s="3"/>
      <c r="S143" s="3"/>
      <c r="T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row>
    <row r="144" spans="2:49" x14ac:dyDescent="0.3">
      <c r="B144" s="4"/>
      <c r="G144" s="267" t="s">
        <v>5</v>
      </c>
      <c r="H144" s="267"/>
      <c r="I144" s="267"/>
      <c r="J144" s="267"/>
      <c r="L144" s="3"/>
      <c r="M144" s="3"/>
      <c r="N144" s="3"/>
      <c r="O144" s="65"/>
      <c r="Q144" s="3"/>
      <c r="R144" s="3"/>
      <c r="S144" s="3"/>
      <c r="T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row>
    <row r="145" spans="3:49" x14ac:dyDescent="0.3">
      <c r="C145" s="265" t="s">
        <v>30</v>
      </c>
      <c r="D145" s="265"/>
      <c r="H145" s="269" t="s">
        <v>12</v>
      </c>
      <c r="I145" s="269"/>
      <c r="L145" s="3"/>
      <c r="M145" s="3"/>
      <c r="N145" s="3"/>
      <c r="O145" s="65"/>
      <c r="Q145" s="3"/>
      <c r="R145" s="3"/>
      <c r="S145" s="3"/>
      <c r="T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row>
    <row r="146" spans="3:49" x14ac:dyDescent="0.3">
      <c r="C146">
        <f>50*(1/(SQRT(2)))</f>
        <v>35.35533905932737</v>
      </c>
      <c r="D146" t="s">
        <v>13</v>
      </c>
      <c r="G146" s="4" t="s">
        <v>181</v>
      </c>
      <c r="H146" s="22">
        <f>Hydrolysate_Post_EH</f>
        <v>22995.402898818487</v>
      </c>
      <c r="I146" t="s">
        <v>159</v>
      </c>
      <c r="L146" s="3"/>
      <c r="M146" s="3"/>
      <c r="N146" s="3"/>
      <c r="O146" s="65"/>
      <c r="Q146" s="3"/>
      <c r="R146" s="3"/>
      <c r="S146" s="3"/>
      <c r="T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row>
    <row r="147" spans="3:49" x14ac:dyDescent="0.3">
      <c r="C147" s="6">
        <f>Avg_Miles_To_Biorefinery*'Conversions Page'!D5</f>
        <v>56.898761361737911</v>
      </c>
      <c r="D147" t="s">
        <v>80</v>
      </c>
      <c r="G147" s="4" t="s">
        <v>182</v>
      </c>
      <c r="H147" s="22">
        <f>Stover_Post_EH</f>
        <v>4591.5412689999994</v>
      </c>
      <c r="I147" t="s">
        <v>160</v>
      </c>
      <c r="L147" s="3"/>
      <c r="M147" s="3"/>
      <c r="N147" s="3"/>
      <c r="O147" s="65"/>
      <c r="Q147" s="3"/>
      <c r="R147" s="3"/>
      <c r="S147" s="3"/>
      <c r="T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row>
    <row r="148" spans="3:49" x14ac:dyDescent="0.3">
      <c r="C148">
        <v>20</v>
      </c>
      <c r="D148" s="3" t="s">
        <v>86</v>
      </c>
      <c r="E148" s="12" t="s">
        <v>349</v>
      </c>
      <c r="G148" s="4"/>
      <c r="H148" s="22">
        <f>(0.1)*(0.0025)*Hydrolysate</f>
        <v>5.7488507247046217</v>
      </c>
      <c r="I148" t="s">
        <v>659</v>
      </c>
      <c r="J148" s="75" t="s">
        <v>153</v>
      </c>
      <c r="L148" s="3"/>
      <c r="M148" s="3"/>
      <c r="N148" s="3"/>
      <c r="O148" s="65"/>
      <c r="Q148" s="3"/>
      <c r="R148" s="3"/>
      <c r="S148" s="3"/>
      <c r="T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row>
    <row r="149" spans="3:49" x14ac:dyDescent="0.3">
      <c r="C149">
        <f>C142/(Tonne_Cap_Trucks*1000)</f>
        <v>0.24324499999999999</v>
      </c>
      <c r="D149" s="13" t="s">
        <v>87</v>
      </c>
      <c r="E149" s="8"/>
      <c r="G149" s="4"/>
      <c r="H149" s="22">
        <f>Hydrolysate/1000/'Conversions Page'!D15/'Conversions Page'!D13*0.67/997</f>
        <v>1.0784370938652394</v>
      </c>
      <c r="I149" t="s">
        <v>660</v>
      </c>
      <c r="L149" s="3"/>
      <c r="M149" s="3"/>
      <c r="N149" s="3"/>
      <c r="O149" s="65"/>
      <c r="Q149" s="3"/>
      <c r="R149" s="3"/>
      <c r="S149" s="3"/>
      <c r="T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row>
    <row r="150" spans="3:49" x14ac:dyDescent="0.3">
      <c r="G150" s="4" t="s">
        <v>353</v>
      </c>
      <c r="H150" s="143">
        <f>MJ_Per_ha_400</f>
        <v>50.206795130034394</v>
      </c>
      <c r="I150" t="s">
        <v>115</v>
      </c>
      <c r="L150" s="3"/>
      <c r="M150" s="3"/>
      <c r="N150" s="3"/>
      <c r="O150" s="65"/>
      <c r="Q150" s="3"/>
      <c r="R150" s="3"/>
      <c r="S150" s="3"/>
      <c r="T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row>
    <row r="151" spans="3:49" x14ac:dyDescent="0.3">
      <c r="C151" s="269" t="s">
        <v>27</v>
      </c>
      <c r="D151" s="269"/>
      <c r="G151" s="4"/>
      <c r="H151" s="6"/>
      <c r="L151" s="3"/>
      <c r="M151" s="3"/>
      <c r="N151" s="3"/>
      <c r="O151" s="65"/>
      <c r="Q151" s="3"/>
      <c r="R151" s="3"/>
      <c r="S151" s="3"/>
      <c r="T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row>
    <row r="152" spans="3:49" x14ac:dyDescent="0.3">
      <c r="C152">
        <f>C142</f>
        <v>4864.8999999999996</v>
      </c>
      <c r="D152" t="s">
        <v>97</v>
      </c>
      <c r="G152" s="4"/>
      <c r="H152" s="265" t="s">
        <v>30</v>
      </c>
      <c r="I152" s="265"/>
      <c r="L152" s="3"/>
      <c r="M152" s="3"/>
      <c r="N152" s="3"/>
      <c r="O152" s="65"/>
      <c r="Q152" s="3"/>
      <c r="R152" s="3"/>
      <c r="S152" s="3"/>
      <c r="T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row>
    <row r="153" spans="3:49" x14ac:dyDescent="0.3">
      <c r="G153" s="4" t="s">
        <v>156</v>
      </c>
      <c r="H153" s="33">
        <v>0.95</v>
      </c>
      <c r="I153" t="s">
        <v>183</v>
      </c>
      <c r="L153" s="3"/>
      <c r="M153" s="3"/>
      <c r="N153" s="3"/>
      <c r="O153" s="65"/>
      <c r="Q153" s="3"/>
      <c r="R153" s="3"/>
      <c r="S153" s="3"/>
      <c r="T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row>
    <row r="154" spans="3:49" x14ac:dyDescent="0.3">
      <c r="G154" s="4"/>
      <c r="H154" s="33">
        <v>0.83</v>
      </c>
      <c r="I154" t="s">
        <v>184</v>
      </c>
      <c r="J154" s="17" t="s">
        <v>153</v>
      </c>
      <c r="L154" s="3"/>
      <c r="M154" s="3"/>
      <c r="N154" s="3"/>
      <c r="O154" s="65"/>
      <c r="Q154" s="3"/>
      <c r="R154" s="3"/>
      <c r="S154" s="3"/>
      <c r="T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row>
    <row r="155" spans="3:49" x14ac:dyDescent="0.3">
      <c r="G155" s="4" t="s">
        <v>194</v>
      </c>
      <c r="H155">
        <v>0.51100000000000001</v>
      </c>
      <c r="I155" t="s">
        <v>195</v>
      </c>
      <c r="J155" s="12" t="s">
        <v>197</v>
      </c>
      <c r="L155" s="3"/>
      <c r="M155" s="3"/>
      <c r="N155" s="3"/>
      <c r="O155" s="65"/>
      <c r="Q155" s="3"/>
      <c r="R155" s="3"/>
      <c r="S155" s="3"/>
      <c r="T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row>
    <row r="156" spans="3:49" x14ac:dyDescent="0.3">
      <c r="G156" s="4" t="s">
        <v>251</v>
      </c>
      <c r="H156">
        <v>0.93100000000000005</v>
      </c>
      <c r="I156" t="s">
        <v>196</v>
      </c>
      <c r="J156" s="17" t="s">
        <v>197</v>
      </c>
      <c r="L156" s="3"/>
      <c r="M156" s="3"/>
      <c r="N156" s="3"/>
      <c r="O156" s="65"/>
      <c r="Q156" s="3"/>
      <c r="R156" s="3"/>
      <c r="S156" s="3"/>
      <c r="T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row>
    <row r="157" spans="3:49" x14ac:dyDescent="0.3">
      <c r="G157" s="4" t="s">
        <v>185</v>
      </c>
      <c r="H157">
        <f>Glucose_After_EH</f>
        <v>0.40681535199999996</v>
      </c>
      <c r="I157" t="s">
        <v>186</v>
      </c>
      <c r="L157" s="3"/>
      <c r="M157" s="3"/>
      <c r="N157" s="3"/>
      <c r="O157" s="65"/>
      <c r="Q157" s="3"/>
      <c r="R157" s="3"/>
      <c r="S157" s="3"/>
      <c r="T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row>
    <row r="158" spans="3:49" x14ac:dyDescent="0.3">
      <c r="H158">
        <f>Xylose_After_EH</f>
        <v>0.21031300000000003</v>
      </c>
      <c r="I158" t="s">
        <v>187</v>
      </c>
      <c r="L158" s="3"/>
      <c r="M158" s="3"/>
      <c r="N158" s="3"/>
      <c r="O158" s="65"/>
      <c r="Q158" s="3"/>
      <c r="R158" s="3"/>
      <c r="S158" s="3"/>
      <c r="T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row>
    <row r="159" spans="3:49" x14ac:dyDescent="0.3">
      <c r="G159" s="4" t="s">
        <v>188</v>
      </c>
      <c r="H159">
        <f>(Glucose_Proportion*Glucose_To_Ethanol_Conv)+(Xylose_Proportion*Xylose_To_Ethanol_Conv)</f>
        <v>0.56103437439999992</v>
      </c>
      <c r="I159" t="s">
        <v>189</v>
      </c>
      <c r="L159" s="3"/>
      <c r="M159" s="3"/>
      <c r="N159" s="3"/>
      <c r="O159" s="65"/>
      <c r="Q159" s="3"/>
      <c r="R159" s="3"/>
      <c r="S159" s="3"/>
      <c r="T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row>
    <row r="160" spans="3:49" x14ac:dyDescent="0.3">
      <c r="L160" s="3"/>
      <c r="M160" s="3"/>
      <c r="N160" s="3"/>
      <c r="O160" s="65"/>
      <c r="Q160" s="3"/>
      <c r="R160" s="3"/>
      <c r="S160" s="3"/>
      <c r="T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row>
    <row r="161" spans="7:49" x14ac:dyDescent="0.3">
      <c r="H161" s="269" t="s">
        <v>27</v>
      </c>
      <c r="I161" s="269"/>
      <c r="L161" s="3"/>
      <c r="M161" s="3"/>
      <c r="N161" s="3"/>
      <c r="O161" s="65"/>
      <c r="Q161" s="3"/>
      <c r="R161" s="3"/>
      <c r="S161" s="3"/>
      <c r="T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row>
    <row r="162" spans="7:49" x14ac:dyDescent="0.3">
      <c r="H162" s="22">
        <f>Ethanol_Per_kg_BM*Stover_Fermentation_Input*0.511*0.931</f>
        <v>1225.5147548581569</v>
      </c>
      <c r="I162" t="s">
        <v>190</v>
      </c>
      <c r="L162" s="3"/>
      <c r="M162" s="3"/>
      <c r="N162" s="3"/>
      <c r="O162" s="65"/>
      <c r="Q162" s="3"/>
      <c r="R162" s="3"/>
      <c r="S162" s="3"/>
      <c r="T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row>
    <row r="163" spans="7:49" x14ac:dyDescent="0.3">
      <c r="H163" s="22">
        <f>Hydrolysate</f>
        <v>22995.402898818487</v>
      </c>
      <c r="I163" t="s">
        <v>192</v>
      </c>
      <c r="L163" s="3"/>
      <c r="M163" s="3"/>
      <c r="N163" s="3"/>
      <c r="O163" s="65"/>
      <c r="Q163" s="3"/>
      <c r="R163" s="3"/>
      <c r="S163" s="3"/>
      <c r="T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row>
    <row r="164" spans="7:49" x14ac:dyDescent="0.3">
      <c r="L164" s="3"/>
      <c r="M164" s="3"/>
      <c r="N164" s="3"/>
      <c r="O164" s="65"/>
      <c r="Q164" s="3"/>
      <c r="R164" s="3"/>
      <c r="S164" s="3"/>
      <c r="T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row>
    <row r="165" spans="7:49" x14ac:dyDescent="0.3">
      <c r="G165" s="38"/>
      <c r="H165" s="39"/>
      <c r="I165" s="39"/>
      <c r="J165" s="39"/>
      <c r="L165" s="3"/>
      <c r="M165" s="3"/>
      <c r="N165" s="3"/>
      <c r="O165" s="65"/>
      <c r="Q165" s="3"/>
      <c r="R165" s="3"/>
      <c r="S165" s="3"/>
      <c r="T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row>
    <row r="166" spans="7:49" x14ac:dyDescent="0.3">
      <c r="L166" s="3"/>
      <c r="M166" s="3"/>
      <c r="N166" s="3"/>
      <c r="O166" s="65"/>
      <c r="Q166" s="3"/>
      <c r="R166" s="3"/>
      <c r="S166" s="3"/>
      <c r="T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row>
    <row r="167" spans="7:49" x14ac:dyDescent="0.3">
      <c r="L167" s="3"/>
      <c r="M167" s="3"/>
      <c r="N167" s="3"/>
      <c r="O167" s="65"/>
      <c r="Q167" s="3"/>
      <c r="R167" s="3"/>
      <c r="S167" s="3"/>
      <c r="T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row>
    <row r="168" spans="7:49" x14ac:dyDescent="0.3">
      <c r="L168" s="3"/>
      <c r="M168" s="3"/>
      <c r="N168" s="3"/>
      <c r="O168" s="65"/>
      <c r="Q168" s="3"/>
      <c r="R168" s="3"/>
      <c r="S168" s="3"/>
      <c r="T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row>
    <row r="169" spans="7:49" x14ac:dyDescent="0.3">
      <c r="L169" s="3"/>
      <c r="M169" s="3"/>
      <c r="N169" s="3"/>
      <c r="O169" s="65"/>
      <c r="Q169" s="3"/>
      <c r="R169" s="3"/>
      <c r="S169" s="3"/>
      <c r="T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row>
    <row r="170" spans="7:49" x14ac:dyDescent="0.3">
      <c r="L170" s="3"/>
      <c r="M170" s="3"/>
      <c r="N170" s="3"/>
      <c r="O170" s="65"/>
      <c r="Q170" s="3"/>
      <c r="R170" s="3"/>
      <c r="S170" s="3"/>
      <c r="T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row>
    <row r="171" spans="7:49" x14ac:dyDescent="0.3">
      <c r="L171" s="3"/>
      <c r="M171" s="3"/>
      <c r="N171" s="3"/>
      <c r="O171" s="65"/>
      <c r="Q171" s="3"/>
      <c r="R171" s="3"/>
      <c r="S171" s="3"/>
      <c r="T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row>
    <row r="172" spans="7:49" x14ac:dyDescent="0.3">
      <c r="L172" s="3"/>
      <c r="M172" s="3"/>
      <c r="N172" s="3"/>
      <c r="O172" s="65"/>
      <c r="Q172" s="3"/>
      <c r="R172" s="3"/>
      <c r="S172" s="3"/>
      <c r="T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row>
    <row r="173" spans="7:49" x14ac:dyDescent="0.3">
      <c r="L173" s="3"/>
      <c r="M173" s="3"/>
      <c r="N173" s="3"/>
      <c r="O173" s="65"/>
      <c r="Q173" s="3"/>
      <c r="R173" s="3"/>
      <c r="S173" s="3"/>
      <c r="T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row>
    <row r="174" spans="7:49" x14ac:dyDescent="0.3">
      <c r="L174" s="3"/>
      <c r="M174" s="3"/>
      <c r="N174" s="3"/>
      <c r="O174" s="65"/>
      <c r="Q174" s="3"/>
      <c r="R174" s="3"/>
      <c r="S174" s="3"/>
      <c r="T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row>
    <row r="175" spans="7:49" x14ac:dyDescent="0.3">
      <c r="L175" s="3"/>
      <c r="M175" s="3"/>
      <c r="N175" s="3"/>
      <c r="O175" s="65"/>
      <c r="Q175" s="3"/>
      <c r="R175" s="3"/>
      <c r="S175" s="3"/>
      <c r="T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row>
    <row r="176" spans="7:49" x14ac:dyDescent="0.3">
      <c r="L176" s="3"/>
      <c r="M176" s="3"/>
      <c r="N176" s="3"/>
      <c r="O176" s="65"/>
      <c r="Q176" s="3"/>
      <c r="R176" s="3"/>
      <c r="S176" s="3"/>
      <c r="T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row>
    <row r="177" spans="8:49" x14ac:dyDescent="0.3">
      <c r="L177" s="3"/>
      <c r="M177" s="3"/>
      <c r="N177" s="3"/>
      <c r="O177" s="65"/>
      <c r="Q177" s="3"/>
      <c r="R177" s="3"/>
      <c r="S177" s="3"/>
      <c r="T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row>
    <row r="178" spans="8:49" x14ac:dyDescent="0.3">
      <c r="L178" s="3"/>
      <c r="M178" s="3"/>
      <c r="N178" s="3"/>
      <c r="O178" s="65"/>
      <c r="Q178" s="3"/>
      <c r="R178" s="3"/>
      <c r="S178" s="3"/>
      <c r="T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row>
    <row r="179" spans="8:49" x14ac:dyDescent="0.3">
      <c r="L179" s="3"/>
      <c r="M179" s="3"/>
      <c r="N179" s="3"/>
      <c r="O179" s="65"/>
      <c r="Q179" s="3"/>
      <c r="R179" s="3"/>
      <c r="S179" s="3"/>
      <c r="T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row>
    <row r="180" spans="8:49" x14ac:dyDescent="0.3">
      <c r="L180" s="3"/>
      <c r="M180" s="3"/>
      <c r="N180" s="3"/>
      <c r="O180" s="65"/>
      <c r="Q180" s="3"/>
      <c r="R180" s="3"/>
      <c r="S180" s="3"/>
      <c r="T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row>
    <row r="181" spans="8:49" x14ac:dyDescent="0.3">
      <c r="L181" s="3"/>
      <c r="M181" s="3"/>
      <c r="N181" s="3"/>
      <c r="O181" s="65"/>
      <c r="Q181" s="3"/>
      <c r="R181" s="3"/>
      <c r="S181" s="3"/>
      <c r="T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row>
    <row r="182" spans="8:49" x14ac:dyDescent="0.3">
      <c r="L182" s="3"/>
      <c r="M182" s="3"/>
      <c r="N182" s="3"/>
      <c r="O182" s="65"/>
      <c r="Q182" s="3"/>
      <c r="R182" s="3"/>
      <c r="S182" s="3"/>
      <c r="T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row>
    <row r="183" spans="8:49" x14ac:dyDescent="0.3">
      <c r="L183" s="3"/>
      <c r="M183" s="3"/>
      <c r="N183" s="3"/>
      <c r="O183" s="65"/>
      <c r="Q183" s="3"/>
      <c r="R183" s="3"/>
      <c r="S183" s="3"/>
      <c r="T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row>
    <row r="184" spans="8:49" x14ac:dyDescent="0.3">
      <c r="L184" s="3"/>
      <c r="M184" s="3"/>
      <c r="N184" s="3"/>
      <c r="O184" s="65"/>
      <c r="Q184" s="3"/>
      <c r="R184" s="3"/>
      <c r="S184" s="3"/>
      <c r="T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row>
    <row r="185" spans="8:49" x14ac:dyDescent="0.3">
      <c r="L185" s="3"/>
      <c r="M185" s="3"/>
      <c r="N185" s="3"/>
      <c r="O185" s="65"/>
      <c r="Q185" s="3"/>
      <c r="R185" s="3"/>
      <c r="S185" s="3"/>
      <c r="T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row>
    <row r="186" spans="8:49" x14ac:dyDescent="0.3">
      <c r="L186" s="3"/>
      <c r="M186" s="3"/>
      <c r="N186" s="3"/>
      <c r="O186" s="65"/>
      <c r="Q186" s="3"/>
      <c r="R186" s="3"/>
      <c r="S186" s="3"/>
      <c r="T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row>
    <row r="187" spans="8:49" x14ac:dyDescent="0.3">
      <c r="L187" s="3"/>
      <c r="M187" s="3"/>
      <c r="N187" s="3"/>
      <c r="O187" s="65"/>
      <c r="Q187" s="3"/>
      <c r="R187" s="3"/>
      <c r="S187" s="3"/>
      <c r="T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row>
    <row r="188" spans="8:49" x14ac:dyDescent="0.3">
      <c r="L188" s="3"/>
      <c r="M188" s="3"/>
      <c r="N188" s="3"/>
      <c r="O188" s="65"/>
      <c r="Q188" s="3"/>
      <c r="R188" s="3"/>
      <c r="S188" s="3"/>
      <c r="T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row>
    <row r="189" spans="8:49" x14ac:dyDescent="0.3">
      <c r="H189" s="4"/>
      <c r="L189" s="3"/>
      <c r="M189" s="3"/>
      <c r="N189" s="3"/>
      <c r="O189" s="65"/>
      <c r="Q189" s="3"/>
      <c r="R189" s="3"/>
      <c r="S189" s="3"/>
      <c r="T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row>
    <row r="190" spans="8:49" x14ac:dyDescent="0.3">
      <c r="H190" s="4"/>
      <c r="L190" s="3"/>
      <c r="M190" s="3"/>
      <c r="N190" s="3"/>
      <c r="O190" s="65"/>
      <c r="Q190" s="3"/>
      <c r="R190" s="3"/>
      <c r="S190" s="3"/>
      <c r="T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row>
    <row r="191" spans="8:49" x14ac:dyDescent="0.3">
      <c r="H191" s="4"/>
      <c r="L191" s="3"/>
      <c r="M191" s="3"/>
      <c r="N191" s="3"/>
      <c r="O191" s="65"/>
      <c r="Q191" s="3"/>
      <c r="R191" s="3"/>
      <c r="S191" s="3"/>
      <c r="T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row>
    <row r="192" spans="8:49" x14ac:dyDescent="0.3">
      <c r="H192" s="4"/>
      <c r="L192" s="3"/>
      <c r="M192" s="3"/>
      <c r="N192" s="3"/>
      <c r="O192" s="65"/>
      <c r="Q192" s="3"/>
      <c r="R192" s="3"/>
      <c r="S192" s="3"/>
      <c r="T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row>
    <row r="193" spans="8:49" x14ac:dyDescent="0.3">
      <c r="H193" s="4"/>
      <c r="L193" s="3"/>
      <c r="M193" s="3"/>
      <c r="N193" s="3"/>
      <c r="O193" s="65"/>
      <c r="Q193" s="3"/>
      <c r="R193" s="3"/>
      <c r="S193" s="3"/>
      <c r="T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row>
    <row r="194" spans="8:49" x14ac:dyDescent="0.3">
      <c r="H194" s="4"/>
      <c r="L194" s="3"/>
      <c r="M194" s="3"/>
      <c r="N194" s="3"/>
      <c r="O194" s="65"/>
      <c r="Q194" s="3"/>
      <c r="R194" s="3"/>
      <c r="S194" s="3"/>
      <c r="T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row>
    <row r="195" spans="8:49" x14ac:dyDescent="0.3">
      <c r="H195" s="4"/>
      <c r="L195" s="3"/>
      <c r="M195" s="3"/>
      <c r="N195" s="3"/>
      <c r="O195" s="65"/>
      <c r="Q195" s="3"/>
      <c r="R195" s="3"/>
      <c r="S195" s="3"/>
      <c r="T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row>
    <row r="196" spans="8:49" x14ac:dyDescent="0.3">
      <c r="H196" s="4"/>
      <c r="L196" s="3"/>
      <c r="M196" s="3"/>
      <c r="N196" s="3"/>
      <c r="O196" s="65"/>
      <c r="Q196" s="3"/>
      <c r="R196" s="3"/>
      <c r="S196" s="3"/>
      <c r="T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row>
    <row r="197" spans="8:49" x14ac:dyDescent="0.3">
      <c r="H197" s="4"/>
      <c r="L197" s="3"/>
      <c r="M197" s="3"/>
      <c r="N197" s="3"/>
      <c r="O197" s="65"/>
      <c r="Q197" s="3"/>
      <c r="R197" s="3"/>
      <c r="S197" s="3"/>
      <c r="T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row>
    <row r="198" spans="8:49" x14ac:dyDescent="0.3">
      <c r="H198" s="4"/>
      <c r="L198" s="3"/>
      <c r="M198" s="3"/>
      <c r="N198" s="3"/>
      <c r="O198" s="65"/>
      <c r="Q198" s="3"/>
      <c r="R198" s="3"/>
      <c r="S198" s="3"/>
      <c r="T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row>
    <row r="199" spans="8:49" x14ac:dyDescent="0.3">
      <c r="H199" s="4"/>
      <c r="L199" s="3"/>
      <c r="M199" s="3"/>
      <c r="N199" s="3"/>
      <c r="O199" s="65"/>
      <c r="Q199" s="3"/>
      <c r="R199" s="3"/>
      <c r="S199" s="3"/>
      <c r="T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row>
    <row r="200" spans="8:49" x14ac:dyDescent="0.3">
      <c r="L200" s="3"/>
      <c r="M200" s="3"/>
      <c r="N200" s="3"/>
      <c r="O200" s="65"/>
      <c r="Q200" s="3"/>
      <c r="R200" s="3"/>
      <c r="S200" s="3"/>
      <c r="T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row>
    <row r="201" spans="8:49" x14ac:dyDescent="0.3">
      <c r="L201" s="3"/>
      <c r="M201" s="3"/>
      <c r="N201" s="3"/>
      <c r="O201" s="65"/>
      <c r="Q201" s="3"/>
      <c r="R201" s="3"/>
      <c r="S201" s="3"/>
      <c r="T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row>
    <row r="202" spans="8:49" x14ac:dyDescent="0.3">
      <c r="L202" s="3"/>
      <c r="M202" s="3"/>
      <c r="N202" s="3"/>
      <c r="O202" s="65"/>
      <c r="Q202" s="3"/>
      <c r="R202" s="3"/>
      <c r="S202" s="3"/>
      <c r="T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row>
    <row r="203" spans="8:49" x14ac:dyDescent="0.3">
      <c r="L203" s="3"/>
      <c r="M203" s="3"/>
      <c r="N203" s="3"/>
      <c r="O203" s="65"/>
      <c r="Q203" s="3"/>
      <c r="R203" s="3"/>
      <c r="S203" s="3"/>
      <c r="T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row>
    <row r="204" spans="8:49" x14ac:dyDescent="0.3">
      <c r="L204" s="3"/>
      <c r="M204" s="3"/>
      <c r="N204" s="3"/>
      <c r="O204" s="65"/>
      <c r="Q204" s="3"/>
      <c r="R204" s="3"/>
      <c r="S204" s="3"/>
      <c r="T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row>
    <row r="205" spans="8:49" x14ac:dyDescent="0.3">
      <c r="L205" s="3"/>
      <c r="M205" s="3"/>
      <c r="N205" s="3"/>
      <c r="O205" s="65"/>
      <c r="Q205" s="3"/>
      <c r="R205" s="3"/>
      <c r="S205" s="3"/>
      <c r="T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row>
    <row r="206" spans="8:49" x14ac:dyDescent="0.3">
      <c r="L206" s="3"/>
      <c r="M206" s="3"/>
      <c r="N206" s="3"/>
      <c r="O206" s="65"/>
      <c r="Q206" s="3"/>
      <c r="R206" s="3"/>
      <c r="S206" s="3"/>
      <c r="T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row>
    <row r="207" spans="8:49" x14ac:dyDescent="0.3">
      <c r="L207" s="3"/>
      <c r="M207" s="3"/>
      <c r="N207" s="3"/>
      <c r="O207" s="65"/>
      <c r="Q207" s="3"/>
      <c r="R207" s="3"/>
      <c r="S207" s="3"/>
      <c r="T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row>
    <row r="208" spans="8:49" x14ac:dyDescent="0.3">
      <c r="L208" s="3"/>
      <c r="M208" s="3"/>
      <c r="N208" s="3"/>
      <c r="O208" s="65"/>
      <c r="Q208" s="3"/>
      <c r="R208" s="3"/>
      <c r="S208" s="3"/>
      <c r="T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row>
    <row r="209" spans="12:49" x14ac:dyDescent="0.3">
      <c r="L209" s="3"/>
      <c r="M209" s="3"/>
      <c r="N209" s="3"/>
      <c r="O209" s="65"/>
      <c r="Q209" s="3"/>
      <c r="R209" s="3"/>
      <c r="S209" s="3"/>
      <c r="T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row>
    <row r="210" spans="12:49" x14ac:dyDescent="0.3">
      <c r="L210" s="3"/>
      <c r="M210" s="3"/>
      <c r="N210" s="3"/>
      <c r="O210" s="65"/>
      <c r="Q210" s="3"/>
      <c r="R210" s="3"/>
      <c r="S210" s="3"/>
      <c r="T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row>
    <row r="211" spans="12:49" x14ac:dyDescent="0.3">
      <c r="L211" s="3"/>
      <c r="M211" s="3"/>
      <c r="N211" s="3"/>
      <c r="O211" s="65"/>
      <c r="Q211" s="3"/>
      <c r="R211" s="3"/>
      <c r="S211" s="3"/>
      <c r="T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row>
    <row r="212" spans="12:49" x14ac:dyDescent="0.3">
      <c r="L212" s="3"/>
      <c r="M212" s="3"/>
      <c r="N212" s="3"/>
      <c r="O212" s="65"/>
      <c r="Q212" s="3"/>
      <c r="R212" s="3"/>
      <c r="S212" s="3"/>
      <c r="T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row>
    <row r="213" spans="12:49" x14ac:dyDescent="0.3">
      <c r="L213" s="3"/>
      <c r="M213" s="3"/>
      <c r="N213" s="3"/>
      <c r="O213" s="65"/>
      <c r="Q213" s="3"/>
      <c r="R213" s="3"/>
      <c r="S213" s="3"/>
      <c r="T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row>
    <row r="214" spans="12:49" x14ac:dyDescent="0.3">
      <c r="L214" s="3"/>
      <c r="M214" s="3"/>
      <c r="N214" s="3"/>
      <c r="O214" s="65"/>
      <c r="Q214" s="3"/>
      <c r="R214" s="3"/>
      <c r="S214" s="3"/>
      <c r="T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row>
    <row r="215" spans="12:49" x14ac:dyDescent="0.3">
      <c r="L215" s="3"/>
      <c r="M215" s="3"/>
      <c r="N215" s="3"/>
      <c r="O215" s="65"/>
      <c r="Q215" s="3"/>
      <c r="R215" s="3"/>
      <c r="S215" s="3"/>
      <c r="T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row>
    <row r="216" spans="12:49" x14ac:dyDescent="0.3">
      <c r="L216" s="3"/>
      <c r="M216" s="3"/>
      <c r="N216" s="3"/>
      <c r="O216" s="65"/>
      <c r="Q216" s="3"/>
      <c r="R216" s="3"/>
      <c r="S216" s="3"/>
      <c r="T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row>
    <row r="217" spans="12:49" x14ac:dyDescent="0.3">
      <c r="L217" s="3"/>
      <c r="M217" s="3"/>
      <c r="N217" s="3"/>
      <c r="O217" s="65"/>
      <c r="Q217" s="3"/>
      <c r="R217" s="3"/>
      <c r="S217" s="3"/>
      <c r="T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row>
    <row r="218" spans="12:49" x14ac:dyDescent="0.3">
      <c r="L218" s="3"/>
      <c r="M218" s="3"/>
      <c r="N218" s="3"/>
      <c r="O218" s="65"/>
      <c r="Q218" s="3"/>
      <c r="R218" s="3"/>
      <c r="S218" s="3"/>
      <c r="T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row>
    <row r="219" spans="12:49" x14ac:dyDescent="0.3">
      <c r="L219" s="3"/>
      <c r="M219" s="3"/>
      <c r="N219" s="3"/>
      <c r="O219" s="65"/>
      <c r="Q219" s="3"/>
      <c r="R219" s="3"/>
      <c r="S219" s="3"/>
      <c r="T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row>
    <row r="220" spans="12:49" x14ac:dyDescent="0.3">
      <c r="L220" s="3"/>
      <c r="M220" s="3"/>
      <c r="N220" s="3"/>
      <c r="O220" s="65"/>
      <c r="Q220" s="3"/>
      <c r="R220" s="3"/>
      <c r="S220" s="3"/>
      <c r="T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row>
    <row r="221" spans="12:49" x14ac:dyDescent="0.3">
      <c r="L221" s="3"/>
      <c r="M221" s="3"/>
      <c r="N221" s="3"/>
      <c r="O221" s="65"/>
      <c r="Q221" s="3"/>
      <c r="R221" s="3"/>
      <c r="S221" s="3"/>
      <c r="T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row>
    <row r="222" spans="12:49" x14ac:dyDescent="0.3">
      <c r="L222" s="3"/>
      <c r="M222" s="3"/>
      <c r="N222" s="3"/>
      <c r="O222" s="65"/>
      <c r="Q222" s="3"/>
      <c r="R222" s="3"/>
      <c r="S222" s="3"/>
      <c r="T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row>
    <row r="223" spans="12:49" x14ac:dyDescent="0.3">
      <c r="L223" s="3"/>
      <c r="M223" s="3"/>
      <c r="N223" s="3"/>
      <c r="O223" s="65"/>
      <c r="Q223" s="3"/>
      <c r="R223" s="3"/>
      <c r="S223" s="3"/>
      <c r="T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row>
    <row r="224" spans="12:49" x14ac:dyDescent="0.3">
      <c r="L224" s="3"/>
      <c r="M224" s="3"/>
      <c r="N224" s="3"/>
      <c r="O224" s="65"/>
      <c r="Q224" s="3"/>
      <c r="R224" s="3"/>
      <c r="S224" s="3"/>
      <c r="T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row>
    <row r="225" spans="12:49" x14ac:dyDescent="0.3">
      <c r="L225" s="3"/>
      <c r="M225" s="3"/>
      <c r="N225" s="3"/>
      <c r="O225" s="65"/>
      <c r="Q225" s="3"/>
      <c r="R225" s="3"/>
      <c r="S225" s="3"/>
      <c r="T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row>
    <row r="226" spans="12:49" x14ac:dyDescent="0.3">
      <c r="L226" s="3"/>
      <c r="M226" s="3"/>
      <c r="N226" s="3"/>
      <c r="O226" s="65"/>
      <c r="Q226" s="3"/>
      <c r="R226" s="3"/>
      <c r="S226" s="3"/>
      <c r="T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row>
    <row r="227" spans="12:49" x14ac:dyDescent="0.3">
      <c r="L227" s="3"/>
      <c r="M227" s="3"/>
      <c r="N227" s="3"/>
      <c r="O227" s="65"/>
      <c r="Q227" s="3"/>
      <c r="R227" s="3"/>
      <c r="S227" s="3"/>
      <c r="T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row>
    <row r="228" spans="12:49" x14ac:dyDescent="0.3">
      <c r="L228" s="3"/>
      <c r="M228" s="3"/>
      <c r="N228" s="3"/>
      <c r="O228" s="65"/>
      <c r="Q228" s="3"/>
      <c r="R228" s="3"/>
      <c r="S228" s="3"/>
      <c r="T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row>
    <row r="229" spans="12:49" x14ac:dyDescent="0.3">
      <c r="L229" s="3"/>
      <c r="M229" s="3"/>
      <c r="N229" s="3"/>
      <c r="O229" s="65"/>
      <c r="Q229" s="3"/>
      <c r="R229" s="3"/>
      <c r="S229" s="3"/>
      <c r="T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row>
    <row r="230" spans="12:49" x14ac:dyDescent="0.3">
      <c r="L230" s="3"/>
      <c r="M230" s="3"/>
      <c r="N230" s="3"/>
      <c r="O230" s="65"/>
      <c r="Q230" s="3"/>
      <c r="R230" s="3"/>
      <c r="S230" s="3"/>
      <c r="T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row>
    <row r="231" spans="12:49" x14ac:dyDescent="0.3">
      <c r="L231" s="3"/>
      <c r="M231" s="3"/>
      <c r="N231" s="3"/>
      <c r="O231" s="65"/>
      <c r="Q231" s="3"/>
      <c r="R231" s="3"/>
      <c r="S231" s="3"/>
      <c r="T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row>
    <row r="232" spans="12:49" x14ac:dyDescent="0.3">
      <c r="L232" s="3"/>
      <c r="M232" s="3"/>
      <c r="N232" s="3"/>
      <c r="O232" s="65"/>
      <c r="Q232" s="3"/>
      <c r="R232" s="3"/>
      <c r="S232" s="3"/>
      <c r="T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row>
    <row r="233" spans="12:49" x14ac:dyDescent="0.3">
      <c r="L233" s="3"/>
      <c r="M233" s="3"/>
      <c r="N233" s="3"/>
      <c r="O233" s="65"/>
      <c r="Q233" s="3"/>
      <c r="R233" s="3"/>
      <c r="S233" s="3"/>
      <c r="T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row>
    <row r="234" spans="12:49" x14ac:dyDescent="0.3">
      <c r="L234" s="3"/>
      <c r="M234" s="3"/>
      <c r="N234" s="3"/>
      <c r="O234" s="65"/>
      <c r="Q234" s="3"/>
      <c r="R234" s="3"/>
      <c r="S234" s="3"/>
      <c r="T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row>
    <row r="235" spans="12:49" x14ac:dyDescent="0.3">
      <c r="L235" s="3"/>
      <c r="M235" s="3"/>
      <c r="N235" s="3"/>
      <c r="O235" s="65"/>
      <c r="Q235" s="3"/>
      <c r="R235" s="3"/>
      <c r="S235" s="3"/>
      <c r="T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row>
    <row r="236" spans="12:49" x14ac:dyDescent="0.3">
      <c r="L236" s="3"/>
      <c r="M236" s="3"/>
      <c r="N236" s="3"/>
      <c r="O236" s="65"/>
      <c r="Q236" s="3"/>
      <c r="R236" s="3"/>
      <c r="S236" s="3"/>
      <c r="T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row>
    <row r="237" spans="12:49" x14ac:dyDescent="0.3">
      <c r="L237" s="3"/>
      <c r="M237" s="3"/>
      <c r="N237" s="3"/>
      <c r="O237" s="65"/>
      <c r="Q237" s="3"/>
      <c r="R237" s="3"/>
      <c r="S237" s="3"/>
      <c r="T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row>
    <row r="238" spans="12:49" x14ac:dyDescent="0.3">
      <c r="L238" s="3"/>
      <c r="M238" s="3"/>
      <c r="N238" s="3"/>
      <c r="O238" s="65"/>
      <c r="Q238" s="3"/>
      <c r="R238" s="3"/>
      <c r="S238" s="3"/>
      <c r="T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row>
    <row r="239" spans="12:49" x14ac:dyDescent="0.3">
      <c r="L239" s="3"/>
      <c r="M239" s="3"/>
      <c r="N239" s="3"/>
      <c r="O239" s="65"/>
      <c r="Q239" s="3"/>
      <c r="R239" s="3"/>
      <c r="S239" s="3"/>
      <c r="T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row>
    <row r="240" spans="12:49" x14ac:dyDescent="0.3">
      <c r="L240" s="3"/>
      <c r="M240" s="3"/>
      <c r="N240" s="3"/>
      <c r="O240" s="65"/>
      <c r="Q240" s="3"/>
      <c r="R240" s="3"/>
      <c r="S240" s="3"/>
      <c r="T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row>
    <row r="241" spans="12:49" x14ac:dyDescent="0.3">
      <c r="L241" s="3"/>
      <c r="M241" s="3"/>
      <c r="N241" s="3"/>
      <c r="O241" s="65"/>
      <c r="Q241" s="3"/>
      <c r="R241" s="3"/>
      <c r="S241" s="3"/>
      <c r="T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row>
    <row r="242" spans="12:49" x14ac:dyDescent="0.3">
      <c r="L242" s="3"/>
      <c r="M242" s="3"/>
      <c r="N242" s="3"/>
      <c r="O242" s="65"/>
      <c r="Q242" s="3"/>
      <c r="R242" s="3"/>
      <c r="S242" s="3"/>
      <c r="T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row>
    <row r="243" spans="12:49" x14ac:dyDescent="0.3">
      <c r="L243" s="3"/>
      <c r="M243" s="3"/>
      <c r="N243" s="3"/>
      <c r="O243" s="65"/>
      <c r="Q243" s="3"/>
      <c r="R243" s="3"/>
      <c r="S243" s="3"/>
      <c r="T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row>
    <row r="244" spans="12:49" x14ac:dyDescent="0.3">
      <c r="L244" s="3"/>
      <c r="M244" s="3"/>
      <c r="N244" s="3"/>
      <c r="O244" s="65"/>
      <c r="Q244" s="3"/>
      <c r="R244" s="3"/>
      <c r="S244" s="3"/>
      <c r="T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row>
    <row r="245" spans="12:49" x14ac:dyDescent="0.3">
      <c r="L245" s="3"/>
      <c r="M245" s="3"/>
      <c r="N245" s="3"/>
      <c r="O245" s="65"/>
      <c r="Q245" s="3"/>
      <c r="R245" s="3"/>
      <c r="S245" s="3"/>
      <c r="T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row>
    <row r="246" spans="12:49" x14ac:dyDescent="0.3">
      <c r="L246" s="3"/>
      <c r="M246" s="3"/>
      <c r="N246" s="3"/>
      <c r="O246" s="65"/>
      <c r="Q246" s="3"/>
      <c r="R246" s="3"/>
      <c r="S246" s="3"/>
      <c r="T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row>
    <row r="247" spans="12:49" x14ac:dyDescent="0.3">
      <c r="L247" s="3"/>
      <c r="M247" s="3"/>
      <c r="N247" s="3"/>
      <c r="O247" s="65"/>
      <c r="Q247" s="3"/>
      <c r="R247" s="3"/>
      <c r="S247" s="3"/>
      <c r="T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row>
    <row r="248" spans="12:49" x14ac:dyDescent="0.3">
      <c r="L248" s="3"/>
      <c r="M248" s="3"/>
      <c r="N248" s="3"/>
      <c r="O248" s="65"/>
      <c r="Q248" s="3"/>
      <c r="R248" s="3"/>
      <c r="S248" s="3"/>
      <c r="T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row>
    <row r="249" spans="12:49" x14ac:dyDescent="0.3">
      <c r="L249" s="3"/>
      <c r="M249" s="3"/>
      <c r="N249" s="3"/>
      <c r="O249" s="65"/>
      <c r="Q249" s="3"/>
      <c r="R249" s="3"/>
      <c r="S249" s="3"/>
      <c r="T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row>
    <row r="250" spans="12:49" x14ac:dyDescent="0.3">
      <c r="L250" s="3"/>
      <c r="M250" s="3"/>
      <c r="N250" s="3"/>
      <c r="O250" s="65"/>
      <c r="Q250" s="3"/>
      <c r="R250" s="3"/>
      <c r="S250" s="3"/>
      <c r="T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row>
    <row r="251" spans="12:49" x14ac:dyDescent="0.3">
      <c r="L251" s="3"/>
      <c r="M251" s="3"/>
      <c r="N251" s="3"/>
      <c r="O251" s="65"/>
      <c r="Q251" s="3"/>
      <c r="R251" s="3"/>
      <c r="S251" s="3"/>
      <c r="T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row>
    <row r="252" spans="12:49" x14ac:dyDescent="0.3">
      <c r="L252" s="3"/>
      <c r="M252" s="3"/>
      <c r="N252" s="3"/>
      <c r="O252" s="65"/>
      <c r="Q252" s="3"/>
      <c r="R252" s="3"/>
      <c r="S252" s="3"/>
      <c r="T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row>
    <row r="253" spans="12:49" x14ac:dyDescent="0.3">
      <c r="L253" s="3"/>
      <c r="M253" s="3"/>
      <c r="N253" s="3"/>
      <c r="O253" s="65"/>
      <c r="Q253" s="3"/>
      <c r="R253" s="3"/>
      <c r="S253" s="3"/>
      <c r="T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row>
    <row r="254" spans="12:49" x14ac:dyDescent="0.3">
      <c r="L254" s="3"/>
      <c r="M254" s="3"/>
      <c r="N254" s="3"/>
      <c r="O254" s="65"/>
      <c r="Q254" s="3"/>
      <c r="R254" s="3"/>
      <c r="S254" s="3"/>
      <c r="T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row>
    <row r="255" spans="12:49" x14ac:dyDescent="0.3">
      <c r="L255" s="3"/>
      <c r="M255" s="3"/>
      <c r="N255" s="3"/>
      <c r="O255" s="65"/>
      <c r="Q255" s="3"/>
      <c r="R255" s="3"/>
      <c r="S255" s="3"/>
      <c r="T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row>
    <row r="256" spans="12:49" x14ac:dyDescent="0.3">
      <c r="L256" s="3"/>
      <c r="M256" s="3"/>
      <c r="N256" s="3"/>
      <c r="O256" s="65"/>
      <c r="Q256" s="3"/>
      <c r="R256" s="3"/>
      <c r="S256" s="3"/>
      <c r="T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row>
    <row r="257" spans="12:49" x14ac:dyDescent="0.3">
      <c r="L257" s="3"/>
      <c r="M257" s="3"/>
      <c r="N257" s="3"/>
      <c r="O257" s="65"/>
      <c r="Q257" s="3"/>
      <c r="R257" s="3"/>
      <c r="S257" s="3"/>
      <c r="T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row>
    <row r="258" spans="12:49" x14ac:dyDescent="0.3">
      <c r="L258" s="3"/>
      <c r="M258" s="3"/>
      <c r="N258" s="3"/>
      <c r="O258" s="65"/>
      <c r="Q258" s="3"/>
      <c r="R258" s="3"/>
      <c r="S258" s="3"/>
      <c r="T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row>
    <row r="259" spans="12:49" x14ac:dyDescent="0.3">
      <c r="L259" s="3"/>
      <c r="M259" s="3"/>
      <c r="N259" s="3"/>
      <c r="O259" s="65"/>
      <c r="Q259" s="3"/>
      <c r="R259" s="3"/>
      <c r="S259" s="3"/>
      <c r="T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row>
    <row r="260" spans="12:49" x14ac:dyDescent="0.3">
      <c r="L260" s="3"/>
      <c r="M260" s="3"/>
      <c r="N260" s="3"/>
      <c r="O260" s="65"/>
      <c r="Q260" s="3"/>
      <c r="R260" s="3"/>
      <c r="S260" s="3"/>
      <c r="T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row>
    <row r="261" spans="12:49" x14ac:dyDescent="0.3">
      <c r="L261" s="3"/>
      <c r="M261" s="3"/>
      <c r="N261" s="3"/>
      <c r="O261" s="65"/>
      <c r="Q261" s="3"/>
      <c r="R261" s="3"/>
      <c r="S261" s="3"/>
      <c r="T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row>
    <row r="262" spans="12:49" x14ac:dyDescent="0.3">
      <c r="L262" s="3"/>
      <c r="M262" s="3"/>
      <c r="N262" s="3"/>
      <c r="O262" s="65"/>
      <c r="Q262" s="3"/>
      <c r="R262" s="3"/>
      <c r="S262" s="3"/>
      <c r="T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row>
    <row r="263" spans="12:49" x14ac:dyDescent="0.3">
      <c r="L263" s="3"/>
      <c r="M263" s="3"/>
      <c r="N263" s="3"/>
      <c r="O263" s="65"/>
      <c r="Q263" s="3"/>
      <c r="R263" s="3"/>
      <c r="S263" s="3"/>
      <c r="T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row>
    <row r="264" spans="12:49" x14ac:dyDescent="0.3">
      <c r="L264" s="3"/>
      <c r="M264" s="3"/>
      <c r="N264" s="3"/>
      <c r="O264" s="65"/>
      <c r="Q264" s="3"/>
      <c r="R264" s="3"/>
      <c r="S264" s="3"/>
      <c r="T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row>
    <row r="265" spans="12:49" x14ac:dyDescent="0.3">
      <c r="L265" s="3"/>
      <c r="M265" s="3"/>
      <c r="N265" s="3"/>
      <c r="O265" s="65"/>
      <c r="Q265" s="3"/>
      <c r="R265" s="3"/>
      <c r="S265" s="3"/>
      <c r="T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row>
    <row r="266" spans="12:49" x14ac:dyDescent="0.3">
      <c r="L266" s="3"/>
      <c r="M266" s="3"/>
      <c r="N266" s="3"/>
      <c r="O266" s="65"/>
      <c r="Q266" s="3"/>
      <c r="R266" s="3"/>
      <c r="S266" s="3"/>
      <c r="T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row>
    <row r="267" spans="12:49" x14ac:dyDescent="0.3">
      <c r="L267" s="3"/>
      <c r="M267" s="3"/>
      <c r="N267" s="3"/>
      <c r="O267" s="65"/>
      <c r="Q267" s="3"/>
      <c r="R267" s="3"/>
      <c r="S267" s="3"/>
      <c r="T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row>
    <row r="268" spans="12:49" x14ac:dyDescent="0.3">
      <c r="L268" s="3"/>
      <c r="M268" s="3"/>
      <c r="N268" s="3"/>
      <c r="O268" s="65"/>
      <c r="Q268" s="3"/>
      <c r="R268" s="3"/>
      <c r="S268" s="3"/>
      <c r="T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row>
    <row r="269" spans="12:49" x14ac:dyDescent="0.3">
      <c r="L269" s="3"/>
      <c r="M269" s="3"/>
      <c r="N269" s="3"/>
      <c r="O269" s="65"/>
      <c r="Q269" s="3"/>
      <c r="R269" s="3"/>
      <c r="S269" s="3"/>
      <c r="T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row>
    <row r="270" spans="12:49" x14ac:dyDescent="0.3">
      <c r="L270" s="3"/>
      <c r="M270" s="3"/>
      <c r="N270" s="3"/>
      <c r="O270" s="65"/>
      <c r="Q270" s="3"/>
      <c r="R270" s="3"/>
      <c r="S270" s="3"/>
      <c r="T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row>
    <row r="271" spans="12:49" x14ac:dyDescent="0.3">
      <c r="L271" s="3"/>
      <c r="M271" s="3"/>
      <c r="N271" s="3"/>
      <c r="O271" s="65"/>
      <c r="Q271" s="3"/>
      <c r="R271" s="3"/>
      <c r="S271" s="3"/>
      <c r="T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row>
    <row r="272" spans="12:49" x14ac:dyDescent="0.3">
      <c r="L272" s="3"/>
      <c r="M272" s="3"/>
      <c r="N272" s="3"/>
      <c r="O272" s="65"/>
      <c r="Q272" s="3"/>
      <c r="R272" s="3"/>
      <c r="S272" s="3"/>
      <c r="T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row>
    <row r="273" spans="12:49" x14ac:dyDescent="0.3">
      <c r="L273" s="3"/>
      <c r="M273" s="3"/>
      <c r="N273" s="3"/>
      <c r="O273" s="65"/>
      <c r="Q273" s="3"/>
      <c r="R273" s="3"/>
      <c r="S273" s="3"/>
      <c r="T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row>
    <row r="274" spans="12:49" x14ac:dyDescent="0.3">
      <c r="L274" s="3"/>
      <c r="M274" s="3"/>
      <c r="N274" s="3"/>
      <c r="O274" s="65"/>
      <c r="Q274" s="3"/>
      <c r="R274" s="3"/>
      <c r="S274" s="3"/>
      <c r="T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row>
    <row r="275" spans="12:49" x14ac:dyDescent="0.3">
      <c r="L275" s="3"/>
      <c r="M275" s="3"/>
      <c r="N275" s="3"/>
      <c r="O275" s="65"/>
      <c r="Q275" s="3"/>
      <c r="R275" s="3"/>
      <c r="S275" s="3"/>
      <c r="T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row>
    <row r="276" spans="12:49" x14ac:dyDescent="0.3">
      <c r="L276" s="3"/>
      <c r="M276" s="3"/>
      <c r="N276" s="3"/>
      <c r="O276" s="65"/>
      <c r="Q276" s="3"/>
      <c r="R276" s="3"/>
      <c r="S276" s="3"/>
      <c r="T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row>
    <row r="277" spans="12:49" x14ac:dyDescent="0.3">
      <c r="L277" s="3"/>
      <c r="M277" s="3"/>
      <c r="N277" s="3"/>
      <c r="O277" s="65"/>
      <c r="Q277" s="3"/>
      <c r="R277" s="3"/>
      <c r="S277" s="3"/>
      <c r="T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row>
    <row r="278" spans="12:49" x14ac:dyDescent="0.3">
      <c r="L278" s="3"/>
      <c r="M278" s="3"/>
      <c r="N278" s="3"/>
      <c r="O278" s="65"/>
      <c r="Q278" s="3"/>
      <c r="R278" s="3"/>
      <c r="S278" s="3"/>
      <c r="T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row>
    <row r="279" spans="12:49" x14ac:dyDescent="0.3">
      <c r="L279" s="3"/>
      <c r="M279" s="3"/>
      <c r="N279" s="3"/>
      <c r="O279" s="65"/>
      <c r="Q279" s="3"/>
      <c r="R279" s="3"/>
      <c r="S279" s="3"/>
      <c r="T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row>
    <row r="280" spans="12:49" x14ac:dyDescent="0.3">
      <c r="L280" s="3"/>
      <c r="M280" s="3"/>
      <c r="N280" s="3"/>
      <c r="O280" s="65"/>
      <c r="Q280" s="3"/>
      <c r="R280" s="3"/>
      <c r="S280" s="3"/>
      <c r="T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row>
    <row r="281" spans="12:49" x14ac:dyDescent="0.3">
      <c r="L281" s="3"/>
      <c r="M281" s="3"/>
      <c r="N281" s="3"/>
      <c r="O281" s="65"/>
      <c r="Q281" s="3"/>
      <c r="R281" s="3"/>
      <c r="S281" s="3"/>
      <c r="T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row>
    <row r="282" spans="12:49" x14ac:dyDescent="0.3">
      <c r="L282" s="3"/>
      <c r="M282" s="3"/>
      <c r="N282" s="3"/>
      <c r="O282" s="65"/>
      <c r="Q282" s="3"/>
      <c r="R282" s="3"/>
      <c r="S282" s="3"/>
      <c r="T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row>
    <row r="283" spans="12:49" x14ac:dyDescent="0.3">
      <c r="L283" s="3"/>
      <c r="M283" s="3"/>
      <c r="N283" s="3"/>
      <c r="O283" s="65"/>
      <c r="Q283" s="3"/>
      <c r="R283" s="3"/>
      <c r="S283" s="3"/>
      <c r="T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row>
    <row r="284" spans="12:49" x14ac:dyDescent="0.3">
      <c r="L284" s="3"/>
      <c r="M284" s="3"/>
      <c r="N284" s="3"/>
      <c r="O284" s="65"/>
      <c r="Q284" s="3"/>
      <c r="R284" s="3"/>
      <c r="S284" s="3"/>
      <c r="T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row>
    <row r="285" spans="12:49" x14ac:dyDescent="0.3">
      <c r="L285" s="3"/>
      <c r="M285" s="3"/>
      <c r="N285" s="3"/>
      <c r="O285" s="65"/>
      <c r="Q285" s="3"/>
      <c r="R285" s="3"/>
      <c r="S285" s="3"/>
      <c r="T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row>
    <row r="286" spans="12:49" x14ac:dyDescent="0.3">
      <c r="L286" s="3"/>
      <c r="M286" s="3"/>
      <c r="N286" s="3"/>
      <c r="O286" s="65"/>
      <c r="Q286" s="3"/>
      <c r="R286" s="3"/>
      <c r="S286" s="3"/>
      <c r="T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row>
    <row r="287" spans="12:49" x14ac:dyDescent="0.3">
      <c r="L287" s="3"/>
      <c r="M287" s="3"/>
      <c r="N287" s="3"/>
      <c r="O287" s="65"/>
      <c r="Q287" s="3"/>
      <c r="R287" s="3"/>
      <c r="S287" s="3"/>
      <c r="T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row>
    <row r="288" spans="12:49" x14ac:dyDescent="0.3">
      <c r="L288" s="3"/>
      <c r="M288" s="3"/>
      <c r="N288" s="3"/>
      <c r="O288" s="65"/>
      <c r="Q288" s="3"/>
      <c r="R288" s="3"/>
      <c r="S288" s="3"/>
      <c r="T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row>
    <row r="289" spans="12:49" x14ac:dyDescent="0.3">
      <c r="L289" s="3"/>
      <c r="M289" s="3"/>
      <c r="N289" s="3"/>
      <c r="O289" s="65"/>
      <c r="Q289" s="3"/>
      <c r="R289" s="3"/>
      <c r="S289" s="3"/>
      <c r="T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row>
    <row r="290" spans="12:49" x14ac:dyDescent="0.3">
      <c r="L290" s="3"/>
      <c r="M290" s="3"/>
      <c r="N290" s="3"/>
      <c r="O290" s="65"/>
      <c r="Q290" s="3"/>
      <c r="R290" s="3"/>
      <c r="S290" s="3"/>
      <c r="T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row>
    <row r="291" spans="12:49" x14ac:dyDescent="0.3">
      <c r="L291" s="3"/>
      <c r="M291" s="3"/>
      <c r="N291" s="3"/>
      <c r="O291" s="65"/>
      <c r="Q291" s="3"/>
      <c r="R291" s="3"/>
      <c r="S291" s="3"/>
      <c r="T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row>
    <row r="292" spans="12:49" x14ac:dyDescent="0.3">
      <c r="L292" s="3"/>
      <c r="M292" s="3"/>
      <c r="N292" s="3"/>
      <c r="O292" s="65"/>
      <c r="Q292" s="3"/>
      <c r="R292" s="3"/>
      <c r="S292" s="3"/>
      <c r="T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row>
    <row r="293" spans="12:49" x14ac:dyDescent="0.3">
      <c r="L293" s="3"/>
      <c r="M293" s="3"/>
      <c r="N293" s="3"/>
      <c r="O293" s="65"/>
      <c r="Q293" s="3"/>
      <c r="R293" s="3"/>
      <c r="S293" s="3"/>
      <c r="T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row>
    <row r="294" spans="12:49" x14ac:dyDescent="0.3">
      <c r="L294" s="3"/>
      <c r="M294" s="3"/>
      <c r="N294" s="3"/>
      <c r="O294" s="65"/>
      <c r="Q294" s="3"/>
      <c r="R294" s="3"/>
      <c r="S294" s="3"/>
      <c r="T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row>
    <row r="295" spans="12:49" x14ac:dyDescent="0.3">
      <c r="L295" s="3"/>
      <c r="M295" s="3"/>
      <c r="N295" s="3"/>
      <c r="O295" s="65"/>
      <c r="Q295" s="3"/>
      <c r="R295" s="3"/>
      <c r="S295" s="3"/>
      <c r="T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row>
    <row r="296" spans="12:49" x14ac:dyDescent="0.3">
      <c r="L296" s="3"/>
      <c r="M296" s="3"/>
      <c r="N296" s="3"/>
      <c r="O296" s="65"/>
      <c r="Q296" s="3"/>
      <c r="R296" s="3"/>
      <c r="S296" s="3"/>
      <c r="T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row>
    <row r="297" spans="12:49" x14ac:dyDescent="0.3">
      <c r="L297" s="3"/>
      <c r="M297" s="3"/>
      <c r="N297" s="3"/>
      <c r="O297" s="65"/>
      <c r="Q297" s="3"/>
      <c r="R297" s="3"/>
      <c r="S297" s="3"/>
      <c r="T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row>
    <row r="298" spans="12:49" x14ac:dyDescent="0.3">
      <c r="L298" s="3"/>
      <c r="M298" s="3"/>
      <c r="N298" s="3"/>
      <c r="O298" s="65"/>
      <c r="Q298" s="3"/>
      <c r="R298" s="3"/>
      <c r="S298" s="3"/>
      <c r="T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row>
    <row r="299" spans="12:49" x14ac:dyDescent="0.3">
      <c r="L299" s="3"/>
      <c r="M299" s="3"/>
      <c r="N299" s="3"/>
      <c r="O299" s="65"/>
      <c r="Q299" s="3"/>
      <c r="R299" s="3"/>
      <c r="S299" s="3"/>
      <c r="T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row>
    <row r="300" spans="12:49" x14ac:dyDescent="0.3">
      <c r="L300" s="3"/>
      <c r="M300" s="3"/>
      <c r="N300" s="3"/>
      <c r="O300" s="65"/>
      <c r="Q300" s="3"/>
      <c r="R300" s="3"/>
      <c r="S300" s="3"/>
      <c r="T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row>
    <row r="301" spans="12:49" x14ac:dyDescent="0.3">
      <c r="L301" s="3"/>
      <c r="M301" s="3"/>
      <c r="N301" s="3"/>
      <c r="O301" s="65"/>
      <c r="Q301" s="3"/>
      <c r="R301" s="3"/>
      <c r="S301" s="3"/>
      <c r="T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row>
    <row r="302" spans="12:49" x14ac:dyDescent="0.3">
      <c r="L302" s="3"/>
      <c r="M302" s="3"/>
      <c r="N302" s="3"/>
      <c r="O302" s="65"/>
      <c r="Q302" s="3"/>
      <c r="R302" s="3"/>
      <c r="S302" s="3"/>
      <c r="T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row>
    <row r="303" spans="12:49" x14ac:dyDescent="0.3">
      <c r="L303" s="3"/>
      <c r="M303" s="3"/>
      <c r="N303" s="3"/>
      <c r="O303" s="65"/>
      <c r="Q303" s="3"/>
      <c r="R303" s="3"/>
      <c r="S303" s="3"/>
      <c r="T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row>
    <row r="304" spans="12:49" x14ac:dyDescent="0.3">
      <c r="L304" s="3"/>
      <c r="M304" s="3"/>
      <c r="N304" s="3"/>
      <c r="O304" s="65"/>
      <c r="Q304" s="3"/>
      <c r="R304" s="3"/>
      <c r="S304" s="3"/>
      <c r="T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row>
    <row r="305" spans="12:49" x14ac:dyDescent="0.3">
      <c r="L305" s="3"/>
      <c r="M305" s="3"/>
      <c r="N305" s="3"/>
      <c r="O305" s="65"/>
      <c r="Q305" s="3"/>
      <c r="R305" s="3"/>
      <c r="S305" s="3"/>
      <c r="T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row>
    <row r="306" spans="12:49" x14ac:dyDescent="0.3">
      <c r="L306" s="3"/>
      <c r="M306" s="3"/>
      <c r="N306" s="3"/>
      <c r="O306" s="65"/>
      <c r="Q306" s="3"/>
      <c r="R306" s="3"/>
      <c r="S306" s="3"/>
      <c r="T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row>
    <row r="307" spans="12:49" x14ac:dyDescent="0.3">
      <c r="L307" s="3"/>
      <c r="M307" s="3"/>
      <c r="N307" s="3"/>
      <c r="O307" s="65"/>
      <c r="Q307" s="3"/>
      <c r="R307" s="3"/>
      <c r="S307" s="3"/>
      <c r="T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row>
    <row r="308" spans="12:49" x14ac:dyDescent="0.3">
      <c r="L308" s="3"/>
      <c r="M308" s="3"/>
      <c r="N308" s="3"/>
      <c r="O308" s="65"/>
      <c r="Q308" s="3"/>
      <c r="R308" s="3"/>
      <c r="S308" s="3"/>
      <c r="T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row>
    <row r="309" spans="12:49" x14ac:dyDescent="0.3">
      <c r="L309" s="3"/>
      <c r="M309" s="3"/>
      <c r="N309" s="3"/>
      <c r="O309" s="65"/>
      <c r="Q309" s="3"/>
      <c r="R309" s="3"/>
      <c r="S309" s="3"/>
      <c r="T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row>
    <row r="310" spans="12:49" x14ac:dyDescent="0.3">
      <c r="L310" s="3"/>
      <c r="M310" s="3"/>
      <c r="N310" s="3"/>
      <c r="O310" s="65"/>
      <c r="Q310" s="3"/>
      <c r="R310" s="3"/>
      <c r="S310" s="3"/>
      <c r="T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row>
    <row r="311" spans="12:49" x14ac:dyDescent="0.3">
      <c r="L311" s="3"/>
      <c r="M311" s="3"/>
      <c r="N311" s="3"/>
      <c r="O311" s="65"/>
      <c r="Q311" s="3"/>
      <c r="R311" s="3"/>
      <c r="S311" s="3"/>
      <c r="T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row>
    <row r="312" spans="12:49" x14ac:dyDescent="0.3">
      <c r="L312" s="3"/>
      <c r="M312" s="3"/>
      <c r="N312" s="3"/>
      <c r="O312" s="65"/>
      <c r="Q312" s="3"/>
      <c r="R312" s="3"/>
      <c r="S312" s="3"/>
      <c r="T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row>
    <row r="313" spans="12:49" x14ac:dyDescent="0.3">
      <c r="L313" s="3"/>
      <c r="M313" s="3"/>
      <c r="N313" s="3"/>
      <c r="O313" s="65"/>
      <c r="Q313" s="3"/>
      <c r="R313" s="3"/>
      <c r="S313" s="3"/>
      <c r="T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row>
    <row r="314" spans="12:49" x14ac:dyDescent="0.3">
      <c r="L314" s="3"/>
      <c r="M314" s="3"/>
      <c r="N314" s="3"/>
      <c r="O314" s="65"/>
      <c r="Q314" s="3"/>
      <c r="R314" s="3"/>
      <c r="S314" s="3"/>
      <c r="T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row>
    <row r="315" spans="12:49" x14ac:dyDescent="0.3">
      <c r="L315" s="3"/>
      <c r="M315" s="3"/>
      <c r="N315" s="3"/>
      <c r="O315" s="65"/>
      <c r="Q315" s="3"/>
      <c r="R315" s="3"/>
      <c r="S315" s="3"/>
      <c r="T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row>
    <row r="316" spans="12:49" x14ac:dyDescent="0.3">
      <c r="L316" s="3"/>
      <c r="M316" s="3"/>
      <c r="N316" s="3"/>
      <c r="O316" s="65"/>
      <c r="Q316" s="3"/>
      <c r="R316" s="3"/>
      <c r="S316" s="3"/>
      <c r="T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row>
    <row r="317" spans="12:49" x14ac:dyDescent="0.3">
      <c r="L317" s="3"/>
      <c r="M317" s="3"/>
      <c r="N317" s="3"/>
      <c r="O317" s="65"/>
      <c r="Q317" s="3"/>
      <c r="R317" s="3"/>
      <c r="S317" s="3"/>
      <c r="T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row>
    <row r="318" spans="12:49" x14ac:dyDescent="0.3">
      <c r="L318" s="3"/>
      <c r="M318" s="3"/>
      <c r="N318" s="3"/>
      <c r="O318" s="65"/>
      <c r="Q318" s="3"/>
      <c r="R318" s="3"/>
      <c r="S318" s="3"/>
      <c r="T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row>
    <row r="319" spans="12:49" x14ac:dyDescent="0.3">
      <c r="L319" s="3"/>
      <c r="M319" s="3"/>
      <c r="N319" s="3"/>
      <c r="O319" s="65"/>
      <c r="Q319" s="3"/>
      <c r="R319" s="3"/>
      <c r="S319" s="3"/>
      <c r="T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row>
    <row r="320" spans="12:49" x14ac:dyDescent="0.3">
      <c r="L320" s="3"/>
      <c r="M320" s="3"/>
      <c r="N320" s="3"/>
      <c r="O320" s="65"/>
      <c r="Q320" s="3"/>
      <c r="R320" s="3"/>
      <c r="S320" s="3"/>
      <c r="T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row>
    <row r="321" spans="12:49" x14ac:dyDescent="0.3">
      <c r="L321" s="3"/>
      <c r="M321" s="3"/>
      <c r="N321" s="3"/>
      <c r="O321" s="65"/>
      <c r="Q321" s="3"/>
      <c r="R321" s="3"/>
      <c r="S321" s="3"/>
      <c r="T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row>
    <row r="322" spans="12:49" x14ac:dyDescent="0.3">
      <c r="L322" s="3"/>
      <c r="M322" s="3"/>
      <c r="N322" s="3"/>
      <c r="O322" s="65"/>
      <c r="Q322" s="3"/>
      <c r="R322" s="3"/>
      <c r="S322" s="3"/>
      <c r="T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row>
    <row r="323" spans="12:49" x14ac:dyDescent="0.3">
      <c r="L323" s="3"/>
      <c r="M323" s="3"/>
      <c r="N323" s="3"/>
      <c r="O323" s="65"/>
      <c r="Q323" s="3"/>
      <c r="R323" s="3"/>
      <c r="S323" s="3"/>
      <c r="T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row>
    <row r="324" spans="12:49" x14ac:dyDescent="0.3">
      <c r="L324" s="3"/>
      <c r="M324" s="3"/>
      <c r="N324" s="3"/>
      <c r="O324" s="65"/>
      <c r="Q324" s="3"/>
      <c r="R324" s="3"/>
      <c r="S324" s="3"/>
      <c r="T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row>
    <row r="325" spans="12:49" x14ac:dyDescent="0.3">
      <c r="L325" s="3"/>
      <c r="M325" s="3"/>
      <c r="N325" s="3"/>
      <c r="O325" s="65"/>
      <c r="Q325" s="3"/>
      <c r="R325" s="3"/>
      <c r="S325" s="3"/>
      <c r="T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row>
    <row r="326" spans="12:49" x14ac:dyDescent="0.3">
      <c r="L326" s="3"/>
      <c r="M326" s="3"/>
      <c r="N326" s="3"/>
      <c r="O326" s="65"/>
      <c r="Q326" s="3"/>
      <c r="R326" s="3"/>
      <c r="S326" s="3"/>
      <c r="T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row>
    <row r="327" spans="12:49" x14ac:dyDescent="0.3">
      <c r="L327" s="3"/>
      <c r="M327" s="3"/>
      <c r="N327" s="3"/>
      <c r="O327" s="65"/>
      <c r="Q327" s="3"/>
      <c r="R327" s="3"/>
      <c r="S327" s="3"/>
      <c r="T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row>
    <row r="328" spans="12:49" x14ac:dyDescent="0.3">
      <c r="L328" s="3"/>
      <c r="M328" s="3"/>
      <c r="N328" s="3"/>
      <c r="O328" s="65"/>
      <c r="Q328" s="3"/>
      <c r="R328" s="3"/>
      <c r="S328" s="3"/>
      <c r="T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row>
    <row r="329" spans="12:49" x14ac:dyDescent="0.3">
      <c r="L329" s="3"/>
      <c r="M329" s="3"/>
      <c r="N329" s="3"/>
      <c r="O329" s="65"/>
      <c r="Q329" s="3"/>
      <c r="R329" s="3"/>
      <c r="S329" s="3"/>
      <c r="T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row>
    <row r="330" spans="12:49" x14ac:dyDescent="0.3">
      <c r="L330" s="3"/>
      <c r="M330" s="3"/>
      <c r="N330" s="3"/>
      <c r="O330" s="65"/>
      <c r="Q330" s="3"/>
      <c r="R330" s="3"/>
      <c r="S330" s="3"/>
      <c r="T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row>
    <row r="331" spans="12:49" x14ac:dyDescent="0.3">
      <c r="L331" s="3"/>
      <c r="M331" s="3"/>
      <c r="N331" s="3"/>
      <c r="O331" s="65"/>
      <c r="Q331" s="3"/>
      <c r="R331" s="3"/>
      <c r="S331" s="3"/>
      <c r="T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row>
    <row r="332" spans="12:49" x14ac:dyDescent="0.3">
      <c r="L332" s="3"/>
      <c r="M332" s="3"/>
      <c r="N332" s="3"/>
      <c r="O332" s="65"/>
      <c r="Q332" s="3"/>
      <c r="R332" s="3"/>
      <c r="S332" s="3"/>
      <c r="T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row>
    <row r="333" spans="12:49" x14ac:dyDescent="0.3">
      <c r="L333" s="3"/>
      <c r="M333" s="3"/>
      <c r="N333" s="3"/>
      <c r="O333" s="65"/>
      <c r="Q333" s="3"/>
      <c r="R333" s="3"/>
      <c r="S333" s="3"/>
      <c r="T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row>
    <row r="334" spans="12:49" x14ac:dyDescent="0.3">
      <c r="L334" s="3"/>
      <c r="M334" s="3"/>
      <c r="N334" s="3"/>
      <c r="O334" s="65"/>
      <c r="Q334" s="3"/>
      <c r="R334" s="3"/>
      <c r="S334" s="3"/>
      <c r="T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row>
    <row r="335" spans="12:49" x14ac:dyDescent="0.3">
      <c r="L335" s="3"/>
      <c r="M335" s="3"/>
      <c r="N335" s="3"/>
      <c r="O335" s="65"/>
      <c r="Q335" s="3"/>
      <c r="R335" s="3"/>
      <c r="S335" s="3"/>
      <c r="T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row>
    <row r="336" spans="12:49" x14ac:dyDescent="0.3">
      <c r="L336" s="3"/>
      <c r="M336" s="3"/>
      <c r="N336" s="3"/>
      <c r="O336" s="65"/>
      <c r="Q336" s="3"/>
      <c r="R336" s="3"/>
      <c r="S336" s="3"/>
      <c r="T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row>
    <row r="337" spans="12:49" x14ac:dyDescent="0.3">
      <c r="L337" s="3"/>
      <c r="M337" s="3"/>
      <c r="N337" s="3"/>
      <c r="O337" s="65"/>
      <c r="Q337" s="3"/>
      <c r="R337" s="3"/>
      <c r="S337" s="3"/>
      <c r="T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row>
    <row r="338" spans="12:49" x14ac:dyDescent="0.3">
      <c r="L338" s="3"/>
      <c r="M338" s="3"/>
      <c r="N338" s="3"/>
      <c r="O338" s="65"/>
      <c r="Q338" s="3"/>
      <c r="R338" s="3"/>
      <c r="S338" s="3"/>
      <c r="T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row>
    <row r="339" spans="12:49" x14ac:dyDescent="0.3">
      <c r="L339" s="3"/>
      <c r="M339" s="3"/>
      <c r="N339" s="3"/>
      <c r="O339" s="65"/>
      <c r="Q339" s="3"/>
      <c r="R339" s="3"/>
      <c r="S339" s="3"/>
      <c r="T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row>
    <row r="340" spans="12:49" x14ac:dyDescent="0.3">
      <c r="L340" s="3"/>
      <c r="M340" s="3"/>
      <c r="N340" s="3"/>
      <c r="O340" s="65"/>
      <c r="Q340" s="3"/>
      <c r="R340" s="3"/>
      <c r="S340" s="3"/>
      <c r="T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row>
    <row r="341" spans="12:49" x14ac:dyDescent="0.3">
      <c r="L341" s="3"/>
      <c r="M341" s="3"/>
      <c r="N341" s="3"/>
      <c r="O341" s="65"/>
      <c r="Q341" s="3"/>
      <c r="R341" s="3"/>
      <c r="S341" s="3"/>
      <c r="T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row>
    <row r="342" spans="12:49" x14ac:dyDescent="0.3">
      <c r="L342" s="3"/>
      <c r="M342" s="3"/>
      <c r="N342" s="3"/>
      <c r="O342" s="65"/>
      <c r="Q342" s="3"/>
      <c r="R342" s="3"/>
      <c r="S342" s="3"/>
      <c r="T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row>
    <row r="343" spans="12:49" x14ac:dyDescent="0.3">
      <c r="L343" s="3"/>
      <c r="M343" s="3"/>
      <c r="N343" s="3"/>
      <c r="O343" s="65"/>
      <c r="Q343" s="3"/>
      <c r="R343" s="3"/>
      <c r="S343" s="3"/>
      <c r="T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row>
    <row r="344" spans="12:49" x14ac:dyDescent="0.3">
      <c r="L344" s="3"/>
      <c r="M344" s="3"/>
      <c r="N344" s="3"/>
      <c r="O344" s="65"/>
      <c r="Q344" s="3"/>
      <c r="R344" s="3"/>
      <c r="S344" s="3"/>
      <c r="T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row>
    <row r="345" spans="12:49" x14ac:dyDescent="0.3">
      <c r="L345" s="3"/>
      <c r="M345" s="3"/>
      <c r="N345" s="3"/>
      <c r="O345" s="65"/>
      <c r="Q345" s="3"/>
      <c r="R345" s="3"/>
      <c r="S345" s="3"/>
      <c r="T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row>
    <row r="346" spans="12:49" x14ac:dyDescent="0.3">
      <c r="L346" s="3"/>
      <c r="M346" s="3"/>
      <c r="N346" s="3"/>
      <c r="O346" s="65"/>
      <c r="Q346" s="3"/>
      <c r="R346" s="3"/>
      <c r="S346" s="3"/>
      <c r="T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row>
    <row r="347" spans="12:49" x14ac:dyDescent="0.3">
      <c r="L347" s="3"/>
      <c r="M347" s="3"/>
      <c r="N347" s="3"/>
      <c r="O347" s="65"/>
      <c r="Q347" s="3"/>
      <c r="R347" s="3"/>
      <c r="S347" s="3"/>
      <c r="T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row>
    <row r="348" spans="12:49" x14ac:dyDescent="0.3">
      <c r="L348" s="3"/>
      <c r="M348" s="3"/>
      <c r="N348" s="3"/>
      <c r="O348" s="65"/>
      <c r="Q348" s="3"/>
      <c r="R348" s="3"/>
      <c r="S348" s="3"/>
      <c r="T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row>
    <row r="349" spans="12:49" x14ac:dyDescent="0.3">
      <c r="L349" s="3"/>
      <c r="M349" s="3"/>
      <c r="N349" s="3"/>
      <c r="O349" s="65"/>
      <c r="Q349" s="3"/>
      <c r="R349" s="3"/>
      <c r="S349" s="3"/>
      <c r="T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row>
    <row r="350" spans="12:49" x14ac:dyDescent="0.3">
      <c r="L350" s="3"/>
      <c r="M350" s="3"/>
      <c r="N350" s="3"/>
      <c r="O350" s="65"/>
      <c r="Q350" s="3"/>
      <c r="R350" s="3"/>
      <c r="S350" s="3"/>
      <c r="T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row>
    <row r="351" spans="12:49" x14ac:dyDescent="0.3">
      <c r="L351" s="3"/>
      <c r="M351" s="3"/>
      <c r="N351" s="3"/>
      <c r="O351" s="65"/>
      <c r="Q351" s="3"/>
      <c r="R351" s="3"/>
      <c r="S351" s="3"/>
      <c r="T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row>
    <row r="352" spans="12:49" x14ac:dyDescent="0.3">
      <c r="L352" s="3"/>
      <c r="M352" s="3"/>
      <c r="N352" s="3"/>
      <c r="O352" s="65"/>
      <c r="Q352" s="3"/>
      <c r="R352" s="3"/>
      <c r="S352" s="3"/>
      <c r="T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row>
    <row r="353" spans="12:49" x14ac:dyDescent="0.3">
      <c r="L353" s="3"/>
      <c r="M353" s="3"/>
      <c r="N353" s="3"/>
      <c r="O353" s="65"/>
      <c r="Q353" s="3"/>
      <c r="R353" s="3"/>
      <c r="S353" s="3"/>
      <c r="T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row>
    <row r="354" spans="12:49" x14ac:dyDescent="0.3">
      <c r="L354" s="3"/>
      <c r="M354" s="3"/>
      <c r="N354" s="3"/>
      <c r="O354" s="65"/>
      <c r="Q354" s="3"/>
      <c r="R354" s="3"/>
      <c r="S354" s="3"/>
      <c r="T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row>
    <row r="355" spans="12:49" x14ac:dyDescent="0.3">
      <c r="L355" s="3"/>
      <c r="M355" s="3"/>
      <c r="N355" s="3"/>
      <c r="O355" s="65"/>
      <c r="Q355" s="3"/>
      <c r="R355" s="3"/>
      <c r="S355" s="3"/>
      <c r="T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row>
    <row r="356" spans="12:49" x14ac:dyDescent="0.3">
      <c r="L356" s="3"/>
      <c r="M356" s="3"/>
      <c r="N356" s="3"/>
      <c r="O356" s="65"/>
      <c r="Q356" s="3"/>
      <c r="R356" s="3"/>
      <c r="S356" s="3"/>
      <c r="T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row>
    <row r="357" spans="12:49" x14ac:dyDescent="0.3">
      <c r="L357" s="3"/>
      <c r="M357" s="3"/>
      <c r="N357" s="3"/>
      <c r="O357" s="65"/>
      <c r="Q357" s="3"/>
      <c r="R357" s="3"/>
      <c r="S357" s="3"/>
      <c r="T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row>
    <row r="358" spans="12:49" x14ac:dyDescent="0.3">
      <c r="L358" s="3"/>
      <c r="M358" s="3"/>
      <c r="N358" s="3"/>
      <c r="O358" s="65"/>
      <c r="Q358" s="3"/>
      <c r="R358" s="3"/>
      <c r="S358" s="3"/>
      <c r="T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row>
    <row r="359" spans="12:49" x14ac:dyDescent="0.3">
      <c r="L359" s="3"/>
      <c r="M359" s="3"/>
      <c r="N359" s="3"/>
      <c r="O359" s="65"/>
      <c r="Q359" s="3"/>
      <c r="R359" s="3"/>
      <c r="S359" s="3"/>
      <c r="T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row>
    <row r="360" spans="12:49" x14ac:dyDescent="0.3">
      <c r="L360" s="3"/>
      <c r="M360" s="3"/>
      <c r="N360" s="3"/>
      <c r="O360" s="65"/>
      <c r="Q360" s="3"/>
      <c r="R360" s="3"/>
      <c r="S360" s="3"/>
      <c r="T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row>
    <row r="361" spans="12:49" x14ac:dyDescent="0.3">
      <c r="L361" s="3"/>
      <c r="M361" s="3"/>
      <c r="N361" s="3"/>
      <c r="O361" s="65"/>
      <c r="Q361" s="3"/>
      <c r="R361" s="3"/>
      <c r="S361" s="3"/>
      <c r="T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row>
    <row r="362" spans="12:49" x14ac:dyDescent="0.3">
      <c r="L362" s="3"/>
      <c r="M362" s="3"/>
      <c r="N362" s="3"/>
      <c r="O362" s="65"/>
      <c r="Q362" s="3"/>
      <c r="R362" s="3"/>
      <c r="S362" s="3"/>
      <c r="T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row>
    <row r="363" spans="12:49" x14ac:dyDescent="0.3">
      <c r="L363" s="3"/>
      <c r="M363" s="3"/>
      <c r="N363" s="3"/>
      <c r="O363" s="65"/>
      <c r="Q363" s="3"/>
      <c r="R363" s="3"/>
      <c r="S363" s="3"/>
      <c r="T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row>
    <row r="364" spans="12:49" x14ac:dyDescent="0.3">
      <c r="L364" s="3"/>
      <c r="M364" s="3"/>
      <c r="N364" s="3"/>
      <c r="O364" s="65"/>
      <c r="Q364" s="3"/>
      <c r="R364" s="3"/>
      <c r="S364" s="3"/>
      <c r="T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row>
    <row r="365" spans="12:49" x14ac:dyDescent="0.3">
      <c r="L365" s="3"/>
      <c r="M365" s="3"/>
      <c r="N365" s="3"/>
      <c r="O365" s="65"/>
      <c r="Q365" s="3"/>
      <c r="R365" s="3"/>
      <c r="S365" s="3"/>
      <c r="T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row>
    <row r="366" spans="12:49" x14ac:dyDescent="0.3">
      <c r="L366" s="3"/>
      <c r="M366" s="3"/>
      <c r="N366" s="3"/>
      <c r="O366" s="65"/>
      <c r="Q366" s="3"/>
      <c r="R366" s="3"/>
      <c r="S366" s="3"/>
      <c r="T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row>
    <row r="367" spans="12:49" x14ac:dyDescent="0.3">
      <c r="L367" s="3"/>
      <c r="M367" s="3"/>
      <c r="N367" s="3"/>
      <c r="O367" s="65"/>
      <c r="Q367" s="3"/>
      <c r="R367" s="3"/>
      <c r="S367" s="3"/>
      <c r="T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row>
    <row r="368" spans="12:49" x14ac:dyDescent="0.3">
      <c r="L368" s="3"/>
      <c r="M368" s="3"/>
      <c r="N368" s="3"/>
      <c r="O368" s="65"/>
      <c r="Q368" s="3"/>
      <c r="R368" s="3"/>
      <c r="S368" s="3"/>
      <c r="T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row>
    <row r="369" spans="12:49" x14ac:dyDescent="0.3">
      <c r="L369" s="3"/>
      <c r="M369" s="3"/>
      <c r="N369" s="3"/>
      <c r="O369" s="65"/>
      <c r="Q369" s="3"/>
      <c r="R369" s="3"/>
      <c r="S369" s="3"/>
      <c r="T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row>
    <row r="370" spans="12:49" x14ac:dyDescent="0.3">
      <c r="L370" s="3"/>
      <c r="M370" s="3"/>
      <c r="N370" s="3"/>
      <c r="O370" s="65"/>
      <c r="Q370" s="3"/>
      <c r="R370" s="3"/>
      <c r="S370" s="3"/>
      <c r="T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row>
    <row r="371" spans="12:49" x14ac:dyDescent="0.3">
      <c r="L371" s="3"/>
      <c r="M371" s="3"/>
      <c r="N371" s="3"/>
      <c r="O371" s="65"/>
      <c r="Q371" s="3"/>
      <c r="R371" s="3"/>
      <c r="S371" s="3"/>
      <c r="T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row>
    <row r="372" spans="12:49" x14ac:dyDescent="0.3">
      <c r="L372" s="3"/>
      <c r="M372" s="3"/>
      <c r="N372" s="3"/>
      <c r="O372" s="65"/>
      <c r="Q372" s="3"/>
      <c r="R372" s="3"/>
      <c r="S372" s="3"/>
      <c r="T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row>
    <row r="373" spans="12:49" x14ac:dyDescent="0.3">
      <c r="L373" s="3"/>
      <c r="M373" s="3"/>
      <c r="N373" s="3"/>
      <c r="O373" s="65"/>
      <c r="Q373" s="3"/>
      <c r="R373" s="3"/>
      <c r="S373" s="3"/>
      <c r="T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row>
    <row r="374" spans="12:49" x14ac:dyDescent="0.3">
      <c r="L374" s="3"/>
      <c r="M374" s="3"/>
      <c r="N374" s="3"/>
      <c r="O374" s="65"/>
      <c r="Q374" s="3"/>
      <c r="R374" s="3"/>
      <c r="S374" s="3"/>
      <c r="T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row>
    <row r="375" spans="12:49" x14ac:dyDescent="0.3">
      <c r="L375" s="3"/>
      <c r="M375" s="3"/>
      <c r="N375" s="3"/>
      <c r="O375" s="65"/>
      <c r="Q375" s="3"/>
      <c r="R375" s="3"/>
      <c r="S375" s="3"/>
      <c r="T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row>
    <row r="376" spans="12:49" x14ac:dyDescent="0.3">
      <c r="L376" s="3"/>
      <c r="M376" s="3"/>
      <c r="N376" s="3"/>
      <c r="O376" s="65"/>
      <c r="Q376" s="3"/>
      <c r="R376" s="3"/>
      <c r="S376" s="3"/>
      <c r="T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row>
    <row r="377" spans="12:49" x14ac:dyDescent="0.3">
      <c r="L377" s="3"/>
      <c r="M377" s="3"/>
      <c r="N377" s="3"/>
      <c r="O377" s="65"/>
      <c r="Q377" s="3"/>
      <c r="R377" s="3"/>
      <c r="S377" s="3"/>
      <c r="T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row>
    <row r="378" spans="12:49" x14ac:dyDescent="0.3">
      <c r="L378" s="3"/>
      <c r="M378" s="3"/>
      <c r="N378" s="3"/>
      <c r="O378" s="65"/>
      <c r="Q378" s="3"/>
      <c r="R378" s="3"/>
      <c r="S378" s="3"/>
      <c r="T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row>
    <row r="379" spans="12:49" x14ac:dyDescent="0.3">
      <c r="L379" s="3"/>
      <c r="M379" s="3"/>
      <c r="N379" s="3"/>
      <c r="O379" s="65"/>
      <c r="Q379" s="3"/>
      <c r="R379" s="3"/>
      <c r="S379" s="3"/>
      <c r="T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row>
    <row r="380" spans="12:49" x14ac:dyDescent="0.3">
      <c r="L380" s="3"/>
      <c r="M380" s="3"/>
      <c r="N380" s="3"/>
      <c r="O380" s="65"/>
      <c r="Q380" s="3"/>
      <c r="R380" s="3"/>
      <c r="S380" s="3"/>
      <c r="T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row>
    <row r="381" spans="12:49" x14ac:dyDescent="0.3">
      <c r="L381" s="3"/>
      <c r="M381" s="3"/>
      <c r="N381" s="3"/>
      <c r="O381" s="65"/>
      <c r="Q381" s="3"/>
      <c r="R381" s="3"/>
      <c r="S381" s="3"/>
      <c r="T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row>
    <row r="382" spans="12:49" x14ac:dyDescent="0.3">
      <c r="L382" s="3"/>
      <c r="M382" s="3"/>
      <c r="N382" s="3"/>
      <c r="O382" s="65"/>
      <c r="Q382" s="3"/>
      <c r="R382" s="3"/>
      <c r="S382" s="3"/>
      <c r="T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row>
    <row r="383" spans="12:49" x14ac:dyDescent="0.3">
      <c r="L383" s="3"/>
      <c r="M383" s="3"/>
      <c r="N383" s="3"/>
      <c r="O383" s="65"/>
      <c r="Q383" s="3"/>
      <c r="R383" s="3"/>
      <c r="S383" s="3"/>
      <c r="T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row>
    <row r="384" spans="12:49" x14ac:dyDescent="0.3">
      <c r="L384" s="3"/>
      <c r="M384" s="3"/>
      <c r="N384" s="3"/>
      <c r="O384" s="65"/>
      <c r="Q384" s="3"/>
      <c r="R384" s="3"/>
      <c r="S384" s="3"/>
      <c r="T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row>
    <row r="385" spans="12:49" x14ac:dyDescent="0.3">
      <c r="L385" s="3"/>
      <c r="M385" s="3"/>
      <c r="N385" s="3"/>
      <c r="O385" s="65"/>
      <c r="Q385" s="3"/>
      <c r="R385" s="3"/>
      <c r="S385" s="3"/>
      <c r="T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row>
    <row r="386" spans="12:49" x14ac:dyDescent="0.3">
      <c r="L386" s="3"/>
      <c r="M386" s="3"/>
      <c r="N386" s="3"/>
      <c r="O386" s="65"/>
      <c r="Q386" s="3"/>
      <c r="R386" s="3"/>
      <c r="S386" s="3"/>
      <c r="T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row>
    <row r="387" spans="12:49" x14ac:dyDescent="0.3">
      <c r="L387" s="3"/>
      <c r="M387" s="3"/>
      <c r="N387" s="3"/>
      <c r="O387" s="65"/>
      <c r="Q387" s="3"/>
      <c r="R387" s="3"/>
      <c r="S387" s="3"/>
      <c r="T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row>
    <row r="388" spans="12:49" x14ac:dyDescent="0.3">
      <c r="L388" s="3"/>
      <c r="M388" s="3"/>
      <c r="N388" s="3"/>
      <c r="O388" s="65"/>
      <c r="Q388" s="3"/>
      <c r="R388" s="3"/>
      <c r="S388" s="3"/>
      <c r="T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row>
    <row r="389" spans="12:49" x14ac:dyDescent="0.3">
      <c r="L389" s="3"/>
      <c r="M389" s="3"/>
      <c r="N389" s="3"/>
      <c r="O389" s="65"/>
      <c r="Q389" s="3"/>
      <c r="R389" s="3"/>
      <c r="S389" s="3"/>
      <c r="T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row>
    <row r="390" spans="12:49" x14ac:dyDescent="0.3">
      <c r="L390" s="3"/>
      <c r="M390" s="3"/>
      <c r="N390" s="3"/>
      <c r="O390" s="65"/>
      <c r="Q390" s="3"/>
      <c r="R390" s="3"/>
      <c r="S390" s="3"/>
      <c r="T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row>
    <row r="391" spans="12:49" x14ac:dyDescent="0.3">
      <c r="L391" s="3"/>
      <c r="M391" s="3"/>
      <c r="N391" s="3"/>
      <c r="O391" s="65"/>
      <c r="Q391" s="3"/>
      <c r="R391" s="3"/>
      <c r="S391" s="3"/>
      <c r="T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row>
    <row r="392" spans="12:49" x14ac:dyDescent="0.3">
      <c r="L392" s="3"/>
      <c r="M392" s="3"/>
      <c r="N392" s="3"/>
      <c r="O392" s="65"/>
      <c r="Q392" s="3"/>
      <c r="R392" s="3"/>
      <c r="S392" s="3"/>
      <c r="T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row>
    <row r="393" spans="12:49" x14ac:dyDescent="0.3">
      <c r="L393" s="3"/>
      <c r="M393" s="3"/>
      <c r="N393" s="3"/>
      <c r="O393" s="65"/>
      <c r="Q393" s="3"/>
      <c r="R393" s="3"/>
      <c r="S393" s="3"/>
      <c r="T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row>
    <row r="394" spans="12:49" x14ac:dyDescent="0.3">
      <c r="L394" s="3"/>
      <c r="M394" s="3"/>
      <c r="N394" s="3"/>
      <c r="O394" s="65"/>
      <c r="Q394" s="3"/>
      <c r="R394" s="3"/>
      <c r="S394" s="3"/>
      <c r="T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row>
    <row r="395" spans="12:49" x14ac:dyDescent="0.3">
      <c r="L395" s="3"/>
      <c r="M395" s="3"/>
      <c r="N395" s="3"/>
      <c r="O395" s="65"/>
      <c r="Q395" s="3"/>
      <c r="R395" s="3"/>
      <c r="S395" s="3"/>
      <c r="T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row>
    <row r="396" spans="12:49" x14ac:dyDescent="0.3">
      <c r="L396" s="3"/>
      <c r="M396" s="3"/>
      <c r="N396" s="3"/>
      <c r="O396" s="65"/>
      <c r="Q396" s="3"/>
      <c r="R396" s="3"/>
      <c r="S396" s="3"/>
      <c r="T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row>
    <row r="397" spans="12:49" x14ac:dyDescent="0.3">
      <c r="L397" s="3"/>
      <c r="M397" s="3"/>
      <c r="N397" s="3"/>
      <c r="O397" s="65"/>
      <c r="Q397" s="3"/>
      <c r="R397" s="3"/>
      <c r="S397" s="3"/>
      <c r="T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row>
    <row r="398" spans="12:49" x14ac:dyDescent="0.3">
      <c r="L398" s="3"/>
      <c r="M398" s="3"/>
      <c r="N398" s="3"/>
      <c r="O398" s="65"/>
      <c r="Q398" s="3"/>
      <c r="R398" s="3"/>
      <c r="S398" s="3"/>
      <c r="T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row>
    <row r="399" spans="12:49" x14ac:dyDescent="0.3">
      <c r="L399" s="3"/>
      <c r="M399" s="3"/>
      <c r="N399" s="3"/>
      <c r="O399" s="65"/>
      <c r="Q399" s="3"/>
      <c r="R399" s="3"/>
      <c r="S399" s="3"/>
      <c r="T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row>
    <row r="400" spans="12:49" x14ac:dyDescent="0.3">
      <c r="L400" s="3"/>
      <c r="M400" s="3"/>
      <c r="N400" s="3"/>
      <c r="O400" s="65"/>
      <c r="Q400" s="3"/>
      <c r="R400" s="3"/>
      <c r="S400" s="3"/>
      <c r="T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row>
    <row r="401" spans="12:49" x14ac:dyDescent="0.3">
      <c r="L401" s="3"/>
      <c r="M401" s="3"/>
      <c r="N401" s="3"/>
      <c r="O401" s="65"/>
      <c r="Q401" s="3"/>
      <c r="R401" s="3"/>
      <c r="S401" s="3"/>
      <c r="T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row>
    <row r="402" spans="12:49" x14ac:dyDescent="0.3">
      <c r="L402" s="3"/>
      <c r="M402" s="3"/>
      <c r="N402" s="3"/>
      <c r="O402" s="65"/>
      <c r="Q402" s="3"/>
      <c r="R402" s="3"/>
      <c r="S402" s="3"/>
      <c r="T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row>
    <row r="403" spans="12:49" x14ac:dyDescent="0.3">
      <c r="L403" s="3"/>
      <c r="M403" s="3"/>
      <c r="N403" s="3"/>
      <c r="O403" s="65"/>
      <c r="Q403" s="3"/>
      <c r="R403" s="3"/>
      <c r="S403" s="3"/>
      <c r="T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row>
    <row r="404" spans="12:49" x14ac:dyDescent="0.3">
      <c r="L404" s="3"/>
      <c r="M404" s="3"/>
      <c r="N404" s="3"/>
      <c r="O404" s="65"/>
      <c r="Q404" s="3"/>
      <c r="R404" s="3"/>
      <c r="S404" s="3"/>
      <c r="T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row>
    <row r="405" spans="12:49" x14ac:dyDescent="0.3">
      <c r="L405" s="3"/>
      <c r="M405" s="3"/>
      <c r="N405" s="3"/>
      <c r="O405" s="65"/>
      <c r="Q405" s="3"/>
      <c r="R405" s="3"/>
      <c r="S405" s="3"/>
      <c r="T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row>
    <row r="406" spans="12:49" x14ac:dyDescent="0.3">
      <c r="L406" s="3"/>
      <c r="M406" s="3"/>
      <c r="N406" s="3"/>
      <c r="O406" s="65"/>
      <c r="Q406" s="3"/>
      <c r="R406" s="3"/>
      <c r="S406" s="3"/>
      <c r="T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row>
    <row r="407" spans="12:49" x14ac:dyDescent="0.3">
      <c r="L407" s="3"/>
      <c r="M407" s="3"/>
      <c r="N407" s="3"/>
      <c r="O407" s="65"/>
      <c r="Q407" s="3"/>
      <c r="R407" s="3"/>
      <c r="S407" s="3"/>
      <c r="T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row>
    <row r="408" spans="12:49" x14ac:dyDescent="0.3">
      <c r="L408" s="3"/>
      <c r="M408" s="3"/>
      <c r="N408" s="3"/>
      <c r="O408" s="65"/>
      <c r="Q408" s="3"/>
      <c r="R408" s="3"/>
      <c r="S408" s="3"/>
      <c r="T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row>
    <row r="409" spans="12:49" x14ac:dyDescent="0.3">
      <c r="L409" s="3"/>
      <c r="M409" s="3"/>
      <c r="N409" s="3"/>
      <c r="O409" s="65"/>
      <c r="Q409" s="3"/>
      <c r="R409" s="3"/>
      <c r="S409" s="3"/>
      <c r="T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row>
    <row r="410" spans="12:49" x14ac:dyDescent="0.3">
      <c r="L410" s="3"/>
      <c r="M410" s="3"/>
      <c r="N410" s="3"/>
      <c r="O410" s="65"/>
      <c r="Q410" s="3"/>
      <c r="R410" s="3"/>
      <c r="S410" s="3"/>
      <c r="T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row>
    <row r="411" spans="12:49" x14ac:dyDescent="0.3">
      <c r="L411" s="3"/>
      <c r="M411" s="3"/>
      <c r="N411" s="3"/>
      <c r="O411" s="65"/>
      <c r="Q411" s="3"/>
      <c r="R411" s="3"/>
      <c r="S411" s="3"/>
      <c r="T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row>
    <row r="412" spans="12:49" x14ac:dyDescent="0.3">
      <c r="L412" s="3"/>
      <c r="M412" s="3"/>
      <c r="N412" s="3"/>
      <c r="O412" s="65"/>
      <c r="Q412" s="3"/>
      <c r="R412" s="3"/>
      <c r="S412" s="3"/>
      <c r="T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row>
    <row r="413" spans="12:49" x14ac:dyDescent="0.3">
      <c r="L413" s="3"/>
      <c r="M413" s="3"/>
      <c r="N413" s="3"/>
      <c r="O413" s="65"/>
      <c r="Q413" s="3"/>
      <c r="R413" s="3"/>
      <c r="S413" s="3"/>
      <c r="T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row>
    <row r="414" spans="12:49" x14ac:dyDescent="0.3">
      <c r="L414" s="3"/>
      <c r="M414" s="3"/>
      <c r="N414" s="3"/>
      <c r="O414" s="65"/>
      <c r="Q414" s="3"/>
      <c r="R414" s="3"/>
      <c r="S414" s="3"/>
      <c r="T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row>
    <row r="415" spans="12:49" x14ac:dyDescent="0.3">
      <c r="L415" s="3"/>
      <c r="M415" s="3"/>
      <c r="N415" s="3"/>
      <c r="O415" s="65"/>
      <c r="Q415" s="3"/>
      <c r="R415" s="3"/>
      <c r="S415" s="3"/>
      <c r="T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row>
    <row r="416" spans="12:49" x14ac:dyDescent="0.3">
      <c r="L416" s="3"/>
      <c r="M416" s="3"/>
      <c r="N416" s="3"/>
      <c r="O416" s="65"/>
      <c r="Q416" s="3"/>
      <c r="R416" s="3"/>
      <c r="S416" s="3"/>
      <c r="T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row>
    <row r="417" spans="12:49" x14ac:dyDescent="0.3">
      <c r="L417" s="3"/>
      <c r="M417" s="3"/>
      <c r="N417" s="3"/>
      <c r="O417" s="65"/>
      <c r="Q417" s="3"/>
      <c r="R417" s="3"/>
      <c r="S417" s="3"/>
      <c r="T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row>
    <row r="418" spans="12:49" x14ac:dyDescent="0.3">
      <c r="L418" s="3"/>
      <c r="M418" s="3"/>
      <c r="N418" s="3"/>
      <c r="O418" s="65"/>
      <c r="Q418" s="3"/>
      <c r="R418" s="3"/>
      <c r="S418" s="3"/>
      <c r="T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row>
    <row r="419" spans="12:49" x14ac:dyDescent="0.3">
      <c r="L419" s="3"/>
      <c r="M419" s="3"/>
      <c r="N419" s="3"/>
      <c r="O419" s="65"/>
      <c r="Q419" s="3"/>
      <c r="R419" s="3"/>
      <c r="S419" s="3"/>
      <c r="T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row>
    <row r="420" spans="12:49" x14ac:dyDescent="0.3">
      <c r="L420" s="3"/>
      <c r="M420" s="3"/>
      <c r="N420" s="3"/>
      <c r="O420" s="65"/>
      <c r="Q420" s="3"/>
      <c r="R420" s="3"/>
      <c r="S420" s="3"/>
      <c r="T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row>
    <row r="421" spans="12:49" x14ac:dyDescent="0.3">
      <c r="L421" s="3"/>
      <c r="M421" s="3"/>
      <c r="N421" s="3"/>
      <c r="O421" s="65"/>
      <c r="Q421" s="3"/>
      <c r="R421" s="3"/>
      <c r="S421" s="3"/>
      <c r="T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row>
    <row r="422" spans="12:49" x14ac:dyDescent="0.3">
      <c r="L422" s="3"/>
      <c r="M422" s="3"/>
      <c r="N422" s="3"/>
      <c r="O422" s="65"/>
      <c r="Q422" s="3"/>
      <c r="R422" s="3"/>
      <c r="S422" s="3"/>
      <c r="T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row>
    <row r="423" spans="12:49" x14ac:dyDescent="0.3">
      <c r="L423" s="3"/>
      <c r="M423" s="3"/>
      <c r="N423" s="3"/>
      <c r="O423" s="65"/>
      <c r="Q423" s="3"/>
      <c r="R423" s="3"/>
      <c r="S423" s="3"/>
      <c r="T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row>
    <row r="424" spans="12:49" x14ac:dyDescent="0.3">
      <c r="L424" s="3"/>
      <c r="M424" s="3"/>
      <c r="N424" s="3"/>
      <c r="O424" s="65"/>
      <c r="Q424" s="3"/>
      <c r="R424" s="3"/>
      <c r="S424" s="3"/>
      <c r="T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row>
    <row r="425" spans="12:49" x14ac:dyDescent="0.3">
      <c r="L425" s="3"/>
      <c r="M425" s="3"/>
      <c r="N425" s="3"/>
      <c r="O425" s="65"/>
      <c r="Q425" s="3"/>
      <c r="R425" s="3"/>
      <c r="S425" s="3"/>
      <c r="T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row>
    <row r="426" spans="12:49" x14ac:dyDescent="0.3">
      <c r="L426" s="3"/>
      <c r="M426" s="3"/>
      <c r="N426" s="3"/>
      <c r="O426" s="65"/>
      <c r="Q426" s="3"/>
      <c r="R426" s="3"/>
      <c r="S426" s="3"/>
      <c r="T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row>
    <row r="427" spans="12:49" x14ac:dyDescent="0.3">
      <c r="L427" s="3"/>
      <c r="M427" s="3"/>
      <c r="N427" s="3"/>
      <c r="O427" s="65"/>
      <c r="Q427" s="3"/>
      <c r="R427" s="3"/>
      <c r="S427" s="3"/>
      <c r="T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row>
    <row r="428" spans="12:49" x14ac:dyDescent="0.3">
      <c r="L428" s="3"/>
      <c r="M428" s="3"/>
      <c r="N428" s="3"/>
      <c r="O428" s="65"/>
      <c r="Q428" s="3"/>
      <c r="R428" s="3"/>
      <c r="S428" s="3"/>
      <c r="T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row>
    <row r="429" spans="12:49" x14ac:dyDescent="0.3">
      <c r="L429" s="3"/>
      <c r="M429" s="3"/>
      <c r="N429" s="3"/>
      <c r="O429" s="65"/>
      <c r="Q429" s="3"/>
      <c r="R429" s="3"/>
      <c r="S429" s="3"/>
      <c r="T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row>
    <row r="430" spans="12:49" x14ac:dyDescent="0.3">
      <c r="L430" s="3"/>
      <c r="M430" s="3"/>
      <c r="N430" s="3"/>
      <c r="O430" s="65"/>
      <c r="Q430" s="3"/>
      <c r="R430" s="3"/>
      <c r="S430" s="3"/>
      <c r="T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row>
    <row r="431" spans="12:49" x14ac:dyDescent="0.3">
      <c r="L431" s="3"/>
      <c r="M431" s="3"/>
      <c r="N431" s="3"/>
      <c r="O431" s="65"/>
      <c r="Q431" s="3"/>
      <c r="R431" s="3"/>
      <c r="S431" s="3"/>
      <c r="T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row>
    <row r="432" spans="12:49" x14ac:dyDescent="0.3">
      <c r="L432" s="3"/>
      <c r="M432" s="3"/>
      <c r="N432" s="3"/>
      <c r="O432" s="65"/>
      <c r="Q432" s="3"/>
      <c r="R432" s="3"/>
      <c r="S432" s="3"/>
      <c r="T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row>
    <row r="433" spans="12:49" x14ac:dyDescent="0.3">
      <c r="L433" s="3"/>
      <c r="M433" s="3"/>
      <c r="N433" s="3"/>
      <c r="O433" s="65"/>
      <c r="Q433" s="3"/>
      <c r="R433" s="3"/>
      <c r="S433" s="3"/>
      <c r="T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row>
    <row r="434" spans="12:49" x14ac:dyDescent="0.3">
      <c r="L434" s="3"/>
      <c r="M434" s="3"/>
      <c r="N434" s="3"/>
      <c r="O434" s="65"/>
      <c r="Q434" s="3"/>
      <c r="R434" s="3"/>
      <c r="S434" s="3"/>
      <c r="T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row>
    <row r="435" spans="12:49" x14ac:dyDescent="0.3">
      <c r="L435" s="3"/>
      <c r="M435" s="3"/>
      <c r="N435" s="3"/>
      <c r="O435" s="65"/>
      <c r="Q435" s="3"/>
      <c r="R435" s="3"/>
      <c r="S435" s="3"/>
      <c r="T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row>
    <row r="436" spans="12:49" x14ac:dyDescent="0.3">
      <c r="L436" s="3"/>
      <c r="M436" s="3"/>
      <c r="N436" s="3"/>
      <c r="O436" s="65"/>
      <c r="Q436" s="3"/>
      <c r="R436" s="3"/>
      <c r="S436" s="3"/>
      <c r="T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row>
    <row r="437" spans="12:49" x14ac:dyDescent="0.3">
      <c r="L437" s="3"/>
      <c r="M437" s="3"/>
      <c r="N437" s="3"/>
      <c r="O437" s="65"/>
      <c r="Q437" s="3"/>
      <c r="R437" s="3"/>
      <c r="S437" s="3"/>
      <c r="T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row>
    <row r="438" spans="12:49" x14ac:dyDescent="0.3">
      <c r="L438" s="3"/>
      <c r="M438" s="3"/>
      <c r="N438" s="3"/>
      <c r="O438" s="65"/>
      <c r="Q438" s="3"/>
      <c r="R438" s="3"/>
      <c r="S438" s="3"/>
      <c r="T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row>
    <row r="439" spans="12:49" x14ac:dyDescent="0.3">
      <c r="L439" s="3"/>
      <c r="M439" s="3"/>
      <c r="N439" s="3"/>
      <c r="O439" s="65"/>
      <c r="Q439" s="3"/>
      <c r="R439" s="3"/>
      <c r="S439" s="3"/>
      <c r="T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row>
    <row r="440" spans="12:49" x14ac:dyDescent="0.3">
      <c r="L440" s="3"/>
      <c r="M440" s="3"/>
      <c r="N440" s="3"/>
      <c r="O440" s="65"/>
      <c r="Q440" s="3"/>
      <c r="R440" s="3"/>
      <c r="S440" s="3"/>
      <c r="T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row>
    <row r="441" spans="12:49" x14ac:dyDescent="0.3">
      <c r="L441" s="3"/>
      <c r="M441" s="3"/>
      <c r="N441" s="3"/>
      <c r="O441" s="65"/>
      <c r="Q441" s="3"/>
      <c r="R441" s="3"/>
      <c r="S441" s="3"/>
      <c r="T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row>
    <row r="442" spans="12:49" x14ac:dyDescent="0.3">
      <c r="L442" s="3"/>
      <c r="M442" s="3"/>
      <c r="N442" s="3"/>
      <c r="O442" s="65"/>
      <c r="Q442" s="3"/>
      <c r="R442" s="3"/>
      <c r="S442" s="3"/>
      <c r="T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row>
    <row r="443" spans="12:49" x14ac:dyDescent="0.3">
      <c r="L443" s="3"/>
      <c r="M443" s="3"/>
      <c r="N443" s="3"/>
      <c r="O443" s="65"/>
      <c r="Q443" s="3"/>
      <c r="R443" s="3"/>
      <c r="S443" s="3"/>
      <c r="T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row>
    <row r="444" spans="12:49" x14ac:dyDescent="0.3">
      <c r="L444" s="3"/>
      <c r="M444" s="3"/>
      <c r="N444" s="3"/>
      <c r="O444" s="65"/>
      <c r="Q444" s="3"/>
      <c r="R444" s="3"/>
      <c r="S444" s="3"/>
      <c r="T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row>
    <row r="445" spans="12:49" x14ac:dyDescent="0.3">
      <c r="L445" s="3"/>
      <c r="M445" s="3"/>
      <c r="N445" s="3"/>
      <c r="O445" s="65"/>
      <c r="Q445" s="3"/>
      <c r="R445" s="3"/>
      <c r="S445" s="3"/>
      <c r="T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row>
    <row r="446" spans="12:49" x14ac:dyDescent="0.3">
      <c r="L446" s="3"/>
      <c r="M446" s="3"/>
      <c r="N446" s="3"/>
      <c r="O446" s="65"/>
      <c r="Q446" s="3"/>
      <c r="R446" s="3"/>
      <c r="S446" s="3"/>
      <c r="T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row>
    <row r="447" spans="12:49" x14ac:dyDescent="0.3">
      <c r="L447" s="3"/>
      <c r="M447" s="3"/>
      <c r="N447" s="3"/>
      <c r="O447" s="65"/>
      <c r="Q447" s="3"/>
      <c r="R447" s="3"/>
      <c r="S447" s="3"/>
      <c r="T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row>
    <row r="448" spans="12:49" x14ac:dyDescent="0.3">
      <c r="L448" s="3"/>
      <c r="M448" s="3"/>
      <c r="N448" s="3"/>
      <c r="O448" s="65"/>
      <c r="Q448" s="3"/>
      <c r="R448" s="3"/>
      <c r="S448" s="3"/>
      <c r="T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row>
    <row r="449" spans="12:49" x14ac:dyDescent="0.3">
      <c r="L449" s="3"/>
      <c r="M449" s="3"/>
      <c r="N449" s="3"/>
      <c r="O449" s="65"/>
      <c r="Q449" s="3"/>
      <c r="R449" s="3"/>
      <c r="S449" s="3"/>
      <c r="T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row>
    <row r="450" spans="12:49" x14ac:dyDescent="0.3">
      <c r="L450" s="3"/>
      <c r="M450" s="3"/>
      <c r="N450" s="3"/>
      <c r="O450" s="65"/>
      <c r="Q450" s="3"/>
      <c r="R450" s="3"/>
      <c r="S450" s="3"/>
      <c r="T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row>
    <row r="451" spans="12:49" x14ac:dyDescent="0.3">
      <c r="L451" s="3"/>
      <c r="M451" s="3"/>
      <c r="N451" s="3"/>
      <c r="O451" s="65"/>
      <c r="Q451" s="3"/>
      <c r="R451" s="3"/>
      <c r="S451" s="3"/>
      <c r="T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row>
    <row r="452" spans="12:49" x14ac:dyDescent="0.3">
      <c r="L452" s="3"/>
      <c r="M452" s="3"/>
      <c r="N452" s="3"/>
      <c r="O452" s="65"/>
      <c r="Q452" s="3"/>
      <c r="R452" s="3"/>
      <c r="S452" s="3"/>
      <c r="T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row>
    <row r="453" spans="12:49" x14ac:dyDescent="0.3">
      <c r="L453" s="3"/>
      <c r="M453" s="3"/>
      <c r="N453" s="3"/>
      <c r="O453" s="65"/>
      <c r="Q453" s="3"/>
      <c r="R453" s="3"/>
      <c r="S453" s="3"/>
      <c r="T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row>
    <row r="454" spans="12:49" x14ac:dyDescent="0.3">
      <c r="L454" s="3"/>
      <c r="M454" s="3"/>
      <c r="N454" s="3"/>
      <c r="O454" s="65"/>
      <c r="Q454" s="3"/>
      <c r="R454" s="3"/>
      <c r="S454" s="3"/>
      <c r="T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row>
    <row r="455" spans="12:49" x14ac:dyDescent="0.3">
      <c r="L455" s="3"/>
      <c r="M455" s="3"/>
      <c r="N455" s="3"/>
      <c r="O455" s="65"/>
      <c r="Q455" s="3"/>
      <c r="R455" s="3"/>
      <c r="S455" s="3"/>
      <c r="T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row>
    <row r="456" spans="12:49" x14ac:dyDescent="0.3">
      <c r="L456" s="3"/>
      <c r="M456" s="3"/>
      <c r="N456" s="3"/>
      <c r="O456" s="65"/>
      <c r="Q456" s="3"/>
      <c r="R456" s="3"/>
      <c r="S456" s="3"/>
      <c r="T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row>
    <row r="457" spans="12:49" x14ac:dyDescent="0.3">
      <c r="L457" s="3"/>
      <c r="M457" s="3"/>
      <c r="N457" s="3"/>
      <c r="O457" s="65"/>
      <c r="Q457" s="3"/>
      <c r="R457" s="3"/>
      <c r="S457" s="3"/>
      <c r="T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row>
    <row r="458" spans="12:49" x14ac:dyDescent="0.3">
      <c r="L458" s="3"/>
      <c r="M458" s="3"/>
      <c r="N458" s="3"/>
      <c r="O458" s="65"/>
      <c r="Q458" s="3"/>
      <c r="R458" s="3"/>
      <c r="S458" s="3"/>
      <c r="T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row>
    <row r="459" spans="12:49" x14ac:dyDescent="0.3">
      <c r="L459" s="3"/>
      <c r="M459" s="3"/>
      <c r="N459" s="3"/>
      <c r="O459" s="65"/>
      <c r="Q459" s="3"/>
      <c r="R459" s="3"/>
      <c r="S459" s="3"/>
      <c r="T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row>
    <row r="460" spans="12:49" x14ac:dyDescent="0.3">
      <c r="L460" s="3"/>
      <c r="M460" s="3"/>
      <c r="N460" s="3"/>
      <c r="O460" s="65"/>
      <c r="Q460" s="3"/>
      <c r="R460" s="3"/>
      <c r="S460" s="3"/>
      <c r="T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row>
    <row r="461" spans="12:49" x14ac:dyDescent="0.3">
      <c r="L461" s="3"/>
      <c r="M461" s="3"/>
      <c r="N461" s="3"/>
      <c r="O461" s="65"/>
      <c r="Q461" s="3"/>
      <c r="R461" s="3"/>
      <c r="S461" s="3"/>
      <c r="T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row>
    <row r="462" spans="12:49" x14ac:dyDescent="0.3">
      <c r="L462" s="3"/>
      <c r="M462" s="3"/>
      <c r="N462" s="3"/>
      <c r="O462" s="65"/>
      <c r="Q462" s="3"/>
      <c r="R462" s="3"/>
      <c r="S462" s="3"/>
      <c r="T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row>
    <row r="463" spans="12:49" x14ac:dyDescent="0.3">
      <c r="L463" s="3"/>
      <c r="M463" s="3"/>
      <c r="N463" s="3"/>
      <c r="O463" s="65"/>
      <c r="Q463" s="3"/>
      <c r="R463" s="3"/>
      <c r="S463" s="3"/>
      <c r="T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row>
    <row r="464" spans="12:49" x14ac:dyDescent="0.3">
      <c r="L464" s="3"/>
      <c r="M464" s="3"/>
      <c r="N464" s="3"/>
      <c r="O464" s="65"/>
      <c r="Q464" s="3"/>
      <c r="R464" s="3"/>
      <c r="S464" s="3"/>
      <c r="T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row>
    <row r="465" spans="12:49" x14ac:dyDescent="0.3">
      <c r="L465" s="3"/>
      <c r="M465" s="3"/>
      <c r="N465" s="3"/>
      <c r="O465" s="65"/>
      <c r="Q465" s="3"/>
      <c r="R465" s="3"/>
      <c r="S465" s="3"/>
      <c r="T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row>
    <row r="466" spans="12:49" x14ac:dyDescent="0.3">
      <c r="L466" s="3"/>
      <c r="M466" s="3"/>
      <c r="N466" s="3"/>
      <c r="O466" s="65"/>
      <c r="Q466" s="3"/>
      <c r="R466" s="3"/>
      <c r="S466" s="3"/>
      <c r="T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row>
    <row r="467" spans="12:49" x14ac:dyDescent="0.3">
      <c r="L467" s="3"/>
      <c r="M467" s="3"/>
      <c r="N467" s="3"/>
      <c r="O467" s="65"/>
      <c r="Q467" s="3"/>
      <c r="R467" s="3"/>
      <c r="S467" s="3"/>
      <c r="T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row>
    <row r="468" spans="12:49" x14ac:dyDescent="0.3">
      <c r="L468" s="3"/>
      <c r="M468" s="3"/>
      <c r="N468" s="3"/>
      <c r="O468" s="65"/>
      <c r="Q468" s="3"/>
      <c r="R468" s="3"/>
      <c r="S468" s="3"/>
      <c r="T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row>
    <row r="469" spans="12:49" x14ac:dyDescent="0.3">
      <c r="L469" s="3"/>
      <c r="M469" s="3"/>
      <c r="N469" s="3"/>
      <c r="O469" s="65"/>
      <c r="Q469" s="3"/>
      <c r="R469" s="3"/>
      <c r="S469" s="3"/>
      <c r="T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row>
    <row r="470" spans="12:49" x14ac:dyDescent="0.3">
      <c r="L470" s="3"/>
      <c r="M470" s="3"/>
      <c r="N470" s="3"/>
      <c r="O470" s="65"/>
      <c r="Q470" s="3"/>
      <c r="R470" s="3"/>
      <c r="S470" s="3"/>
      <c r="T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row>
    <row r="471" spans="12:49" x14ac:dyDescent="0.3">
      <c r="L471" s="3"/>
      <c r="M471" s="3"/>
      <c r="N471" s="3"/>
      <c r="O471" s="65"/>
      <c r="Q471" s="3"/>
      <c r="R471" s="3"/>
      <c r="S471" s="3"/>
      <c r="T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row>
    <row r="472" spans="12:49" x14ac:dyDescent="0.3">
      <c r="L472" s="3"/>
      <c r="M472" s="3"/>
      <c r="N472" s="3"/>
      <c r="O472" s="65"/>
      <c r="Q472" s="3"/>
      <c r="R472" s="3"/>
      <c r="S472" s="3"/>
      <c r="T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row>
    <row r="473" spans="12:49" x14ac:dyDescent="0.3">
      <c r="L473" s="3"/>
      <c r="M473" s="3"/>
      <c r="N473" s="3"/>
      <c r="O473" s="65"/>
      <c r="Q473" s="3"/>
      <c r="R473" s="3"/>
      <c r="S473" s="3"/>
      <c r="T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row>
    <row r="474" spans="12:49" x14ac:dyDescent="0.3">
      <c r="L474" s="3"/>
      <c r="M474" s="3"/>
      <c r="N474" s="3"/>
      <c r="O474" s="65"/>
      <c r="Q474" s="3"/>
      <c r="R474" s="3"/>
      <c r="S474" s="3"/>
      <c r="T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row>
    <row r="475" spans="12:49" x14ac:dyDescent="0.3">
      <c r="L475" s="3"/>
      <c r="M475" s="3"/>
      <c r="N475" s="3"/>
      <c r="O475" s="65"/>
      <c r="Q475" s="3"/>
      <c r="R475" s="3"/>
      <c r="S475" s="3"/>
      <c r="T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row>
    <row r="476" spans="12:49" x14ac:dyDescent="0.3">
      <c r="L476" s="3"/>
      <c r="M476" s="3"/>
      <c r="N476" s="3"/>
      <c r="O476" s="65"/>
      <c r="Q476" s="3"/>
      <c r="R476" s="3"/>
      <c r="S476" s="3"/>
      <c r="T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row>
    <row r="477" spans="12:49" x14ac:dyDescent="0.3">
      <c r="L477" s="3"/>
      <c r="M477" s="3"/>
      <c r="N477" s="3"/>
      <c r="O477" s="65"/>
      <c r="Q477" s="3"/>
      <c r="R477" s="3"/>
      <c r="S477" s="3"/>
      <c r="T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row>
    <row r="478" spans="12:49" x14ac:dyDescent="0.3">
      <c r="L478" s="3"/>
      <c r="M478" s="3"/>
      <c r="N478" s="3"/>
      <c r="O478" s="65"/>
      <c r="Q478" s="3"/>
      <c r="R478" s="3"/>
      <c r="S478" s="3"/>
      <c r="T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row>
    <row r="479" spans="12:49" x14ac:dyDescent="0.3">
      <c r="L479" s="3"/>
      <c r="M479" s="3"/>
      <c r="N479" s="3"/>
      <c r="O479" s="65"/>
      <c r="Q479" s="3"/>
      <c r="R479" s="3"/>
      <c r="S479" s="3"/>
      <c r="T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row>
    <row r="480" spans="12:49" x14ac:dyDescent="0.3">
      <c r="L480" s="3"/>
      <c r="M480" s="3"/>
      <c r="N480" s="3"/>
      <c r="O480" s="65"/>
      <c r="Q480" s="3"/>
      <c r="R480" s="3"/>
      <c r="S480" s="3"/>
      <c r="T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row>
    <row r="481" spans="12:49" x14ac:dyDescent="0.3">
      <c r="L481" s="3"/>
      <c r="M481" s="3"/>
      <c r="N481" s="3"/>
      <c r="O481" s="65"/>
      <c r="Q481" s="3"/>
      <c r="R481" s="3"/>
      <c r="S481" s="3"/>
      <c r="T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row>
    <row r="482" spans="12:49" x14ac:dyDescent="0.3">
      <c r="L482" s="3"/>
      <c r="M482" s="3"/>
      <c r="N482" s="3"/>
      <c r="O482" s="65"/>
      <c r="Q482" s="3"/>
      <c r="R482" s="3"/>
      <c r="S482" s="3"/>
      <c r="T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row>
    <row r="483" spans="12:49" x14ac:dyDescent="0.3">
      <c r="L483" s="3"/>
      <c r="M483" s="3"/>
      <c r="N483" s="3"/>
      <c r="O483" s="65"/>
      <c r="Q483" s="3"/>
      <c r="R483" s="3"/>
      <c r="S483" s="3"/>
      <c r="T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row>
    <row r="484" spans="12:49" x14ac:dyDescent="0.3">
      <c r="L484" s="3"/>
      <c r="M484" s="3"/>
      <c r="N484" s="3"/>
      <c r="O484" s="65"/>
      <c r="Q484" s="3"/>
      <c r="R484" s="3"/>
      <c r="S484" s="3"/>
      <c r="T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row>
    <row r="485" spans="12:49" x14ac:dyDescent="0.3">
      <c r="L485" s="3"/>
      <c r="M485" s="3"/>
      <c r="N485" s="3"/>
      <c r="O485" s="65"/>
      <c r="Q485" s="3"/>
      <c r="R485" s="3"/>
      <c r="S485" s="3"/>
      <c r="T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row>
    <row r="486" spans="12:49" x14ac:dyDescent="0.3">
      <c r="L486" s="3"/>
      <c r="M486" s="3"/>
      <c r="N486" s="3"/>
      <c r="O486" s="65"/>
      <c r="Q486" s="3"/>
      <c r="R486" s="3"/>
      <c r="S486" s="3"/>
      <c r="T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row>
    <row r="487" spans="12:49" x14ac:dyDescent="0.3">
      <c r="L487" s="3"/>
      <c r="M487" s="3"/>
      <c r="N487" s="3"/>
      <c r="O487" s="65"/>
      <c r="Q487" s="3"/>
      <c r="R487" s="3"/>
      <c r="S487" s="3"/>
      <c r="T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row>
    <row r="488" spans="12:49" x14ac:dyDescent="0.3">
      <c r="L488" s="3"/>
      <c r="M488" s="3"/>
      <c r="N488" s="3"/>
      <c r="O488" s="65"/>
      <c r="Q488" s="3"/>
      <c r="R488" s="3"/>
      <c r="S488" s="3"/>
      <c r="T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row>
    <row r="489" spans="12:49" x14ac:dyDescent="0.3">
      <c r="L489" s="3"/>
      <c r="M489" s="3"/>
      <c r="N489" s="3"/>
      <c r="O489" s="65"/>
      <c r="Q489" s="3"/>
      <c r="R489" s="3"/>
      <c r="S489" s="3"/>
      <c r="T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row>
    <row r="490" spans="12:49" x14ac:dyDescent="0.3">
      <c r="L490" s="3"/>
      <c r="M490" s="3"/>
      <c r="N490" s="3"/>
      <c r="O490" s="65"/>
      <c r="Q490" s="3"/>
      <c r="R490" s="3"/>
      <c r="S490" s="3"/>
      <c r="T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row>
    <row r="491" spans="12:49" x14ac:dyDescent="0.3">
      <c r="L491" s="3"/>
      <c r="M491" s="3"/>
      <c r="N491" s="3"/>
      <c r="O491" s="65"/>
      <c r="Q491" s="3"/>
      <c r="R491" s="3"/>
      <c r="S491" s="3"/>
      <c r="T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row>
    <row r="492" spans="12:49" x14ac:dyDescent="0.3">
      <c r="L492" s="3"/>
      <c r="M492" s="3"/>
      <c r="N492" s="3"/>
      <c r="O492" s="65"/>
      <c r="Q492" s="3"/>
      <c r="R492" s="3"/>
      <c r="S492" s="3"/>
      <c r="T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row>
    <row r="493" spans="12:49" x14ac:dyDescent="0.3">
      <c r="L493" s="3"/>
      <c r="M493" s="3"/>
      <c r="N493" s="3"/>
      <c r="O493" s="65"/>
      <c r="Q493" s="3"/>
      <c r="R493" s="3"/>
      <c r="S493" s="3"/>
      <c r="T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row>
    <row r="494" spans="12:49" x14ac:dyDescent="0.3">
      <c r="L494" s="3"/>
      <c r="M494" s="3"/>
      <c r="N494" s="3"/>
      <c r="O494" s="65"/>
      <c r="Q494" s="3"/>
      <c r="R494" s="3"/>
      <c r="S494" s="3"/>
      <c r="T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row>
    <row r="495" spans="12:49" x14ac:dyDescent="0.3">
      <c r="L495" s="3"/>
      <c r="M495" s="3"/>
      <c r="N495" s="3"/>
      <c r="O495" s="65"/>
      <c r="Q495" s="3"/>
      <c r="R495" s="3"/>
      <c r="S495" s="3"/>
      <c r="T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row>
    <row r="496" spans="12:49" x14ac:dyDescent="0.3">
      <c r="L496" s="3"/>
      <c r="M496" s="3"/>
      <c r="N496" s="3"/>
      <c r="O496" s="65"/>
      <c r="Q496" s="3"/>
      <c r="R496" s="3"/>
      <c r="S496" s="3"/>
      <c r="T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row>
    <row r="497" spans="12:49" x14ac:dyDescent="0.3">
      <c r="L497" s="3"/>
      <c r="M497" s="3"/>
      <c r="N497" s="3"/>
      <c r="O497" s="65"/>
      <c r="Q497" s="3"/>
      <c r="R497" s="3"/>
      <c r="S497" s="3"/>
      <c r="T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row>
    <row r="498" spans="12:49" x14ac:dyDescent="0.3">
      <c r="L498" s="3"/>
      <c r="M498" s="3"/>
      <c r="N498" s="3"/>
      <c r="O498" s="65"/>
      <c r="Q498" s="3"/>
      <c r="R498" s="3"/>
      <c r="S498" s="3"/>
      <c r="T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row>
    <row r="499" spans="12:49" x14ac:dyDescent="0.3">
      <c r="L499" s="3"/>
      <c r="M499" s="3"/>
      <c r="N499" s="3"/>
      <c r="O499" s="65"/>
      <c r="Q499" s="3"/>
      <c r="R499" s="3"/>
      <c r="S499" s="3"/>
      <c r="T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row>
    <row r="500" spans="12:49" x14ac:dyDescent="0.3">
      <c r="L500" s="3"/>
      <c r="M500" s="3"/>
      <c r="N500" s="3"/>
      <c r="O500" s="65"/>
      <c r="Q500" s="3"/>
      <c r="R500" s="3"/>
      <c r="S500" s="3"/>
      <c r="T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row>
    <row r="501" spans="12:49" x14ac:dyDescent="0.3">
      <c r="L501" s="3"/>
      <c r="M501" s="3"/>
      <c r="N501" s="3"/>
      <c r="O501" s="65"/>
      <c r="Q501" s="3"/>
      <c r="R501" s="3"/>
      <c r="S501" s="3"/>
      <c r="T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row>
    <row r="502" spans="12:49" x14ac:dyDescent="0.3">
      <c r="L502" s="3"/>
      <c r="M502" s="3"/>
      <c r="N502" s="3"/>
      <c r="O502" s="65"/>
      <c r="Q502" s="3"/>
      <c r="R502" s="3"/>
      <c r="S502" s="3"/>
      <c r="T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row>
    <row r="503" spans="12:49" x14ac:dyDescent="0.3">
      <c r="L503" s="3"/>
      <c r="M503" s="3"/>
      <c r="N503" s="3"/>
      <c r="O503" s="65"/>
      <c r="Q503" s="3"/>
      <c r="R503" s="3"/>
      <c r="S503" s="3"/>
      <c r="T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row>
    <row r="504" spans="12:49" x14ac:dyDescent="0.3">
      <c r="L504" s="3"/>
      <c r="M504" s="3"/>
      <c r="N504" s="3"/>
      <c r="O504" s="65"/>
      <c r="Q504" s="3"/>
      <c r="R504" s="3"/>
      <c r="S504" s="3"/>
      <c r="T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row>
    <row r="505" spans="12:49" x14ac:dyDescent="0.3">
      <c r="L505" s="3"/>
      <c r="M505" s="3"/>
      <c r="N505" s="3"/>
      <c r="O505" s="65"/>
      <c r="Q505" s="3"/>
      <c r="R505" s="3"/>
      <c r="S505" s="3"/>
      <c r="T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row>
    <row r="506" spans="12:49" x14ac:dyDescent="0.3">
      <c r="L506" s="3"/>
      <c r="M506" s="3"/>
      <c r="N506" s="3"/>
      <c r="O506" s="65"/>
      <c r="Q506" s="3"/>
      <c r="R506" s="3"/>
      <c r="S506" s="3"/>
      <c r="T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row>
    <row r="507" spans="12:49" x14ac:dyDescent="0.3">
      <c r="L507" s="3"/>
      <c r="M507" s="3"/>
      <c r="N507" s="3"/>
      <c r="O507" s="65"/>
      <c r="Q507" s="3"/>
      <c r="R507" s="3"/>
      <c r="S507" s="3"/>
      <c r="T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row>
    <row r="508" spans="12:49" x14ac:dyDescent="0.3">
      <c r="L508" s="3"/>
      <c r="M508" s="3"/>
      <c r="N508" s="3"/>
      <c r="O508" s="65"/>
      <c r="Q508" s="3"/>
      <c r="R508" s="3"/>
      <c r="S508" s="3"/>
      <c r="T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row>
    <row r="509" spans="12:49" x14ac:dyDescent="0.3">
      <c r="L509" s="3"/>
      <c r="M509" s="3"/>
      <c r="N509" s="3"/>
      <c r="O509" s="65"/>
      <c r="Q509" s="3"/>
      <c r="R509" s="3"/>
      <c r="S509" s="3"/>
      <c r="T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row>
    <row r="510" spans="12:49" x14ac:dyDescent="0.3">
      <c r="L510" s="3"/>
      <c r="M510" s="3"/>
      <c r="N510" s="3"/>
      <c r="O510" s="65"/>
      <c r="Q510" s="3"/>
      <c r="R510" s="3"/>
      <c r="S510" s="3"/>
      <c r="T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row>
    <row r="511" spans="12:49" x14ac:dyDescent="0.3">
      <c r="L511" s="3"/>
      <c r="M511" s="3"/>
      <c r="N511" s="3"/>
      <c r="O511" s="65"/>
      <c r="Q511" s="3"/>
      <c r="R511" s="3"/>
      <c r="S511" s="3"/>
      <c r="T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row>
    <row r="512" spans="12:49" x14ac:dyDescent="0.3">
      <c r="L512" s="3"/>
      <c r="M512" s="3"/>
      <c r="N512" s="3"/>
      <c r="O512" s="65"/>
      <c r="Q512" s="3"/>
      <c r="R512" s="3"/>
      <c r="S512" s="3"/>
      <c r="T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row>
    <row r="513" spans="12:49" x14ac:dyDescent="0.3">
      <c r="L513" s="3"/>
      <c r="M513" s="3"/>
      <c r="N513" s="3"/>
      <c r="O513" s="65"/>
      <c r="Q513" s="3"/>
      <c r="R513" s="3"/>
      <c r="S513" s="3"/>
      <c r="T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row>
    <row r="514" spans="12:49" x14ac:dyDescent="0.3">
      <c r="L514" s="3"/>
      <c r="M514" s="3"/>
      <c r="N514" s="3"/>
      <c r="O514" s="65"/>
      <c r="Q514" s="3"/>
      <c r="R514" s="3"/>
      <c r="S514" s="3"/>
      <c r="T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row>
    <row r="515" spans="12:49" x14ac:dyDescent="0.3">
      <c r="L515" s="3"/>
      <c r="M515" s="3"/>
      <c r="N515" s="3"/>
      <c r="O515" s="65"/>
      <c r="Q515" s="3"/>
      <c r="R515" s="3"/>
      <c r="S515" s="3"/>
      <c r="T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row>
    <row r="516" spans="12:49" x14ac:dyDescent="0.3">
      <c r="L516" s="3"/>
      <c r="M516" s="3"/>
      <c r="N516" s="3"/>
      <c r="O516" s="65"/>
      <c r="Q516" s="3"/>
      <c r="R516" s="3"/>
      <c r="S516" s="3"/>
      <c r="T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row>
    <row r="517" spans="12:49" x14ac:dyDescent="0.3">
      <c r="L517" s="3"/>
      <c r="M517" s="3"/>
      <c r="N517" s="3"/>
      <c r="O517" s="65"/>
      <c r="Q517" s="3"/>
      <c r="R517" s="3"/>
      <c r="S517" s="3"/>
      <c r="T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row>
    <row r="518" spans="12:49" x14ac:dyDescent="0.3">
      <c r="L518" s="3"/>
      <c r="M518" s="3"/>
      <c r="N518" s="3"/>
      <c r="O518" s="65"/>
      <c r="Q518" s="3"/>
      <c r="R518" s="3"/>
      <c r="S518" s="3"/>
      <c r="T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row>
    <row r="519" spans="12:49" x14ac:dyDescent="0.3">
      <c r="L519" s="3"/>
      <c r="M519" s="3"/>
      <c r="N519" s="3"/>
      <c r="O519" s="65"/>
      <c r="Q519" s="3"/>
      <c r="R519" s="3"/>
      <c r="S519" s="3"/>
      <c r="T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row>
    <row r="520" spans="12:49" x14ac:dyDescent="0.3">
      <c r="L520" s="3"/>
      <c r="M520" s="3"/>
      <c r="N520" s="3"/>
      <c r="O520" s="65"/>
      <c r="Q520" s="3"/>
      <c r="R520" s="3"/>
      <c r="S520" s="3"/>
      <c r="T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row>
    <row r="521" spans="12:49" x14ac:dyDescent="0.3">
      <c r="L521" s="3"/>
      <c r="M521" s="3"/>
      <c r="N521" s="3"/>
      <c r="O521" s="65"/>
      <c r="Q521" s="3"/>
      <c r="R521" s="3"/>
      <c r="S521" s="3"/>
      <c r="T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row>
    <row r="522" spans="12:49" x14ac:dyDescent="0.3">
      <c r="L522" s="3"/>
      <c r="M522" s="3"/>
      <c r="N522" s="3"/>
      <c r="O522" s="65"/>
      <c r="Q522" s="3"/>
      <c r="R522" s="3"/>
      <c r="S522" s="3"/>
      <c r="T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row>
    <row r="523" spans="12:49" x14ac:dyDescent="0.3">
      <c r="L523" s="3"/>
      <c r="M523" s="3"/>
      <c r="N523" s="3"/>
      <c r="O523" s="65"/>
      <c r="Q523" s="3"/>
      <c r="R523" s="3"/>
      <c r="S523" s="3"/>
      <c r="T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row>
    <row r="524" spans="12:49" x14ac:dyDescent="0.3">
      <c r="L524" s="3"/>
      <c r="M524" s="3"/>
      <c r="N524" s="3"/>
      <c r="O524" s="65"/>
      <c r="Q524" s="3"/>
      <c r="R524" s="3"/>
      <c r="S524" s="3"/>
      <c r="T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row>
    <row r="525" spans="12:49" x14ac:dyDescent="0.3">
      <c r="L525" s="3"/>
      <c r="M525" s="3"/>
      <c r="N525" s="3"/>
      <c r="O525" s="65"/>
      <c r="Q525" s="3"/>
      <c r="R525" s="3"/>
      <c r="S525" s="3"/>
      <c r="T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row>
    <row r="526" spans="12:49" x14ac:dyDescent="0.3">
      <c r="L526" s="3"/>
      <c r="M526" s="3"/>
      <c r="N526" s="3"/>
      <c r="O526" s="65"/>
      <c r="Q526" s="3"/>
      <c r="R526" s="3"/>
      <c r="S526" s="3"/>
      <c r="T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row>
    <row r="527" spans="12:49" x14ac:dyDescent="0.3">
      <c r="L527" s="3"/>
      <c r="M527" s="3"/>
      <c r="N527" s="3"/>
      <c r="O527" s="65"/>
      <c r="Q527" s="3"/>
      <c r="R527" s="3"/>
      <c r="S527" s="3"/>
      <c r="T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row>
    <row r="528" spans="12:49" x14ac:dyDescent="0.3">
      <c r="L528" s="3"/>
      <c r="M528" s="3"/>
      <c r="N528" s="3"/>
      <c r="O528" s="65"/>
      <c r="Q528" s="3"/>
      <c r="R528" s="3"/>
      <c r="S528" s="3"/>
      <c r="T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row>
    <row r="529" spans="12:49" x14ac:dyDescent="0.3">
      <c r="L529" s="3"/>
      <c r="M529" s="3"/>
      <c r="N529" s="3"/>
      <c r="O529" s="65"/>
      <c r="Q529" s="3"/>
      <c r="R529" s="3"/>
      <c r="S529" s="3"/>
      <c r="T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row>
    <row r="530" spans="12:49" x14ac:dyDescent="0.3">
      <c r="L530" s="3"/>
      <c r="M530" s="3"/>
      <c r="N530" s="3"/>
      <c r="O530" s="65"/>
      <c r="Q530" s="3"/>
      <c r="R530" s="3"/>
      <c r="S530" s="3"/>
      <c r="T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row>
    <row r="531" spans="12:49" x14ac:dyDescent="0.3">
      <c r="L531" s="3"/>
      <c r="M531" s="3"/>
      <c r="N531" s="3"/>
      <c r="O531" s="65"/>
      <c r="Q531" s="3"/>
      <c r="R531" s="3"/>
      <c r="S531" s="3"/>
      <c r="T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row>
    <row r="532" spans="12:49" x14ac:dyDescent="0.3">
      <c r="L532" s="3"/>
      <c r="M532" s="3"/>
      <c r="N532" s="3"/>
      <c r="O532" s="65"/>
      <c r="Q532" s="3"/>
      <c r="R532" s="3"/>
      <c r="S532" s="3"/>
      <c r="T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row>
    <row r="533" spans="12:49" x14ac:dyDescent="0.3">
      <c r="L533" s="3"/>
      <c r="M533" s="3"/>
      <c r="N533" s="3"/>
      <c r="O533" s="65"/>
      <c r="Q533" s="3"/>
      <c r="R533" s="3"/>
      <c r="S533" s="3"/>
      <c r="T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row>
    <row r="534" spans="12:49" x14ac:dyDescent="0.3">
      <c r="L534" s="3"/>
      <c r="M534" s="3"/>
      <c r="N534" s="3"/>
      <c r="O534" s="65"/>
      <c r="Q534" s="3"/>
      <c r="R534" s="3"/>
      <c r="S534" s="3"/>
      <c r="T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row>
    <row r="535" spans="12:49" x14ac:dyDescent="0.3">
      <c r="L535" s="3"/>
      <c r="M535" s="3"/>
      <c r="N535" s="3"/>
      <c r="O535" s="65"/>
      <c r="Q535" s="3"/>
      <c r="R535" s="3"/>
      <c r="S535" s="3"/>
      <c r="T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row>
    <row r="536" spans="12:49" x14ac:dyDescent="0.3">
      <c r="L536" s="3"/>
      <c r="M536" s="3"/>
      <c r="N536" s="3"/>
      <c r="O536" s="65"/>
      <c r="Q536" s="3"/>
      <c r="R536" s="3"/>
      <c r="S536" s="3"/>
      <c r="T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row>
    <row r="537" spans="12:49" x14ac:dyDescent="0.3">
      <c r="L537" s="3"/>
      <c r="M537" s="3"/>
      <c r="N537" s="3"/>
      <c r="O537" s="65"/>
      <c r="Q537" s="3"/>
      <c r="R537" s="3"/>
      <c r="S537" s="3"/>
      <c r="T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row>
    <row r="538" spans="12:49" x14ac:dyDescent="0.3">
      <c r="L538" s="3"/>
      <c r="M538" s="3"/>
      <c r="N538" s="3"/>
      <c r="O538" s="65"/>
      <c r="Q538" s="3"/>
      <c r="R538" s="3"/>
      <c r="S538" s="3"/>
      <c r="T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row>
    <row r="539" spans="12:49" x14ac:dyDescent="0.3">
      <c r="L539" s="3"/>
      <c r="M539" s="3"/>
      <c r="N539" s="3"/>
      <c r="O539" s="65"/>
      <c r="Q539" s="3"/>
      <c r="R539" s="3"/>
      <c r="S539" s="3"/>
      <c r="T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row>
    <row r="540" spans="12:49" x14ac:dyDescent="0.3">
      <c r="L540" s="3"/>
      <c r="M540" s="3"/>
      <c r="N540" s="3"/>
      <c r="O540" s="65"/>
      <c r="Q540" s="3"/>
      <c r="R540" s="3"/>
      <c r="S540" s="3"/>
      <c r="T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row>
    <row r="541" spans="12:49" x14ac:dyDescent="0.3">
      <c r="L541" s="3"/>
      <c r="M541" s="3"/>
      <c r="N541" s="3"/>
      <c r="O541" s="65"/>
      <c r="Q541" s="3"/>
      <c r="R541" s="3"/>
      <c r="S541" s="3"/>
      <c r="T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row>
    <row r="542" spans="12:49" x14ac:dyDescent="0.3">
      <c r="L542" s="3"/>
      <c r="M542" s="3"/>
      <c r="N542" s="3"/>
      <c r="O542" s="65"/>
      <c r="Q542" s="3"/>
      <c r="R542" s="3"/>
      <c r="S542" s="3"/>
      <c r="T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row>
    <row r="543" spans="12:49" x14ac:dyDescent="0.3">
      <c r="L543" s="3"/>
      <c r="M543" s="3"/>
      <c r="N543" s="3"/>
      <c r="O543" s="65"/>
      <c r="Q543" s="3"/>
      <c r="R543" s="3"/>
      <c r="S543" s="3"/>
      <c r="T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row>
    <row r="544" spans="12:49" x14ac:dyDescent="0.3">
      <c r="L544" s="3"/>
      <c r="M544" s="3"/>
      <c r="N544" s="3"/>
      <c r="O544" s="65"/>
      <c r="Q544" s="3"/>
      <c r="R544" s="3"/>
      <c r="S544" s="3"/>
      <c r="T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row>
    <row r="545" spans="12:49" x14ac:dyDescent="0.3">
      <c r="L545" s="3"/>
      <c r="M545" s="3"/>
      <c r="N545" s="3"/>
      <c r="O545" s="65"/>
      <c r="Q545" s="3"/>
      <c r="R545" s="3"/>
      <c r="S545" s="3"/>
      <c r="T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row>
    <row r="546" spans="12:49" x14ac:dyDescent="0.3">
      <c r="L546" s="3"/>
      <c r="M546" s="3"/>
      <c r="N546" s="3"/>
      <c r="O546" s="65"/>
      <c r="Q546" s="3"/>
      <c r="R546" s="3"/>
      <c r="S546" s="3"/>
      <c r="T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row>
    <row r="547" spans="12:49" x14ac:dyDescent="0.3">
      <c r="L547" s="3"/>
      <c r="M547" s="3"/>
      <c r="N547" s="3"/>
      <c r="O547" s="65"/>
      <c r="Q547" s="3"/>
      <c r="R547" s="3"/>
      <c r="S547" s="3"/>
      <c r="T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row>
    <row r="548" spans="12:49" x14ac:dyDescent="0.3">
      <c r="L548" s="3"/>
      <c r="M548" s="3"/>
      <c r="N548" s="3"/>
      <c r="O548" s="65"/>
      <c r="Q548" s="3"/>
      <c r="R548" s="3"/>
      <c r="S548" s="3"/>
      <c r="T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row>
    <row r="549" spans="12:49" x14ac:dyDescent="0.3">
      <c r="L549" s="3"/>
      <c r="M549" s="3"/>
      <c r="N549" s="3"/>
      <c r="O549" s="65"/>
      <c r="Q549" s="3"/>
      <c r="R549" s="3"/>
      <c r="S549" s="3"/>
      <c r="T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row>
    <row r="550" spans="12:49" x14ac:dyDescent="0.3">
      <c r="L550" s="3"/>
      <c r="M550" s="3"/>
      <c r="N550" s="3"/>
      <c r="O550" s="65"/>
      <c r="Q550" s="3"/>
      <c r="R550" s="3"/>
      <c r="S550" s="3"/>
      <c r="T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row>
    <row r="551" spans="12:49" x14ac:dyDescent="0.3">
      <c r="L551" s="3"/>
      <c r="M551" s="3"/>
      <c r="N551" s="3"/>
      <c r="O551" s="65"/>
      <c r="Q551" s="3"/>
      <c r="R551" s="3"/>
      <c r="S551" s="3"/>
      <c r="T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row>
    <row r="552" spans="12:49" x14ac:dyDescent="0.3">
      <c r="L552" s="3"/>
      <c r="M552" s="3"/>
      <c r="N552" s="3"/>
      <c r="O552" s="65"/>
      <c r="Q552" s="3"/>
      <c r="R552" s="3"/>
      <c r="S552" s="3"/>
      <c r="T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row>
    <row r="553" spans="12:49" x14ac:dyDescent="0.3">
      <c r="L553" s="3"/>
      <c r="M553" s="3"/>
      <c r="N553" s="3"/>
      <c r="O553" s="65"/>
      <c r="Q553" s="3"/>
      <c r="R553" s="3"/>
      <c r="S553" s="3"/>
      <c r="T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row>
    <row r="554" spans="12:49" x14ac:dyDescent="0.3">
      <c r="L554" s="3"/>
      <c r="M554" s="3"/>
      <c r="N554" s="3"/>
      <c r="O554" s="65"/>
      <c r="Q554" s="3"/>
      <c r="R554" s="3"/>
      <c r="S554" s="3"/>
      <c r="T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row>
    <row r="555" spans="12:49" x14ac:dyDescent="0.3">
      <c r="L555" s="3"/>
      <c r="M555" s="3"/>
      <c r="N555" s="3"/>
      <c r="O555" s="65"/>
      <c r="Q555" s="3"/>
      <c r="R555" s="3"/>
      <c r="S555" s="3"/>
      <c r="T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row>
    <row r="556" spans="12:49" x14ac:dyDescent="0.3">
      <c r="L556" s="3"/>
      <c r="M556" s="3"/>
      <c r="N556" s="3"/>
      <c r="O556" s="65"/>
      <c r="Q556" s="3"/>
      <c r="R556" s="3"/>
      <c r="S556" s="3"/>
      <c r="T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row>
    <row r="557" spans="12:49" x14ac:dyDescent="0.3">
      <c r="L557" s="3"/>
      <c r="M557" s="3"/>
      <c r="N557" s="3"/>
      <c r="O557" s="65"/>
      <c r="Q557" s="3"/>
      <c r="R557" s="3"/>
      <c r="S557" s="3"/>
      <c r="T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row>
    <row r="558" spans="12:49" x14ac:dyDescent="0.3">
      <c r="L558" s="3"/>
      <c r="M558" s="3"/>
      <c r="N558" s="3"/>
      <c r="O558" s="65"/>
      <c r="Q558" s="3"/>
      <c r="R558" s="3"/>
      <c r="S558" s="3"/>
      <c r="T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row>
    <row r="559" spans="12:49" x14ac:dyDescent="0.3">
      <c r="L559" s="3"/>
      <c r="M559" s="3"/>
      <c r="N559" s="3"/>
      <c r="O559" s="65"/>
      <c r="Q559" s="3"/>
      <c r="R559" s="3"/>
      <c r="S559" s="3"/>
      <c r="T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row>
    <row r="560" spans="12:49" x14ac:dyDescent="0.3">
      <c r="L560" s="3"/>
      <c r="M560" s="3"/>
      <c r="N560" s="3"/>
      <c r="O560" s="65"/>
      <c r="Q560" s="3"/>
      <c r="R560" s="3"/>
      <c r="S560" s="3"/>
      <c r="T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row>
    <row r="561" spans="12:49" x14ac:dyDescent="0.3">
      <c r="L561" s="3"/>
      <c r="M561" s="3"/>
      <c r="N561" s="3"/>
      <c r="O561" s="65"/>
      <c r="Q561" s="3"/>
      <c r="R561" s="3"/>
      <c r="S561" s="3"/>
      <c r="T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row>
    <row r="562" spans="12:49" x14ac:dyDescent="0.3">
      <c r="L562" s="3"/>
      <c r="M562" s="3"/>
      <c r="N562" s="3"/>
      <c r="O562" s="65"/>
      <c r="Q562" s="3"/>
      <c r="R562" s="3"/>
      <c r="S562" s="3"/>
      <c r="T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row>
    <row r="563" spans="12:49" x14ac:dyDescent="0.3">
      <c r="L563" s="3"/>
      <c r="M563" s="3"/>
      <c r="N563" s="3"/>
      <c r="O563" s="65"/>
      <c r="Q563" s="3"/>
      <c r="R563" s="3"/>
      <c r="S563" s="3"/>
      <c r="T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row>
    <row r="564" spans="12:49" x14ac:dyDescent="0.3">
      <c r="L564" s="3"/>
      <c r="M564" s="3"/>
      <c r="N564" s="3"/>
      <c r="O564" s="65"/>
      <c r="Q564" s="3"/>
      <c r="R564" s="3"/>
      <c r="S564" s="3"/>
      <c r="T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row>
    <row r="565" spans="12:49" x14ac:dyDescent="0.3">
      <c r="L565" s="3"/>
      <c r="M565" s="3"/>
      <c r="N565" s="3"/>
      <c r="O565" s="65"/>
      <c r="Q565" s="3"/>
      <c r="R565" s="3"/>
      <c r="S565" s="3"/>
      <c r="T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row>
    <row r="566" spans="12:49" x14ac:dyDescent="0.3">
      <c r="L566" s="3"/>
      <c r="M566" s="3"/>
      <c r="N566" s="3"/>
      <c r="O566" s="65"/>
      <c r="Q566" s="3"/>
      <c r="R566" s="3"/>
      <c r="S566" s="3"/>
      <c r="T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row>
    <row r="567" spans="12:49" x14ac:dyDescent="0.3">
      <c r="L567" s="3"/>
      <c r="M567" s="3"/>
      <c r="N567" s="3"/>
      <c r="O567" s="65"/>
      <c r="Q567" s="3"/>
      <c r="R567" s="3"/>
      <c r="S567" s="3"/>
      <c r="T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row>
    <row r="568" spans="12:49" x14ac:dyDescent="0.3">
      <c r="L568" s="3"/>
      <c r="M568" s="3"/>
      <c r="N568" s="3"/>
      <c r="O568" s="65"/>
      <c r="Q568" s="3"/>
      <c r="R568" s="3"/>
      <c r="S568" s="3"/>
      <c r="T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row>
    <row r="569" spans="12:49" x14ac:dyDescent="0.3">
      <c r="L569" s="3"/>
      <c r="M569" s="3"/>
      <c r="N569" s="3"/>
      <c r="O569" s="65"/>
      <c r="Q569" s="3"/>
      <c r="R569" s="3"/>
      <c r="S569" s="3"/>
      <c r="T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row>
    <row r="570" spans="12:49" x14ac:dyDescent="0.3">
      <c r="L570" s="3"/>
      <c r="M570" s="3"/>
      <c r="N570" s="3"/>
      <c r="O570" s="65"/>
      <c r="Q570" s="3"/>
      <c r="R570" s="3"/>
      <c r="S570" s="3"/>
      <c r="T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row>
    <row r="571" spans="12:49" x14ac:dyDescent="0.3">
      <c r="L571" s="3"/>
      <c r="M571" s="3"/>
      <c r="N571" s="3"/>
      <c r="O571" s="65"/>
      <c r="Q571" s="3"/>
      <c r="R571" s="3"/>
      <c r="S571" s="3"/>
      <c r="T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row>
    <row r="572" spans="12:49" x14ac:dyDescent="0.3">
      <c r="L572" s="3"/>
      <c r="M572" s="3"/>
      <c r="N572" s="3"/>
      <c r="O572" s="65"/>
      <c r="Q572" s="3"/>
      <c r="R572" s="3"/>
      <c r="S572" s="3"/>
      <c r="T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row>
    <row r="573" spans="12:49" x14ac:dyDescent="0.3">
      <c r="L573" s="3"/>
      <c r="M573" s="3"/>
      <c r="N573" s="3"/>
      <c r="O573" s="65"/>
      <c r="Q573" s="3"/>
      <c r="R573" s="3"/>
      <c r="S573" s="3"/>
      <c r="T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row>
    <row r="574" spans="12:49" x14ac:dyDescent="0.3">
      <c r="L574" s="3"/>
      <c r="M574" s="3"/>
      <c r="N574" s="3"/>
      <c r="O574" s="65"/>
      <c r="Q574" s="3"/>
      <c r="R574" s="3"/>
      <c r="S574" s="3"/>
      <c r="T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row>
    <row r="575" spans="12:49" x14ac:dyDescent="0.3">
      <c r="L575" s="3"/>
      <c r="M575" s="3"/>
      <c r="N575" s="3"/>
      <c r="O575" s="65"/>
      <c r="Q575" s="3"/>
      <c r="R575" s="3"/>
      <c r="S575" s="3"/>
      <c r="T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row>
    <row r="576" spans="12:49" x14ac:dyDescent="0.3">
      <c r="L576" s="3"/>
      <c r="M576" s="3"/>
      <c r="N576" s="3"/>
      <c r="O576" s="65"/>
      <c r="Q576" s="3"/>
      <c r="R576" s="3"/>
      <c r="S576" s="3"/>
      <c r="T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row>
    <row r="577" spans="12:49" x14ac:dyDescent="0.3">
      <c r="L577" s="3"/>
      <c r="M577" s="3"/>
      <c r="N577" s="3"/>
      <c r="O577" s="65"/>
      <c r="Q577" s="3"/>
      <c r="R577" s="3"/>
      <c r="S577" s="3"/>
      <c r="T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row>
    <row r="578" spans="12:49" x14ac:dyDescent="0.3">
      <c r="L578" s="3"/>
      <c r="M578" s="3"/>
      <c r="N578" s="3"/>
      <c r="O578" s="65"/>
      <c r="Q578" s="3"/>
      <c r="R578" s="3"/>
      <c r="S578" s="3"/>
      <c r="T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row>
    <row r="579" spans="12:49" x14ac:dyDescent="0.3">
      <c r="L579" s="3"/>
      <c r="M579" s="3"/>
      <c r="N579" s="3"/>
      <c r="O579" s="65"/>
      <c r="Q579" s="3"/>
      <c r="R579" s="3"/>
      <c r="S579" s="3"/>
      <c r="T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row>
    <row r="580" spans="12:49" x14ac:dyDescent="0.3">
      <c r="L580" s="3"/>
      <c r="M580" s="3"/>
      <c r="N580" s="3"/>
      <c r="O580" s="65"/>
      <c r="Q580" s="3"/>
      <c r="R580" s="3"/>
      <c r="S580" s="3"/>
      <c r="T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row>
    <row r="581" spans="12:49" x14ac:dyDescent="0.3">
      <c r="L581" s="3"/>
      <c r="M581" s="3"/>
      <c r="N581" s="3"/>
      <c r="O581" s="65"/>
      <c r="Q581" s="3"/>
      <c r="R581" s="3"/>
      <c r="S581" s="3"/>
      <c r="T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row>
    <row r="582" spans="12:49" x14ac:dyDescent="0.3">
      <c r="L582" s="3"/>
      <c r="M582" s="3"/>
      <c r="N582" s="3"/>
      <c r="O582" s="65"/>
      <c r="Q582" s="3"/>
      <c r="R582" s="3"/>
      <c r="S582" s="3"/>
      <c r="T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row>
    <row r="583" spans="12:49" x14ac:dyDescent="0.3">
      <c r="L583" s="3"/>
      <c r="M583" s="3"/>
      <c r="N583" s="3"/>
      <c r="O583" s="65"/>
      <c r="Q583" s="3"/>
      <c r="R583" s="3"/>
      <c r="S583" s="3"/>
      <c r="T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row>
    <row r="584" spans="12:49" x14ac:dyDescent="0.3">
      <c r="L584" s="3"/>
      <c r="M584" s="3"/>
      <c r="N584" s="3"/>
      <c r="O584" s="65"/>
      <c r="Q584" s="3"/>
      <c r="R584" s="3"/>
      <c r="S584" s="3"/>
      <c r="T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row>
    <row r="585" spans="12:49" x14ac:dyDescent="0.3">
      <c r="L585" s="3"/>
      <c r="M585" s="3"/>
      <c r="N585" s="3"/>
      <c r="O585" s="65"/>
      <c r="Q585" s="3"/>
      <c r="R585" s="3"/>
      <c r="S585" s="3"/>
      <c r="T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row>
    <row r="586" spans="12:49" x14ac:dyDescent="0.3">
      <c r="L586" s="3"/>
      <c r="M586" s="3"/>
      <c r="N586" s="3"/>
      <c r="O586" s="65"/>
      <c r="Q586" s="3"/>
      <c r="R586" s="3"/>
      <c r="S586" s="3"/>
      <c r="T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row>
    <row r="587" spans="12:49" x14ac:dyDescent="0.3">
      <c r="L587" s="3"/>
      <c r="M587" s="3"/>
      <c r="N587" s="3"/>
      <c r="O587" s="65"/>
      <c r="Q587" s="3"/>
      <c r="R587" s="3"/>
      <c r="S587" s="3"/>
      <c r="T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row>
    <row r="588" spans="12:49" x14ac:dyDescent="0.3">
      <c r="L588" s="3"/>
      <c r="M588" s="3"/>
      <c r="N588" s="3"/>
      <c r="O588" s="65"/>
      <c r="Q588" s="3"/>
      <c r="R588" s="3"/>
      <c r="S588" s="3"/>
      <c r="T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row>
    <row r="589" spans="12:49" x14ac:dyDescent="0.3">
      <c r="L589" s="3"/>
      <c r="M589" s="3"/>
      <c r="N589" s="3"/>
      <c r="O589" s="65"/>
      <c r="Q589" s="3"/>
      <c r="R589" s="3"/>
      <c r="S589" s="3"/>
      <c r="T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row>
    <row r="590" spans="12:49" x14ac:dyDescent="0.3">
      <c r="L590" s="3"/>
      <c r="M590" s="3"/>
      <c r="N590" s="3"/>
      <c r="O590" s="65"/>
      <c r="Q590" s="3"/>
      <c r="R590" s="3"/>
      <c r="S590" s="3"/>
      <c r="T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row>
    <row r="591" spans="12:49" x14ac:dyDescent="0.3">
      <c r="L591" s="3"/>
      <c r="M591" s="3"/>
      <c r="N591" s="3"/>
      <c r="O591" s="65"/>
      <c r="Q591" s="3"/>
      <c r="R591" s="3"/>
      <c r="S591" s="3"/>
      <c r="T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row>
    <row r="592" spans="12:49" x14ac:dyDescent="0.3">
      <c r="L592" s="3"/>
      <c r="M592" s="3"/>
      <c r="N592" s="3"/>
      <c r="O592" s="65"/>
      <c r="Q592" s="3"/>
      <c r="R592" s="3"/>
      <c r="S592" s="3"/>
      <c r="T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row>
    <row r="593" spans="12:49" x14ac:dyDescent="0.3">
      <c r="L593" s="3"/>
      <c r="M593" s="3"/>
      <c r="N593" s="3"/>
      <c r="O593" s="65"/>
      <c r="Q593" s="3"/>
      <c r="R593" s="3"/>
      <c r="S593" s="3"/>
      <c r="T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row>
    <row r="594" spans="12:49" x14ac:dyDescent="0.3">
      <c r="L594" s="3"/>
      <c r="M594" s="3"/>
      <c r="N594" s="3"/>
      <c r="O594" s="65"/>
      <c r="Q594" s="3"/>
      <c r="R594" s="3"/>
      <c r="S594" s="3"/>
      <c r="T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row>
    <row r="595" spans="12:49" x14ac:dyDescent="0.3">
      <c r="L595" s="3"/>
      <c r="M595" s="3"/>
      <c r="N595" s="3"/>
      <c r="O595" s="65"/>
      <c r="Q595" s="3"/>
      <c r="R595" s="3"/>
      <c r="S595" s="3"/>
      <c r="T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row>
    <row r="596" spans="12:49" x14ac:dyDescent="0.3">
      <c r="L596" s="3"/>
      <c r="M596" s="3"/>
      <c r="N596" s="3"/>
      <c r="O596" s="65"/>
      <c r="Q596" s="3"/>
      <c r="R596" s="3"/>
      <c r="S596" s="3"/>
      <c r="T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row>
    <row r="597" spans="12:49" x14ac:dyDescent="0.3">
      <c r="L597" s="3"/>
      <c r="M597" s="3"/>
      <c r="N597" s="3"/>
      <c r="O597" s="65"/>
      <c r="Q597" s="3"/>
      <c r="R597" s="3"/>
      <c r="S597" s="3"/>
      <c r="T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row>
    <row r="598" spans="12:49" x14ac:dyDescent="0.3">
      <c r="L598" s="3"/>
      <c r="M598" s="3"/>
      <c r="N598" s="3"/>
      <c r="O598" s="65"/>
      <c r="Q598" s="3"/>
      <c r="R598" s="3"/>
      <c r="S598" s="3"/>
      <c r="T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row>
    <row r="599" spans="12:49" x14ac:dyDescent="0.3">
      <c r="L599" s="3"/>
      <c r="M599" s="3"/>
      <c r="N599" s="3"/>
      <c r="O599" s="65"/>
      <c r="Q599" s="3"/>
      <c r="R599" s="3"/>
      <c r="S599" s="3"/>
      <c r="T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row>
    <row r="600" spans="12:49" x14ac:dyDescent="0.3">
      <c r="L600" s="3"/>
      <c r="M600" s="3"/>
      <c r="N600" s="3"/>
      <c r="O600" s="65"/>
      <c r="Q600" s="3"/>
      <c r="R600" s="3"/>
      <c r="S600" s="3"/>
      <c r="T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row>
    <row r="601" spans="12:49" x14ac:dyDescent="0.3">
      <c r="L601" s="3"/>
      <c r="M601" s="3"/>
      <c r="N601" s="3"/>
      <c r="O601" s="65"/>
      <c r="Q601" s="3"/>
      <c r="R601" s="3"/>
      <c r="S601" s="3"/>
      <c r="T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row>
    <row r="602" spans="12:49" x14ac:dyDescent="0.3">
      <c r="L602" s="3"/>
      <c r="M602" s="3"/>
      <c r="N602" s="3"/>
      <c r="O602" s="65"/>
      <c r="Q602" s="3"/>
      <c r="R602" s="3"/>
      <c r="S602" s="3"/>
      <c r="T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row>
    <row r="603" spans="12:49" x14ac:dyDescent="0.3">
      <c r="L603" s="3"/>
      <c r="M603" s="3"/>
      <c r="N603" s="3"/>
      <c r="O603" s="65"/>
      <c r="Q603" s="3"/>
      <c r="R603" s="3"/>
      <c r="S603" s="3"/>
      <c r="T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row>
    <row r="604" spans="12:49" x14ac:dyDescent="0.3">
      <c r="L604" s="3"/>
      <c r="M604" s="3"/>
      <c r="N604" s="3"/>
      <c r="O604" s="65"/>
      <c r="Q604" s="3"/>
      <c r="R604" s="3"/>
      <c r="S604" s="3"/>
      <c r="T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row>
    <row r="605" spans="12:49" x14ac:dyDescent="0.3">
      <c r="L605" s="3"/>
      <c r="M605" s="3"/>
      <c r="N605" s="3"/>
      <c r="O605" s="65"/>
      <c r="Q605" s="3"/>
      <c r="R605" s="3"/>
      <c r="S605" s="3"/>
      <c r="T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row>
    <row r="606" spans="12:49" x14ac:dyDescent="0.3">
      <c r="L606" s="3"/>
      <c r="M606" s="3"/>
      <c r="N606" s="3"/>
      <c r="O606" s="65"/>
      <c r="Q606" s="3"/>
      <c r="R606" s="3"/>
      <c r="S606" s="3"/>
      <c r="T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row>
    <row r="607" spans="12:49" x14ac:dyDescent="0.3">
      <c r="L607" s="3"/>
      <c r="M607" s="3"/>
      <c r="N607" s="3"/>
      <c r="O607" s="65"/>
      <c r="Q607" s="3"/>
      <c r="R607" s="3"/>
      <c r="S607" s="3"/>
      <c r="T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row>
    <row r="608" spans="12:49" x14ac:dyDescent="0.3">
      <c r="L608" s="3"/>
      <c r="M608" s="3"/>
      <c r="N608" s="3"/>
      <c r="O608" s="65"/>
      <c r="Q608" s="3"/>
      <c r="R608" s="3"/>
      <c r="S608" s="3"/>
      <c r="T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row>
    <row r="609" spans="12:49" x14ac:dyDescent="0.3">
      <c r="L609" s="3"/>
      <c r="M609" s="3"/>
      <c r="N609" s="3"/>
      <c r="O609" s="65"/>
      <c r="Q609" s="3"/>
      <c r="R609" s="3"/>
      <c r="S609" s="3"/>
      <c r="T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row>
    <row r="610" spans="12:49" x14ac:dyDescent="0.3">
      <c r="L610" s="3"/>
      <c r="M610" s="3"/>
      <c r="N610" s="3"/>
      <c r="O610" s="65"/>
      <c r="Q610" s="3"/>
      <c r="R610" s="3"/>
      <c r="S610" s="3"/>
      <c r="T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row>
    <row r="611" spans="12:49" x14ac:dyDescent="0.3">
      <c r="L611" s="3"/>
      <c r="M611" s="3"/>
      <c r="N611" s="3"/>
      <c r="O611" s="65"/>
      <c r="Q611" s="3"/>
      <c r="R611" s="3"/>
      <c r="S611" s="3"/>
      <c r="T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row>
    <row r="612" spans="12:49" x14ac:dyDescent="0.3">
      <c r="L612" s="3"/>
      <c r="M612" s="3"/>
      <c r="N612" s="3"/>
      <c r="O612" s="65"/>
      <c r="Q612" s="3"/>
      <c r="R612" s="3"/>
      <c r="S612" s="3"/>
      <c r="T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row>
    <row r="613" spans="12:49" x14ac:dyDescent="0.3">
      <c r="L613" s="3"/>
      <c r="M613" s="3"/>
      <c r="N613" s="3"/>
      <c r="O613" s="65"/>
      <c r="Q613" s="3"/>
      <c r="R613" s="3"/>
      <c r="S613" s="3"/>
      <c r="T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row>
    <row r="614" spans="12:49" x14ac:dyDescent="0.3">
      <c r="L614" s="3"/>
      <c r="M614" s="3"/>
      <c r="N614" s="3"/>
      <c r="O614" s="65"/>
      <c r="Q614" s="3"/>
      <c r="R614" s="3"/>
      <c r="S614" s="3"/>
      <c r="T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row>
    <row r="615" spans="12:49" x14ac:dyDescent="0.3">
      <c r="L615" s="3"/>
      <c r="M615" s="3"/>
      <c r="N615" s="3"/>
      <c r="O615" s="65"/>
      <c r="Q615" s="3"/>
      <c r="R615" s="3"/>
      <c r="S615" s="3"/>
      <c r="T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row>
    <row r="616" spans="12:49" x14ac:dyDescent="0.3">
      <c r="L616" s="3"/>
      <c r="M616" s="3"/>
      <c r="N616" s="3"/>
      <c r="O616" s="65"/>
      <c r="Q616" s="3"/>
      <c r="R616" s="3"/>
      <c r="S616" s="3"/>
      <c r="T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row>
    <row r="617" spans="12:49" x14ac:dyDescent="0.3">
      <c r="L617" s="3"/>
      <c r="M617" s="3"/>
      <c r="N617" s="3"/>
      <c r="O617" s="65"/>
      <c r="Q617" s="3"/>
      <c r="R617" s="3"/>
      <c r="S617" s="3"/>
      <c r="T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row>
    <row r="618" spans="12:49" x14ac:dyDescent="0.3">
      <c r="L618" s="3"/>
      <c r="M618" s="3"/>
      <c r="N618" s="3"/>
      <c r="O618" s="65"/>
      <c r="Q618" s="3"/>
      <c r="R618" s="3"/>
      <c r="S618" s="3"/>
      <c r="T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row>
    <row r="619" spans="12:49" x14ac:dyDescent="0.3">
      <c r="L619" s="3"/>
      <c r="M619" s="3"/>
      <c r="N619" s="3"/>
      <c r="O619" s="65"/>
      <c r="Q619" s="3"/>
      <c r="R619" s="3"/>
      <c r="S619" s="3"/>
      <c r="T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row>
    <row r="620" spans="12:49" x14ac:dyDescent="0.3">
      <c r="L620" s="3"/>
      <c r="M620" s="3"/>
      <c r="N620" s="3"/>
      <c r="O620" s="65"/>
      <c r="Q620" s="3"/>
      <c r="R620" s="3"/>
      <c r="S620" s="3"/>
      <c r="T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row>
    <row r="621" spans="12:49" x14ac:dyDescent="0.3">
      <c r="L621" s="3"/>
      <c r="M621" s="3"/>
      <c r="N621" s="3"/>
      <c r="O621" s="65"/>
      <c r="Q621" s="3"/>
      <c r="R621" s="3"/>
      <c r="S621" s="3"/>
      <c r="T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row>
    <row r="622" spans="12:49" x14ac:dyDescent="0.3">
      <c r="L622" s="3"/>
      <c r="M622" s="3"/>
      <c r="N622" s="3"/>
      <c r="O622" s="65"/>
      <c r="Q622" s="3"/>
      <c r="R622" s="3"/>
      <c r="S622" s="3"/>
      <c r="T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row>
    <row r="623" spans="12:49" x14ac:dyDescent="0.3">
      <c r="L623" s="3"/>
      <c r="M623" s="3"/>
      <c r="N623" s="3"/>
      <c r="O623" s="65"/>
      <c r="Q623" s="3"/>
      <c r="R623" s="3"/>
      <c r="S623" s="3"/>
      <c r="T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row>
    <row r="624" spans="12:49" x14ac:dyDescent="0.3">
      <c r="L624" s="3"/>
      <c r="M624" s="3"/>
      <c r="N624" s="3"/>
      <c r="O624" s="65"/>
      <c r="Q624" s="3"/>
      <c r="R624" s="3"/>
      <c r="S624" s="3"/>
      <c r="T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row>
    <row r="625" spans="12:49" x14ac:dyDescent="0.3">
      <c r="L625" s="3"/>
      <c r="M625" s="3"/>
      <c r="N625" s="3"/>
      <c r="O625" s="65"/>
      <c r="Q625" s="3"/>
      <c r="R625" s="3"/>
      <c r="S625" s="3"/>
      <c r="T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row>
    <row r="626" spans="12:49" x14ac:dyDescent="0.3">
      <c r="L626" s="3"/>
      <c r="M626" s="3"/>
      <c r="N626" s="3"/>
      <c r="O626" s="65"/>
      <c r="Q626" s="3"/>
      <c r="R626" s="3"/>
      <c r="S626" s="3"/>
      <c r="T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row>
    <row r="627" spans="12:49" x14ac:dyDescent="0.3">
      <c r="L627" s="3"/>
      <c r="M627" s="3"/>
      <c r="N627" s="3"/>
      <c r="O627" s="65"/>
      <c r="Q627" s="3"/>
      <c r="R627" s="3"/>
      <c r="S627" s="3"/>
      <c r="T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row>
    <row r="628" spans="12:49" x14ac:dyDescent="0.3">
      <c r="L628" s="3"/>
      <c r="M628" s="3"/>
      <c r="N628" s="3"/>
      <c r="O628" s="65"/>
      <c r="Q628" s="3"/>
      <c r="R628" s="3"/>
      <c r="S628" s="3"/>
      <c r="T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row>
    <row r="629" spans="12:49" x14ac:dyDescent="0.3">
      <c r="L629" s="3"/>
      <c r="M629" s="3"/>
      <c r="N629" s="3"/>
      <c r="O629" s="65"/>
      <c r="Q629" s="3"/>
      <c r="R629" s="3"/>
      <c r="S629" s="3"/>
      <c r="T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row>
    <row r="630" spans="12:49" x14ac:dyDescent="0.3">
      <c r="L630" s="3"/>
      <c r="M630" s="3"/>
      <c r="N630" s="3"/>
      <c r="O630" s="65"/>
      <c r="Q630" s="3"/>
      <c r="R630" s="3"/>
      <c r="S630" s="3"/>
      <c r="T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row>
    <row r="631" spans="12:49" x14ac:dyDescent="0.3">
      <c r="L631" s="3"/>
      <c r="M631" s="3"/>
      <c r="N631" s="3"/>
      <c r="O631" s="65"/>
      <c r="Q631" s="3"/>
      <c r="R631" s="3"/>
      <c r="S631" s="3"/>
      <c r="T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row>
    <row r="632" spans="12:49" x14ac:dyDescent="0.3">
      <c r="L632" s="3"/>
      <c r="M632" s="3"/>
      <c r="N632" s="3"/>
      <c r="O632" s="65"/>
      <c r="Q632" s="3"/>
      <c r="R632" s="3"/>
      <c r="S632" s="3"/>
      <c r="T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row>
    <row r="633" spans="12:49" x14ac:dyDescent="0.3">
      <c r="L633" s="3"/>
      <c r="M633" s="3"/>
      <c r="N633" s="3"/>
      <c r="O633" s="65"/>
      <c r="Q633" s="3"/>
      <c r="R633" s="3"/>
      <c r="S633" s="3"/>
      <c r="T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row>
    <row r="634" spans="12:49" x14ac:dyDescent="0.3">
      <c r="L634" s="3"/>
      <c r="M634" s="3"/>
      <c r="N634" s="3"/>
      <c r="O634" s="65"/>
      <c r="Q634" s="3"/>
      <c r="R634" s="3"/>
      <c r="S634" s="3"/>
      <c r="T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row>
    <row r="635" spans="12:49" x14ac:dyDescent="0.3">
      <c r="L635" s="3"/>
      <c r="M635" s="3"/>
      <c r="N635" s="3"/>
      <c r="O635" s="65"/>
      <c r="Q635" s="3"/>
      <c r="R635" s="3"/>
      <c r="S635" s="3"/>
      <c r="T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row>
    <row r="636" spans="12:49" x14ac:dyDescent="0.3">
      <c r="L636" s="3"/>
      <c r="M636" s="3"/>
      <c r="N636" s="3"/>
      <c r="O636" s="65"/>
      <c r="Q636" s="3"/>
      <c r="R636" s="3"/>
      <c r="S636" s="3"/>
      <c r="T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row>
    <row r="637" spans="12:49" x14ac:dyDescent="0.3">
      <c r="L637" s="3"/>
      <c r="M637" s="3"/>
      <c r="N637" s="3"/>
      <c r="O637" s="65"/>
      <c r="Q637" s="3"/>
      <c r="R637" s="3"/>
      <c r="S637" s="3"/>
      <c r="T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row>
    <row r="638" spans="12:49" x14ac:dyDescent="0.3">
      <c r="L638" s="3"/>
      <c r="M638" s="3"/>
      <c r="N638" s="3"/>
      <c r="O638" s="65"/>
      <c r="Q638" s="3"/>
      <c r="R638" s="3"/>
      <c r="S638" s="3"/>
      <c r="T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row>
    <row r="639" spans="12:49" x14ac:dyDescent="0.3">
      <c r="L639" s="3"/>
      <c r="M639" s="3"/>
      <c r="N639" s="3"/>
      <c r="O639" s="65"/>
      <c r="Q639" s="3"/>
      <c r="R639" s="3"/>
      <c r="S639" s="3"/>
      <c r="T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row>
    <row r="640" spans="12:49" x14ac:dyDescent="0.3">
      <c r="L640" s="3"/>
      <c r="M640" s="3"/>
      <c r="N640" s="3"/>
      <c r="O640" s="65"/>
      <c r="Q640" s="3"/>
      <c r="R640" s="3"/>
      <c r="S640" s="3"/>
      <c r="T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row>
    <row r="641" spans="12:49" x14ac:dyDescent="0.3">
      <c r="L641" s="3"/>
      <c r="M641" s="3"/>
      <c r="N641" s="3"/>
      <c r="O641" s="65"/>
      <c r="Q641" s="3"/>
      <c r="R641" s="3"/>
      <c r="S641" s="3"/>
      <c r="T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row>
    <row r="642" spans="12:49" x14ac:dyDescent="0.3">
      <c r="L642" s="3"/>
      <c r="M642" s="3"/>
      <c r="N642" s="3"/>
      <c r="O642" s="65"/>
      <c r="Q642" s="3"/>
      <c r="R642" s="3"/>
      <c r="S642" s="3"/>
      <c r="T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row>
    <row r="643" spans="12:49" x14ac:dyDescent="0.3">
      <c r="L643" s="3"/>
      <c r="M643" s="3"/>
      <c r="N643" s="3"/>
      <c r="O643" s="65"/>
      <c r="Q643" s="3"/>
      <c r="R643" s="3"/>
      <c r="S643" s="3"/>
      <c r="T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row>
    <row r="644" spans="12:49" x14ac:dyDescent="0.3">
      <c r="L644" s="3"/>
      <c r="M644" s="3"/>
      <c r="N644" s="3"/>
      <c r="O644" s="65"/>
      <c r="Q644" s="3"/>
      <c r="R644" s="3"/>
      <c r="S644" s="3"/>
      <c r="T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row>
    <row r="645" spans="12:49" x14ac:dyDescent="0.3">
      <c r="L645" s="3"/>
      <c r="M645" s="3"/>
      <c r="N645" s="3"/>
      <c r="O645" s="65"/>
      <c r="Q645" s="3"/>
      <c r="R645" s="3"/>
      <c r="S645" s="3"/>
      <c r="T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row>
    <row r="646" spans="12:49" x14ac:dyDescent="0.3">
      <c r="L646" s="3"/>
      <c r="M646" s="3"/>
      <c r="N646" s="3"/>
      <c r="O646" s="65"/>
      <c r="Q646" s="3"/>
      <c r="R646" s="3"/>
      <c r="S646" s="3"/>
      <c r="T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row>
    <row r="647" spans="12:49" x14ac:dyDescent="0.3">
      <c r="L647" s="3"/>
      <c r="M647" s="3"/>
      <c r="N647" s="3"/>
      <c r="O647" s="65"/>
      <c r="Q647" s="3"/>
      <c r="R647" s="3"/>
      <c r="S647" s="3"/>
      <c r="T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row>
    <row r="648" spans="12:49" x14ac:dyDescent="0.3">
      <c r="L648" s="3"/>
      <c r="M648" s="3"/>
      <c r="N648" s="3"/>
      <c r="O648" s="65"/>
      <c r="Q648" s="3"/>
      <c r="R648" s="3"/>
      <c r="S648" s="3"/>
      <c r="T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row>
    <row r="649" spans="12:49" x14ac:dyDescent="0.3">
      <c r="L649" s="3"/>
      <c r="M649" s="3"/>
      <c r="N649" s="3"/>
      <c r="O649" s="65"/>
      <c r="Q649" s="3"/>
      <c r="R649" s="3"/>
      <c r="S649" s="3"/>
      <c r="T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row>
    <row r="650" spans="12:49" x14ac:dyDescent="0.3">
      <c r="L650" s="3"/>
      <c r="M650" s="3"/>
      <c r="N650" s="3"/>
      <c r="O650" s="65"/>
      <c r="Q650" s="3"/>
      <c r="R650" s="3"/>
      <c r="S650" s="3"/>
      <c r="T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row>
    <row r="651" spans="12:49" x14ac:dyDescent="0.3">
      <c r="L651" s="3"/>
      <c r="M651" s="3"/>
      <c r="N651" s="3"/>
      <c r="O651" s="65"/>
      <c r="Q651" s="3"/>
      <c r="R651" s="3"/>
      <c r="S651" s="3"/>
      <c r="T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row>
    <row r="652" spans="12:49" x14ac:dyDescent="0.3">
      <c r="L652" s="3"/>
      <c r="M652" s="3"/>
      <c r="N652" s="3"/>
      <c r="O652" s="65"/>
      <c r="Q652" s="3"/>
      <c r="R652" s="3"/>
      <c r="S652" s="3"/>
      <c r="T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row>
    <row r="653" spans="12:49" x14ac:dyDescent="0.3">
      <c r="L653" s="3"/>
      <c r="M653" s="3"/>
      <c r="N653" s="3"/>
      <c r="O653" s="65"/>
      <c r="Q653" s="3"/>
      <c r="R653" s="3"/>
      <c r="S653" s="3"/>
      <c r="T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row>
    <row r="654" spans="12:49" x14ac:dyDescent="0.3">
      <c r="L654" s="3"/>
      <c r="M654" s="3"/>
      <c r="N654" s="3"/>
      <c r="O654" s="65"/>
      <c r="Q654" s="3"/>
      <c r="R654" s="3"/>
      <c r="S654" s="3"/>
      <c r="T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row>
    <row r="655" spans="12:49" x14ac:dyDescent="0.3">
      <c r="L655" s="3"/>
      <c r="M655" s="3"/>
      <c r="N655" s="3"/>
      <c r="O655" s="65"/>
      <c r="Q655" s="3"/>
      <c r="R655" s="3"/>
      <c r="S655" s="3"/>
      <c r="T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row>
    <row r="656" spans="12:49" x14ac:dyDescent="0.3">
      <c r="L656" s="3"/>
      <c r="M656" s="3"/>
      <c r="N656" s="3"/>
      <c r="O656" s="65"/>
      <c r="Q656" s="3"/>
      <c r="R656" s="3"/>
      <c r="S656" s="3"/>
      <c r="T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row>
    <row r="657" spans="12:49" x14ac:dyDescent="0.3">
      <c r="L657" s="3"/>
      <c r="M657" s="3"/>
      <c r="N657" s="3"/>
      <c r="O657" s="65"/>
      <c r="Q657" s="3"/>
      <c r="R657" s="3"/>
      <c r="S657" s="3"/>
      <c r="T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row>
    <row r="658" spans="12:49" x14ac:dyDescent="0.3">
      <c r="L658" s="3"/>
      <c r="M658" s="3"/>
      <c r="N658" s="3"/>
      <c r="O658" s="65"/>
      <c r="Q658" s="3"/>
      <c r="R658" s="3"/>
      <c r="S658" s="3"/>
      <c r="T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row>
    <row r="659" spans="12:49" x14ac:dyDescent="0.3">
      <c r="L659" s="3"/>
      <c r="M659" s="3"/>
      <c r="N659" s="3"/>
      <c r="O659" s="65"/>
      <c r="Q659" s="3"/>
      <c r="R659" s="3"/>
      <c r="S659" s="3"/>
      <c r="T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row>
    <row r="660" spans="12:49" x14ac:dyDescent="0.3">
      <c r="L660" s="3"/>
      <c r="M660" s="3"/>
      <c r="N660" s="3"/>
      <c r="O660" s="65"/>
      <c r="Q660" s="3"/>
      <c r="R660" s="3"/>
      <c r="S660" s="3"/>
      <c r="T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row>
    <row r="661" spans="12:49" x14ac:dyDescent="0.3">
      <c r="L661" s="3"/>
      <c r="M661" s="3"/>
      <c r="N661" s="3"/>
      <c r="O661" s="65"/>
      <c r="Q661" s="3"/>
      <c r="R661" s="3"/>
      <c r="S661" s="3"/>
      <c r="T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row>
    <row r="662" spans="12:49" x14ac:dyDescent="0.3">
      <c r="L662" s="3"/>
      <c r="M662" s="3"/>
      <c r="N662" s="3"/>
      <c r="O662" s="65"/>
      <c r="Q662" s="3"/>
      <c r="R662" s="3"/>
      <c r="S662" s="3"/>
      <c r="T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row>
    <row r="663" spans="12:49" x14ac:dyDescent="0.3">
      <c r="L663" s="3"/>
      <c r="M663" s="3"/>
      <c r="N663" s="3"/>
      <c r="O663" s="65"/>
      <c r="Q663" s="3"/>
      <c r="R663" s="3"/>
      <c r="S663" s="3"/>
      <c r="T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row>
    <row r="664" spans="12:49" x14ac:dyDescent="0.3">
      <c r="L664" s="3"/>
      <c r="M664" s="3"/>
      <c r="N664" s="3"/>
      <c r="O664" s="65"/>
      <c r="Q664" s="3"/>
      <c r="R664" s="3"/>
      <c r="S664" s="3"/>
      <c r="T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row>
    <row r="665" spans="12:49" x14ac:dyDescent="0.3">
      <c r="L665" s="3"/>
      <c r="M665" s="3"/>
      <c r="N665" s="3"/>
      <c r="O665" s="65"/>
      <c r="Q665" s="3"/>
      <c r="R665" s="3"/>
      <c r="S665" s="3"/>
      <c r="T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row>
    <row r="666" spans="12:49" x14ac:dyDescent="0.3">
      <c r="L666" s="3"/>
      <c r="M666" s="3"/>
      <c r="N666" s="3"/>
      <c r="O666" s="65"/>
      <c r="Q666" s="3"/>
      <c r="R666" s="3"/>
      <c r="S666" s="3"/>
      <c r="T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row>
    <row r="667" spans="12:49" x14ac:dyDescent="0.3">
      <c r="L667" s="3"/>
      <c r="M667" s="3"/>
      <c r="N667" s="3"/>
      <c r="O667" s="65"/>
      <c r="Q667" s="3"/>
      <c r="R667" s="3"/>
      <c r="S667" s="3"/>
      <c r="T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row>
    <row r="668" spans="12:49" x14ac:dyDescent="0.3">
      <c r="L668" s="3"/>
      <c r="M668" s="3"/>
      <c r="N668" s="3"/>
      <c r="O668" s="65"/>
      <c r="Q668" s="3"/>
      <c r="R668" s="3"/>
      <c r="S668" s="3"/>
      <c r="T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row>
    <row r="669" spans="12:49" x14ac:dyDescent="0.3">
      <c r="L669" s="3"/>
      <c r="M669" s="3"/>
      <c r="N669" s="3"/>
      <c r="O669" s="65"/>
      <c r="Q669" s="3"/>
      <c r="R669" s="3"/>
      <c r="S669" s="3"/>
      <c r="T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row>
    <row r="670" spans="12:49" x14ac:dyDescent="0.3">
      <c r="L670" s="3"/>
      <c r="M670" s="3"/>
      <c r="N670" s="3"/>
      <c r="O670" s="65"/>
      <c r="Q670" s="3"/>
      <c r="R670" s="3"/>
      <c r="S670" s="3"/>
      <c r="T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row>
    <row r="671" spans="12:49" x14ac:dyDescent="0.3">
      <c r="L671" s="3"/>
      <c r="M671" s="3"/>
      <c r="N671" s="3"/>
      <c r="O671" s="65"/>
      <c r="Q671" s="3"/>
      <c r="R671" s="3"/>
      <c r="S671" s="3"/>
      <c r="T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row>
    <row r="672" spans="12:49" x14ac:dyDescent="0.3">
      <c r="L672" s="3"/>
      <c r="M672" s="3"/>
      <c r="N672" s="3"/>
      <c r="O672" s="65"/>
      <c r="Q672" s="3"/>
      <c r="R672" s="3"/>
      <c r="S672" s="3"/>
      <c r="T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row>
    <row r="673" spans="12:49" x14ac:dyDescent="0.3">
      <c r="L673" s="3"/>
      <c r="M673" s="3"/>
      <c r="N673" s="3"/>
      <c r="O673" s="65"/>
      <c r="Q673" s="3"/>
      <c r="R673" s="3"/>
      <c r="S673" s="3"/>
      <c r="T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row>
    <row r="674" spans="12:49" x14ac:dyDescent="0.3">
      <c r="L674" s="3"/>
      <c r="M674" s="3"/>
      <c r="N674" s="3"/>
      <c r="O674" s="65"/>
      <c r="Q674" s="3"/>
      <c r="R674" s="3"/>
      <c r="S674" s="3"/>
      <c r="T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row>
    <row r="675" spans="12:49" x14ac:dyDescent="0.3">
      <c r="L675" s="3"/>
      <c r="M675" s="3"/>
      <c r="N675" s="3"/>
      <c r="O675" s="65"/>
      <c r="Q675" s="3"/>
      <c r="R675" s="3"/>
      <c r="S675" s="3"/>
      <c r="T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row>
    <row r="676" spans="12:49" x14ac:dyDescent="0.3">
      <c r="L676" s="3"/>
      <c r="M676" s="3"/>
      <c r="N676" s="3"/>
      <c r="O676" s="65"/>
      <c r="Q676" s="3"/>
      <c r="R676" s="3"/>
      <c r="S676" s="3"/>
      <c r="T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row>
    <row r="677" spans="12:49" x14ac:dyDescent="0.3">
      <c r="L677" s="3"/>
      <c r="M677" s="3"/>
      <c r="N677" s="3"/>
      <c r="O677" s="65"/>
      <c r="Q677" s="3"/>
      <c r="R677" s="3"/>
      <c r="S677" s="3"/>
      <c r="T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row>
    <row r="678" spans="12:49" x14ac:dyDescent="0.3">
      <c r="L678" s="3"/>
      <c r="M678" s="3"/>
      <c r="N678" s="3"/>
      <c r="O678" s="65"/>
      <c r="Q678" s="3"/>
      <c r="R678" s="3"/>
      <c r="S678" s="3"/>
      <c r="T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row>
    <row r="679" spans="12:49" x14ac:dyDescent="0.3">
      <c r="L679" s="3"/>
      <c r="M679" s="3"/>
      <c r="N679" s="3"/>
      <c r="O679" s="65"/>
      <c r="Q679" s="3"/>
      <c r="R679" s="3"/>
      <c r="S679" s="3"/>
      <c r="T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row>
    <row r="680" spans="12:49" x14ac:dyDescent="0.3">
      <c r="L680" s="3"/>
      <c r="M680" s="3"/>
      <c r="N680" s="3"/>
      <c r="O680" s="65"/>
      <c r="Q680" s="3"/>
      <c r="R680" s="3"/>
      <c r="S680" s="3"/>
      <c r="T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row>
    <row r="681" spans="12:49" x14ac:dyDescent="0.3">
      <c r="L681" s="3"/>
      <c r="M681" s="3"/>
      <c r="N681" s="3"/>
      <c r="O681" s="65"/>
      <c r="Q681" s="3"/>
      <c r="R681" s="3"/>
      <c r="S681" s="3"/>
      <c r="T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row>
    <row r="682" spans="12:49" x14ac:dyDescent="0.3">
      <c r="L682" s="3"/>
      <c r="M682" s="3"/>
      <c r="N682" s="3"/>
      <c r="O682" s="65"/>
      <c r="Q682" s="3"/>
      <c r="R682" s="3"/>
      <c r="S682" s="3"/>
      <c r="T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row>
    <row r="683" spans="12:49" x14ac:dyDescent="0.3">
      <c r="L683" s="3"/>
      <c r="M683" s="3"/>
      <c r="N683" s="3"/>
      <c r="O683" s="65"/>
      <c r="Q683" s="3"/>
      <c r="R683" s="3"/>
      <c r="S683" s="3"/>
      <c r="T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row>
    <row r="684" spans="12:49" x14ac:dyDescent="0.3">
      <c r="L684" s="3"/>
      <c r="M684" s="3"/>
      <c r="N684" s="3"/>
      <c r="O684" s="65"/>
      <c r="Q684" s="3"/>
      <c r="R684" s="3"/>
      <c r="S684" s="3"/>
      <c r="T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row>
    <row r="685" spans="12:49" x14ac:dyDescent="0.3">
      <c r="L685" s="3"/>
      <c r="M685" s="3"/>
      <c r="N685" s="3"/>
      <c r="O685" s="65"/>
      <c r="Q685" s="3"/>
      <c r="R685" s="3"/>
      <c r="S685" s="3"/>
      <c r="T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row>
    <row r="686" spans="12:49" x14ac:dyDescent="0.3">
      <c r="L686" s="3"/>
      <c r="M686" s="3"/>
      <c r="N686" s="3"/>
      <c r="O686" s="65"/>
      <c r="Q686" s="3"/>
      <c r="R686" s="3"/>
      <c r="S686" s="3"/>
      <c r="T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row>
    <row r="687" spans="12:49" x14ac:dyDescent="0.3">
      <c r="L687" s="3"/>
      <c r="M687" s="3"/>
      <c r="N687" s="3"/>
      <c r="O687" s="65"/>
      <c r="Q687" s="3"/>
      <c r="R687" s="3"/>
      <c r="S687" s="3"/>
      <c r="T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row>
    <row r="688" spans="12:49" x14ac:dyDescent="0.3">
      <c r="L688" s="3"/>
      <c r="M688" s="3"/>
      <c r="N688" s="3"/>
      <c r="O688" s="65"/>
      <c r="Q688" s="3"/>
      <c r="R688" s="3"/>
      <c r="S688" s="3"/>
      <c r="T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row>
    <row r="689" spans="12:49" x14ac:dyDescent="0.3">
      <c r="L689" s="3"/>
      <c r="M689" s="3"/>
      <c r="N689" s="3"/>
      <c r="O689" s="65"/>
      <c r="Q689" s="3"/>
      <c r="R689" s="3"/>
      <c r="S689" s="3"/>
      <c r="T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row>
    <row r="690" spans="12:49" x14ac:dyDescent="0.3">
      <c r="L690" s="3"/>
      <c r="M690" s="3"/>
      <c r="N690" s="3"/>
      <c r="O690" s="65"/>
      <c r="Q690" s="3"/>
      <c r="R690" s="3"/>
      <c r="S690" s="3"/>
      <c r="T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row>
    <row r="691" spans="12:49" x14ac:dyDescent="0.3">
      <c r="L691" s="3"/>
      <c r="M691" s="3"/>
      <c r="N691" s="3"/>
      <c r="O691" s="65"/>
      <c r="Q691" s="3"/>
      <c r="R691" s="3"/>
      <c r="S691" s="3"/>
      <c r="T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row>
    <row r="692" spans="12:49" x14ac:dyDescent="0.3">
      <c r="L692" s="3"/>
      <c r="M692" s="3"/>
      <c r="N692" s="3"/>
      <c r="O692" s="65"/>
      <c r="Q692" s="3"/>
      <c r="R692" s="3"/>
      <c r="S692" s="3"/>
      <c r="T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row>
    <row r="693" spans="12:49" x14ac:dyDescent="0.3">
      <c r="L693" s="3"/>
      <c r="M693" s="3"/>
      <c r="N693" s="3"/>
      <c r="O693" s="65"/>
      <c r="Q693" s="3"/>
      <c r="R693" s="3"/>
      <c r="S693" s="3"/>
      <c r="T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row>
    <row r="694" spans="12:49" x14ac:dyDescent="0.3">
      <c r="L694" s="3"/>
      <c r="M694" s="3"/>
      <c r="N694" s="3"/>
      <c r="O694" s="65"/>
      <c r="Q694" s="3"/>
      <c r="R694" s="3"/>
      <c r="S694" s="3"/>
      <c r="T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row>
    <row r="695" spans="12:49" x14ac:dyDescent="0.3">
      <c r="L695" s="3"/>
      <c r="M695" s="3"/>
      <c r="N695" s="3"/>
      <c r="O695" s="65"/>
      <c r="Q695" s="3"/>
      <c r="R695" s="3"/>
      <c r="S695" s="3"/>
      <c r="T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row>
    <row r="696" spans="12:49" x14ac:dyDescent="0.3">
      <c r="L696" s="3"/>
      <c r="M696" s="3"/>
      <c r="N696" s="3"/>
      <c r="O696" s="65"/>
      <c r="Q696" s="3"/>
      <c r="R696" s="3"/>
      <c r="S696" s="3"/>
      <c r="T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row>
    <row r="697" spans="12:49" x14ac:dyDescent="0.3">
      <c r="L697" s="3"/>
      <c r="M697" s="3"/>
      <c r="N697" s="3"/>
      <c r="O697" s="65"/>
      <c r="Q697" s="3"/>
      <c r="R697" s="3"/>
      <c r="S697" s="3"/>
      <c r="T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row>
    <row r="698" spans="12:49" x14ac:dyDescent="0.3">
      <c r="L698" s="3"/>
      <c r="M698" s="3"/>
      <c r="N698" s="3"/>
      <c r="O698" s="65"/>
      <c r="Q698" s="3"/>
      <c r="R698" s="3"/>
      <c r="S698" s="3"/>
      <c r="T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row>
    <row r="699" spans="12:49" x14ac:dyDescent="0.3">
      <c r="L699" s="3"/>
      <c r="M699" s="3"/>
      <c r="N699" s="3"/>
      <c r="O699" s="65"/>
      <c r="Q699" s="3"/>
      <c r="R699" s="3"/>
      <c r="S699" s="3"/>
      <c r="T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row>
    <row r="700" spans="12:49" x14ac:dyDescent="0.3">
      <c r="L700" s="3"/>
      <c r="M700" s="3"/>
      <c r="N700" s="3"/>
      <c r="O700" s="65"/>
      <c r="Q700" s="3"/>
      <c r="R700" s="3"/>
      <c r="S700" s="3"/>
      <c r="T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row>
    <row r="701" spans="12:49" x14ac:dyDescent="0.3">
      <c r="L701" s="3"/>
      <c r="M701" s="3"/>
      <c r="N701" s="3"/>
      <c r="O701" s="65"/>
      <c r="Q701" s="3"/>
      <c r="R701" s="3"/>
      <c r="S701" s="3"/>
      <c r="T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row>
    <row r="702" spans="12:49" x14ac:dyDescent="0.3">
      <c r="L702" s="3"/>
      <c r="M702" s="3"/>
      <c r="N702" s="3"/>
      <c r="O702" s="65"/>
      <c r="Q702" s="3"/>
      <c r="R702" s="3"/>
      <c r="S702" s="3"/>
      <c r="T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row>
    <row r="703" spans="12:49" x14ac:dyDescent="0.3">
      <c r="L703" s="3"/>
      <c r="M703" s="3"/>
      <c r="N703" s="3"/>
      <c r="O703" s="65"/>
      <c r="Q703" s="3"/>
      <c r="R703" s="3"/>
      <c r="S703" s="3"/>
      <c r="T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row>
    <row r="704" spans="12:49" x14ac:dyDescent="0.3">
      <c r="L704" s="3"/>
      <c r="M704" s="3"/>
      <c r="N704" s="3"/>
      <c r="O704" s="65"/>
      <c r="Q704" s="3"/>
      <c r="R704" s="3"/>
      <c r="S704" s="3"/>
      <c r="T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row>
    <row r="705" spans="12:49" x14ac:dyDescent="0.3">
      <c r="L705" s="3"/>
      <c r="M705" s="3"/>
      <c r="N705" s="3"/>
      <c r="O705" s="65"/>
      <c r="Q705" s="3"/>
      <c r="R705" s="3"/>
      <c r="S705" s="3"/>
      <c r="T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row>
    <row r="706" spans="12:49" x14ac:dyDescent="0.3">
      <c r="L706" s="3"/>
      <c r="M706" s="3"/>
      <c r="N706" s="3"/>
      <c r="O706" s="65"/>
      <c r="Q706" s="3"/>
      <c r="R706" s="3"/>
      <c r="S706" s="3"/>
      <c r="T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row>
    <row r="707" spans="12:49" x14ac:dyDescent="0.3">
      <c r="L707" s="3"/>
      <c r="M707" s="3"/>
      <c r="N707" s="3"/>
      <c r="O707" s="65"/>
      <c r="Q707" s="3"/>
      <c r="R707" s="3"/>
      <c r="S707" s="3"/>
      <c r="T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row>
    <row r="708" spans="12:49" x14ac:dyDescent="0.3">
      <c r="L708" s="3"/>
      <c r="M708" s="3"/>
      <c r="N708" s="3"/>
      <c r="O708" s="65"/>
      <c r="Q708" s="3"/>
      <c r="R708" s="3"/>
      <c r="S708" s="3"/>
      <c r="T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row>
    <row r="709" spans="12:49" x14ac:dyDescent="0.3">
      <c r="L709" s="3"/>
      <c r="M709" s="3"/>
      <c r="N709" s="3"/>
      <c r="O709" s="65"/>
      <c r="Q709" s="3"/>
      <c r="R709" s="3"/>
      <c r="S709" s="3"/>
      <c r="T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row>
    <row r="710" spans="12:49" x14ac:dyDescent="0.3">
      <c r="L710" s="3"/>
      <c r="M710" s="3"/>
      <c r="N710" s="3"/>
      <c r="O710" s="65"/>
      <c r="Q710" s="3"/>
      <c r="R710" s="3"/>
      <c r="S710" s="3"/>
      <c r="T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row>
    <row r="711" spans="12:49" x14ac:dyDescent="0.3">
      <c r="L711" s="3"/>
      <c r="M711" s="3"/>
      <c r="N711" s="3"/>
      <c r="O711" s="65"/>
      <c r="Q711" s="3"/>
      <c r="R711" s="3"/>
      <c r="S711" s="3"/>
      <c r="T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row>
    <row r="712" spans="12:49" x14ac:dyDescent="0.3">
      <c r="L712" s="3"/>
      <c r="M712" s="3"/>
      <c r="N712" s="3"/>
      <c r="O712" s="65"/>
      <c r="Q712" s="3"/>
      <c r="R712" s="3"/>
      <c r="S712" s="3"/>
      <c r="T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row>
    <row r="713" spans="12:49" x14ac:dyDescent="0.3">
      <c r="L713" s="3"/>
      <c r="M713" s="3"/>
      <c r="N713" s="3"/>
      <c r="O713" s="65"/>
      <c r="Q713" s="3"/>
      <c r="R713" s="3"/>
      <c r="S713" s="3"/>
      <c r="T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row>
    <row r="714" spans="12:49" x14ac:dyDescent="0.3">
      <c r="L714" s="3"/>
      <c r="M714" s="3"/>
      <c r="N714" s="3"/>
      <c r="O714" s="65"/>
      <c r="Q714" s="3"/>
      <c r="R714" s="3"/>
      <c r="S714" s="3"/>
      <c r="T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row>
    <row r="715" spans="12:49" x14ac:dyDescent="0.3">
      <c r="L715" s="3"/>
      <c r="M715" s="3"/>
      <c r="N715" s="3"/>
      <c r="O715" s="65"/>
      <c r="Q715" s="3"/>
      <c r="R715" s="3"/>
      <c r="S715" s="3"/>
      <c r="T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row>
    <row r="716" spans="12:49" x14ac:dyDescent="0.3">
      <c r="L716" s="3"/>
      <c r="M716" s="3"/>
      <c r="N716" s="3"/>
      <c r="O716" s="65"/>
      <c r="Q716" s="3"/>
      <c r="R716" s="3"/>
      <c r="S716" s="3"/>
      <c r="T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row>
    <row r="717" spans="12:49" x14ac:dyDescent="0.3">
      <c r="L717" s="3"/>
      <c r="M717" s="3"/>
      <c r="N717" s="3"/>
      <c r="O717" s="65"/>
      <c r="Q717" s="3"/>
      <c r="R717" s="3"/>
      <c r="S717" s="3"/>
      <c r="T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row>
    <row r="718" spans="12:49" x14ac:dyDescent="0.3">
      <c r="L718" s="3"/>
      <c r="M718" s="3"/>
      <c r="N718" s="3"/>
      <c r="O718" s="65"/>
      <c r="Q718" s="3"/>
      <c r="R718" s="3"/>
      <c r="S718" s="3"/>
      <c r="T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row>
    <row r="719" spans="12:49" x14ac:dyDescent="0.3">
      <c r="L719" s="3"/>
      <c r="M719" s="3"/>
      <c r="N719" s="3"/>
      <c r="O719" s="65"/>
      <c r="Q719" s="3"/>
      <c r="R719" s="3"/>
      <c r="S719" s="3"/>
      <c r="T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row>
    <row r="720" spans="12:49" x14ac:dyDescent="0.3">
      <c r="L720" s="3"/>
      <c r="M720" s="3"/>
      <c r="N720" s="3"/>
      <c r="O720" s="65"/>
      <c r="Q720" s="3"/>
      <c r="R720" s="3"/>
      <c r="S720" s="3"/>
      <c r="T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row>
    <row r="721" spans="12:49" x14ac:dyDescent="0.3">
      <c r="L721" s="3"/>
      <c r="M721" s="3"/>
      <c r="N721" s="3"/>
      <c r="O721" s="65"/>
      <c r="Q721" s="3"/>
      <c r="R721" s="3"/>
      <c r="S721" s="3"/>
      <c r="T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row>
    <row r="722" spans="12:49" x14ac:dyDescent="0.3">
      <c r="L722" s="3"/>
      <c r="M722" s="3"/>
      <c r="N722" s="3"/>
      <c r="O722" s="65"/>
      <c r="Q722" s="3"/>
      <c r="R722" s="3"/>
      <c r="S722" s="3"/>
      <c r="T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row>
    <row r="723" spans="12:49" x14ac:dyDescent="0.3">
      <c r="L723" s="3"/>
      <c r="M723" s="3"/>
      <c r="N723" s="3"/>
      <c r="O723" s="65"/>
      <c r="Q723" s="3"/>
      <c r="R723" s="3"/>
      <c r="S723" s="3"/>
      <c r="T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row>
    <row r="724" spans="12:49" x14ac:dyDescent="0.3">
      <c r="L724" s="3"/>
      <c r="M724" s="3"/>
      <c r="N724" s="3"/>
      <c r="O724" s="65"/>
      <c r="Q724" s="3"/>
      <c r="R724" s="3"/>
      <c r="S724" s="3"/>
      <c r="T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row>
    <row r="725" spans="12:49" x14ac:dyDescent="0.3">
      <c r="L725" s="3"/>
      <c r="M725" s="3"/>
      <c r="N725" s="3"/>
      <c r="O725" s="65"/>
      <c r="Q725" s="3"/>
      <c r="R725" s="3"/>
      <c r="S725" s="3"/>
      <c r="T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row>
    <row r="726" spans="12:49" x14ac:dyDescent="0.3">
      <c r="L726" s="3"/>
      <c r="M726" s="3"/>
      <c r="N726" s="3"/>
      <c r="O726" s="65"/>
      <c r="Q726" s="3"/>
      <c r="R726" s="3"/>
      <c r="S726" s="3"/>
      <c r="T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row>
    <row r="727" spans="12:49" x14ac:dyDescent="0.3">
      <c r="L727" s="3"/>
      <c r="M727" s="3"/>
      <c r="N727" s="3"/>
      <c r="O727" s="65"/>
      <c r="Q727" s="3"/>
      <c r="R727" s="3"/>
      <c r="S727" s="3"/>
      <c r="T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row>
    <row r="728" spans="12:49" x14ac:dyDescent="0.3">
      <c r="L728" s="3"/>
      <c r="M728" s="3"/>
      <c r="N728" s="3"/>
      <c r="O728" s="65"/>
      <c r="Q728" s="3"/>
      <c r="R728" s="3"/>
      <c r="S728" s="3"/>
      <c r="T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row>
    <row r="729" spans="12:49" x14ac:dyDescent="0.3">
      <c r="L729" s="3"/>
      <c r="M729" s="3"/>
      <c r="N729" s="3"/>
      <c r="O729" s="65"/>
      <c r="Q729" s="3"/>
      <c r="R729" s="3"/>
      <c r="S729" s="3"/>
      <c r="T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row>
    <row r="730" spans="12:49" x14ac:dyDescent="0.3">
      <c r="L730" s="3"/>
      <c r="M730" s="3"/>
      <c r="N730" s="3"/>
      <c r="O730" s="65"/>
      <c r="Q730" s="3"/>
      <c r="R730" s="3"/>
      <c r="S730" s="3"/>
      <c r="T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row>
    <row r="731" spans="12:49" x14ac:dyDescent="0.3">
      <c r="L731" s="3"/>
      <c r="M731" s="3"/>
      <c r="N731" s="3"/>
      <c r="O731" s="65"/>
      <c r="Q731" s="3"/>
      <c r="R731" s="3"/>
      <c r="S731" s="3"/>
      <c r="T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row>
    <row r="732" spans="12:49" x14ac:dyDescent="0.3">
      <c r="L732" s="3"/>
      <c r="M732" s="3"/>
      <c r="N732" s="3"/>
      <c r="O732" s="65"/>
      <c r="Q732" s="3"/>
      <c r="R732" s="3"/>
      <c r="S732" s="3"/>
      <c r="T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row>
    <row r="733" spans="12:49" x14ac:dyDescent="0.3">
      <c r="L733" s="3"/>
      <c r="M733" s="3"/>
      <c r="N733" s="3"/>
      <c r="O733" s="65"/>
      <c r="Q733" s="3"/>
      <c r="R733" s="3"/>
      <c r="S733" s="3"/>
      <c r="T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row>
    <row r="734" spans="12:49" x14ac:dyDescent="0.3">
      <c r="L734" s="3"/>
      <c r="M734" s="3"/>
      <c r="N734" s="3"/>
      <c r="O734" s="65"/>
      <c r="Q734" s="3"/>
      <c r="R734" s="3"/>
      <c r="S734" s="3"/>
      <c r="T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row>
    <row r="735" spans="12:49" x14ac:dyDescent="0.3">
      <c r="L735" s="3"/>
      <c r="M735" s="3"/>
      <c r="N735" s="3"/>
      <c r="O735" s="65"/>
      <c r="Q735" s="3"/>
      <c r="R735" s="3"/>
      <c r="S735" s="3"/>
      <c r="T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row>
    <row r="736" spans="12:49" x14ac:dyDescent="0.3">
      <c r="L736" s="3"/>
      <c r="M736" s="3"/>
      <c r="N736" s="3"/>
      <c r="O736" s="65"/>
      <c r="Q736" s="3"/>
      <c r="R736" s="3"/>
      <c r="S736" s="3"/>
      <c r="T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row>
    <row r="737" spans="12:49" x14ac:dyDescent="0.3">
      <c r="L737" s="3"/>
      <c r="M737" s="3"/>
      <c r="N737" s="3"/>
      <c r="O737" s="65"/>
      <c r="Q737" s="3"/>
      <c r="R737" s="3"/>
      <c r="S737" s="3"/>
      <c r="T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row>
    <row r="738" spans="12:49" x14ac:dyDescent="0.3">
      <c r="L738" s="3"/>
      <c r="M738" s="3"/>
      <c r="N738" s="3"/>
      <c r="O738" s="65"/>
      <c r="Q738" s="3"/>
      <c r="R738" s="3"/>
      <c r="S738" s="3"/>
      <c r="T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row>
    <row r="739" spans="12:49" x14ac:dyDescent="0.3">
      <c r="L739" s="3"/>
      <c r="M739" s="3"/>
      <c r="N739" s="3"/>
      <c r="O739" s="65"/>
      <c r="Q739" s="3"/>
      <c r="R739" s="3"/>
      <c r="S739" s="3"/>
      <c r="T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row>
    <row r="740" spans="12:49" x14ac:dyDescent="0.3">
      <c r="L740" s="3"/>
      <c r="M740" s="3"/>
      <c r="N740" s="3"/>
      <c r="O740" s="65"/>
      <c r="Q740" s="3"/>
      <c r="R740" s="3"/>
      <c r="S740" s="3"/>
      <c r="T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row>
    <row r="741" spans="12:49" x14ac:dyDescent="0.3">
      <c r="L741" s="3"/>
      <c r="M741" s="3"/>
      <c r="N741" s="3"/>
      <c r="O741" s="65"/>
      <c r="Q741" s="3"/>
      <c r="R741" s="3"/>
      <c r="S741" s="3"/>
      <c r="T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row>
    <row r="742" spans="12:49" x14ac:dyDescent="0.3">
      <c r="L742" s="3"/>
      <c r="M742" s="3"/>
      <c r="N742" s="3"/>
      <c r="O742" s="65"/>
      <c r="Q742" s="3"/>
      <c r="R742" s="3"/>
      <c r="S742" s="3"/>
      <c r="T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row>
    <row r="743" spans="12:49" x14ac:dyDescent="0.3">
      <c r="L743" s="3"/>
      <c r="M743" s="3"/>
      <c r="N743" s="3"/>
      <c r="O743" s="65"/>
      <c r="Q743" s="3"/>
      <c r="R743" s="3"/>
      <c r="S743" s="3"/>
      <c r="T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row>
    <row r="744" spans="12:49" x14ac:dyDescent="0.3">
      <c r="L744" s="3"/>
      <c r="M744" s="3"/>
      <c r="N744" s="3"/>
      <c r="O744" s="65"/>
      <c r="Q744" s="3"/>
      <c r="R744" s="3"/>
      <c r="S744" s="3"/>
      <c r="T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row>
    <row r="745" spans="12:49" x14ac:dyDescent="0.3">
      <c r="L745" s="3"/>
      <c r="M745" s="3"/>
      <c r="N745" s="3"/>
      <c r="O745" s="65"/>
      <c r="Q745" s="3"/>
      <c r="R745" s="3"/>
      <c r="S745" s="3"/>
      <c r="T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row>
    <row r="746" spans="12:49" x14ac:dyDescent="0.3">
      <c r="L746" s="3"/>
      <c r="M746" s="3"/>
      <c r="N746" s="3"/>
      <c r="O746" s="65"/>
      <c r="Q746" s="3"/>
      <c r="R746" s="3"/>
      <c r="S746" s="3"/>
      <c r="T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row>
    <row r="747" spans="12:49" x14ac:dyDescent="0.3">
      <c r="L747" s="3"/>
      <c r="M747" s="3"/>
      <c r="N747" s="3"/>
      <c r="O747" s="65"/>
      <c r="Q747" s="3"/>
      <c r="R747" s="3"/>
      <c r="S747" s="3"/>
      <c r="T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row>
    <row r="748" spans="12:49" x14ac:dyDescent="0.3">
      <c r="L748" s="3"/>
      <c r="M748" s="3"/>
      <c r="N748" s="3"/>
      <c r="O748" s="65"/>
      <c r="Q748" s="3"/>
      <c r="R748" s="3"/>
      <c r="S748" s="3"/>
      <c r="T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row>
    <row r="749" spans="12:49" x14ac:dyDescent="0.3">
      <c r="L749" s="3"/>
      <c r="M749" s="3"/>
      <c r="N749" s="3"/>
      <c r="O749" s="65"/>
      <c r="Q749" s="3"/>
      <c r="R749" s="3"/>
      <c r="S749" s="3"/>
      <c r="T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row>
    <row r="750" spans="12:49" x14ac:dyDescent="0.3">
      <c r="L750" s="3"/>
      <c r="M750" s="3"/>
      <c r="N750" s="3"/>
      <c r="O750" s="65"/>
      <c r="Q750" s="3"/>
      <c r="R750" s="3"/>
      <c r="S750" s="3"/>
      <c r="T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row>
    <row r="751" spans="12:49" x14ac:dyDescent="0.3">
      <c r="L751" s="3"/>
      <c r="M751" s="3"/>
      <c r="N751" s="3"/>
      <c r="O751" s="65"/>
      <c r="Q751" s="3"/>
      <c r="R751" s="3"/>
      <c r="S751" s="3"/>
      <c r="T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row>
    <row r="752" spans="12:49" x14ac:dyDescent="0.3">
      <c r="L752" s="3"/>
      <c r="M752" s="3"/>
      <c r="N752" s="3"/>
      <c r="O752" s="65"/>
      <c r="Q752" s="3"/>
      <c r="R752" s="3"/>
      <c r="S752" s="3"/>
      <c r="T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row>
    <row r="753" spans="12:49" x14ac:dyDescent="0.3">
      <c r="L753" s="3"/>
      <c r="M753" s="3"/>
      <c r="N753" s="3"/>
      <c r="O753" s="65"/>
      <c r="Q753" s="3"/>
      <c r="R753" s="3"/>
      <c r="S753" s="3"/>
      <c r="T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row>
    <row r="754" spans="12:49" x14ac:dyDescent="0.3">
      <c r="L754" s="3"/>
      <c r="M754" s="3"/>
      <c r="N754" s="3"/>
      <c r="O754" s="65"/>
      <c r="Q754" s="3"/>
      <c r="R754" s="3"/>
      <c r="S754" s="3"/>
      <c r="T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row>
    <row r="755" spans="12:49" x14ac:dyDescent="0.3">
      <c r="L755" s="3"/>
      <c r="M755" s="3"/>
      <c r="N755" s="3"/>
      <c r="O755" s="65"/>
      <c r="Q755" s="3"/>
      <c r="R755" s="3"/>
      <c r="S755" s="3"/>
      <c r="T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row>
    <row r="756" spans="12:49" x14ac:dyDescent="0.3">
      <c r="L756" s="3"/>
      <c r="M756" s="3"/>
      <c r="N756" s="3"/>
      <c r="O756" s="65"/>
      <c r="Q756" s="3"/>
      <c r="R756" s="3"/>
      <c r="S756" s="3"/>
      <c r="T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row>
    <row r="757" spans="12:49" x14ac:dyDescent="0.3">
      <c r="L757" s="3"/>
      <c r="M757" s="3"/>
      <c r="N757" s="3"/>
      <c r="O757" s="65"/>
      <c r="Q757" s="3"/>
      <c r="R757" s="3"/>
      <c r="S757" s="3"/>
      <c r="T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row>
    <row r="758" spans="12:49" x14ac:dyDescent="0.3">
      <c r="L758" s="3"/>
      <c r="M758" s="3"/>
      <c r="N758" s="3"/>
      <c r="O758" s="65"/>
      <c r="Q758" s="3"/>
      <c r="R758" s="3"/>
      <c r="S758" s="3"/>
      <c r="T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row>
    <row r="759" spans="12:49" x14ac:dyDescent="0.3">
      <c r="L759" s="3"/>
      <c r="M759" s="3"/>
      <c r="N759" s="3"/>
      <c r="O759" s="65"/>
      <c r="Q759" s="3"/>
      <c r="R759" s="3"/>
      <c r="S759" s="3"/>
      <c r="T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row>
    <row r="760" spans="12:49" x14ac:dyDescent="0.3">
      <c r="L760" s="3"/>
      <c r="M760" s="3"/>
      <c r="N760" s="3"/>
      <c r="O760" s="65"/>
      <c r="Q760" s="3"/>
      <c r="R760" s="3"/>
      <c r="S760" s="3"/>
      <c r="T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row>
    <row r="761" spans="12:49" x14ac:dyDescent="0.3">
      <c r="L761" s="3"/>
      <c r="M761" s="3"/>
      <c r="N761" s="3"/>
      <c r="O761" s="65"/>
      <c r="Q761" s="3"/>
      <c r="R761" s="3"/>
      <c r="S761" s="3"/>
      <c r="T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row>
    <row r="762" spans="12:49" x14ac:dyDescent="0.3">
      <c r="L762" s="3"/>
      <c r="M762" s="3"/>
      <c r="N762" s="3"/>
      <c r="O762" s="65"/>
      <c r="Q762" s="3"/>
      <c r="R762" s="3"/>
      <c r="S762" s="3"/>
      <c r="T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row>
    <row r="763" spans="12:49" x14ac:dyDescent="0.3">
      <c r="L763" s="3"/>
      <c r="M763" s="3"/>
      <c r="N763" s="3"/>
      <c r="O763" s="65"/>
      <c r="Q763" s="3"/>
      <c r="R763" s="3"/>
      <c r="S763" s="3"/>
      <c r="T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row>
    <row r="764" spans="12:49" x14ac:dyDescent="0.3">
      <c r="L764" s="3"/>
      <c r="M764" s="3"/>
      <c r="N764" s="3"/>
      <c r="O764" s="65"/>
      <c r="Q764" s="3"/>
      <c r="R764" s="3"/>
      <c r="S764" s="3"/>
      <c r="T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row>
    <row r="765" spans="12:49" x14ac:dyDescent="0.3">
      <c r="L765" s="3"/>
      <c r="M765" s="3"/>
      <c r="N765" s="3"/>
      <c r="O765" s="65"/>
      <c r="Q765" s="3"/>
      <c r="R765" s="3"/>
      <c r="S765" s="3"/>
      <c r="T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row>
    <row r="766" spans="12:49" x14ac:dyDescent="0.3">
      <c r="L766" s="3"/>
      <c r="M766" s="3"/>
      <c r="N766" s="3"/>
      <c r="O766" s="65"/>
      <c r="Q766" s="3"/>
      <c r="R766" s="3"/>
      <c r="S766" s="3"/>
      <c r="T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row>
    <row r="767" spans="12:49" x14ac:dyDescent="0.3">
      <c r="L767" s="3"/>
      <c r="M767" s="3"/>
      <c r="N767" s="3"/>
      <c r="O767" s="65"/>
      <c r="Q767" s="3"/>
      <c r="R767" s="3"/>
      <c r="S767" s="3"/>
      <c r="T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row>
    <row r="768" spans="12:49" x14ac:dyDescent="0.3">
      <c r="L768" s="3"/>
      <c r="M768" s="3"/>
      <c r="N768" s="3"/>
      <c r="O768" s="65"/>
      <c r="Q768" s="3"/>
      <c r="R768" s="3"/>
      <c r="S768" s="3"/>
      <c r="T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row>
    <row r="769" spans="12:49" x14ac:dyDescent="0.3">
      <c r="L769" s="3"/>
      <c r="M769" s="3"/>
      <c r="N769" s="3"/>
      <c r="O769" s="65"/>
      <c r="Q769" s="3"/>
      <c r="R769" s="3"/>
      <c r="S769" s="3"/>
      <c r="T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row>
    <row r="770" spans="12:49" x14ac:dyDescent="0.3">
      <c r="L770" s="3"/>
      <c r="M770" s="3"/>
      <c r="N770" s="3"/>
      <c r="O770" s="65"/>
      <c r="Q770" s="3"/>
      <c r="R770" s="3"/>
      <c r="S770" s="3"/>
      <c r="T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row>
    <row r="771" spans="12:49" x14ac:dyDescent="0.3">
      <c r="L771" s="3"/>
      <c r="M771" s="3"/>
      <c r="N771" s="3"/>
      <c r="O771" s="65"/>
      <c r="Q771" s="3"/>
      <c r="R771" s="3"/>
      <c r="S771" s="3"/>
      <c r="T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row>
    <row r="772" spans="12:49" x14ac:dyDescent="0.3">
      <c r="L772" s="3"/>
      <c r="M772" s="3"/>
      <c r="N772" s="3"/>
      <c r="O772" s="65"/>
      <c r="Q772" s="3"/>
      <c r="R772" s="3"/>
      <c r="S772" s="3"/>
      <c r="T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row>
    <row r="773" spans="12:49" x14ac:dyDescent="0.3">
      <c r="L773" s="3"/>
      <c r="M773" s="3"/>
      <c r="N773" s="3"/>
      <c r="O773" s="65"/>
      <c r="Q773" s="3"/>
      <c r="R773" s="3"/>
      <c r="S773" s="3"/>
      <c r="T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row>
    <row r="774" spans="12:49" x14ac:dyDescent="0.3">
      <c r="L774" s="3"/>
      <c r="M774" s="3"/>
      <c r="N774" s="3"/>
      <c r="O774" s="65"/>
      <c r="Q774" s="3"/>
      <c r="R774" s="3"/>
      <c r="S774" s="3"/>
      <c r="T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row>
    <row r="775" spans="12:49" x14ac:dyDescent="0.3">
      <c r="L775" s="3"/>
      <c r="M775" s="3"/>
      <c r="N775" s="3"/>
      <c r="O775" s="65"/>
      <c r="Q775" s="3"/>
      <c r="R775" s="3"/>
      <c r="S775" s="3"/>
      <c r="T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row>
    <row r="776" spans="12:49" x14ac:dyDescent="0.3">
      <c r="L776" s="3"/>
      <c r="M776" s="3"/>
      <c r="N776" s="3"/>
      <c r="O776" s="65"/>
      <c r="Q776" s="3"/>
      <c r="R776" s="3"/>
      <c r="S776" s="3"/>
      <c r="T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row>
    <row r="777" spans="12:49" x14ac:dyDescent="0.3">
      <c r="L777" s="3"/>
      <c r="M777" s="3"/>
      <c r="N777" s="3"/>
      <c r="O777" s="65"/>
      <c r="Q777" s="3"/>
      <c r="R777" s="3"/>
      <c r="S777" s="3"/>
      <c r="T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row>
    <row r="778" spans="12:49" x14ac:dyDescent="0.3">
      <c r="L778" s="3"/>
      <c r="M778" s="3"/>
      <c r="N778" s="3"/>
      <c r="O778" s="65"/>
      <c r="Q778" s="3"/>
      <c r="R778" s="3"/>
      <c r="S778" s="3"/>
      <c r="T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row>
    <row r="779" spans="12:49" x14ac:dyDescent="0.3">
      <c r="L779" s="3"/>
      <c r="M779" s="3"/>
      <c r="N779" s="3"/>
      <c r="O779" s="65"/>
      <c r="Q779" s="3"/>
      <c r="R779" s="3"/>
      <c r="S779" s="3"/>
      <c r="T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row>
    <row r="780" spans="12:49" x14ac:dyDescent="0.3">
      <c r="L780" s="3"/>
      <c r="M780" s="3"/>
      <c r="N780" s="3"/>
      <c r="O780" s="65"/>
      <c r="Q780" s="3"/>
      <c r="R780" s="3"/>
      <c r="S780" s="3"/>
      <c r="T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row>
    <row r="781" spans="12:49" x14ac:dyDescent="0.3">
      <c r="L781" s="3"/>
      <c r="M781" s="3"/>
      <c r="N781" s="3"/>
      <c r="O781" s="65"/>
      <c r="Q781" s="3"/>
      <c r="R781" s="3"/>
      <c r="S781" s="3"/>
      <c r="T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row>
    <row r="782" spans="12:49" x14ac:dyDescent="0.3">
      <c r="L782" s="3"/>
      <c r="M782" s="3"/>
      <c r="N782" s="3"/>
      <c r="O782" s="65"/>
      <c r="Q782" s="3"/>
      <c r="R782" s="3"/>
      <c r="S782" s="3"/>
      <c r="T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row>
    <row r="783" spans="12:49" x14ac:dyDescent="0.3">
      <c r="L783" s="3"/>
      <c r="M783" s="3"/>
      <c r="N783" s="3"/>
      <c r="O783" s="65"/>
      <c r="Q783" s="3"/>
      <c r="R783" s="3"/>
      <c r="S783" s="3"/>
      <c r="T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row>
    <row r="784" spans="12:49" x14ac:dyDescent="0.3">
      <c r="L784" s="3"/>
      <c r="M784" s="3"/>
      <c r="N784" s="3"/>
      <c r="O784" s="65"/>
      <c r="Q784" s="3"/>
      <c r="R784" s="3"/>
      <c r="S784" s="3"/>
      <c r="T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row>
    <row r="785" spans="12:49" x14ac:dyDescent="0.3">
      <c r="L785" s="3"/>
      <c r="M785" s="3"/>
      <c r="N785" s="3"/>
      <c r="O785" s="65"/>
      <c r="Q785" s="3"/>
      <c r="R785" s="3"/>
      <c r="S785" s="3"/>
      <c r="T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row>
    <row r="786" spans="12:49" x14ac:dyDescent="0.3">
      <c r="L786" s="3"/>
      <c r="M786" s="3"/>
      <c r="N786" s="3"/>
      <c r="O786" s="65"/>
      <c r="Q786" s="3"/>
      <c r="R786" s="3"/>
      <c r="S786" s="3"/>
      <c r="T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row>
    <row r="787" spans="12:49" x14ac:dyDescent="0.3">
      <c r="L787" s="3"/>
      <c r="M787" s="3"/>
      <c r="N787" s="3"/>
      <c r="O787" s="65"/>
      <c r="Q787" s="3"/>
      <c r="R787" s="3"/>
      <c r="S787" s="3"/>
      <c r="T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row>
    <row r="788" spans="12:49" x14ac:dyDescent="0.3">
      <c r="L788" s="3"/>
      <c r="M788" s="3"/>
      <c r="N788" s="3"/>
      <c r="O788" s="65"/>
      <c r="Q788" s="3"/>
      <c r="R788" s="3"/>
      <c r="S788" s="3"/>
      <c r="T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row>
    <row r="789" spans="12:49" x14ac:dyDescent="0.3">
      <c r="L789" s="3"/>
      <c r="M789" s="3"/>
      <c r="N789" s="3"/>
      <c r="O789" s="65"/>
      <c r="Q789" s="3"/>
      <c r="R789" s="3"/>
      <c r="S789" s="3"/>
      <c r="T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row>
    <row r="790" spans="12:49" x14ac:dyDescent="0.3">
      <c r="L790" s="3"/>
      <c r="M790" s="3"/>
      <c r="N790" s="3"/>
      <c r="O790" s="65"/>
      <c r="Q790" s="3"/>
      <c r="R790" s="3"/>
      <c r="S790" s="3"/>
      <c r="T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row>
    <row r="791" spans="12:49" x14ac:dyDescent="0.3">
      <c r="L791" s="3"/>
      <c r="M791" s="3"/>
      <c r="N791" s="3"/>
      <c r="O791" s="65"/>
      <c r="Q791" s="3"/>
      <c r="R791" s="3"/>
      <c r="S791" s="3"/>
      <c r="T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row>
    <row r="792" spans="12:49" x14ac:dyDescent="0.3">
      <c r="L792" s="3"/>
      <c r="M792" s="3"/>
      <c r="N792" s="3"/>
      <c r="O792" s="65"/>
      <c r="Q792" s="3"/>
      <c r="R792" s="3"/>
      <c r="S792" s="3"/>
      <c r="T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row>
    <row r="793" spans="12:49" x14ac:dyDescent="0.3">
      <c r="L793" s="3"/>
      <c r="M793" s="3"/>
      <c r="N793" s="3"/>
      <c r="O793" s="65"/>
      <c r="Q793" s="3"/>
      <c r="R793" s="3"/>
      <c r="S793" s="3"/>
      <c r="T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row>
    <row r="794" spans="12:49" x14ac:dyDescent="0.3">
      <c r="L794" s="3"/>
      <c r="M794" s="3"/>
      <c r="N794" s="3"/>
      <c r="O794" s="65"/>
      <c r="Q794" s="3"/>
      <c r="R794" s="3"/>
      <c r="S794" s="3"/>
      <c r="T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row>
    <row r="795" spans="12:49" x14ac:dyDescent="0.3">
      <c r="L795" s="3"/>
      <c r="M795" s="3"/>
      <c r="N795" s="3"/>
      <c r="O795" s="65"/>
      <c r="Q795" s="3"/>
      <c r="R795" s="3"/>
      <c r="S795" s="3"/>
      <c r="T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row>
    <row r="796" spans="12:49" x14ac:dyDescent="0.3">
      <c r="L796" s="3"/>
      <c r="M796" s="3"/>
      <c r="N796" s="3"/>
      <c r="O796" s="65"/>
      <c r="Q796" s="3"/>
      <c r="R796" s="3"/>
      <c r="S796" s="3"/>
      <c r="T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row>
    <row r="797" spans="12:49" x14ac:dyDescent="0.3">
      <c r="L797" s="3"/>
      <c r="M797" s="3"/>
      <c r="N797" s="3"/>
      <c r="O797" s="65"/>
      <c r="Q797" s="3"/>
      <c r="R797" s="3"/>
      <c r="S797" s="3"/>
      <c r="T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row>
    <row r="798" spans="12:49" x14ac:dyDescent="0.3">
      <c r="L798" s="3"/>
      <c r="M798" s="3"/>
      <c r="N798" s="3"/>
      <c r="O798" s="65"/>
      <c r="Q798" s="3"/>
      <c r="R798" s="3"/>
      <c r="S798" s="3"/>
      <c r="T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row>
    <row r="799" spans="12:49" x14ac:dyDescent="0.3">
      <c r="L799" s="3"/>
      <c r="M799" s="3"/>
      <c r="N799" s="3"/>
      <c r="O799" s="65"/>
      <c r="Q799" s="3"/>
      <c r="R799" s="3"/>
      <c r="S799" s="3"/>
      <c r="T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row>
    <row r="800" spans="12:49" x14ac:dyDescent="0.3">
      <c r="L800" s="3"/>
      <c r="M800" s="3"/>
      <c r="N800" s="3"/>
      <c r="O800" s="65"/>
      <c r="Q800" s="3"/>
      <c r="R800" s="3"/>
      <c r="S800" s="3"/>
      <c r="T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row>
    <row r="801" spans="12:49" x14ac:dyDescent="0.3">
      <c r="L801" s="3"/>
      <c r="M801" s="3"/>
      <c r="N801" s="3"/>
      <c r="O801" s="65"/>
      <c r="Q801" s="3"/>
      <c r="R801" s="3"/>
      <c r="S801" s="3"/>
      <c r="T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row>
    <row r="802" spans="12:49" x14ac:dyDescent="0.3">
      <c r="L802" s="3"/>
      <c r="M802" s="3"/>
      <c r="N802" s="3"/>
      <c r="O802" s="65"/>
      <c r="Q802" s="3"/>
      <c r="R802" s="3"/>
      <c r="S802" s="3"/>
      <c r="T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row>
    <row r="803" spans="12:49" x14ac:dyDescent="0.3">
      <c r="L803" s="3"/>
      <c r="M803" s="3"/>
      <c r="N803" s="3"/>
      <c r="O803" s="65"/>
      <c r="Q803" s="3"/>
      <c r="R803" s="3"/>
      <c r="S803" s="3"/>
      <c r="T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row>
    <row r="804" spans="12:49" x14ac:dyDescent="0.3">
      <c r="L804" s="3"/>
      <c r="M804" s="3"/>
      <c r="N804" s="3"/>
      <c r="O804" s="65"/>
      <c r="Q804" s="3"/>
      <c r="R804" s="3"/>
      <c r="S804" s="3"/>
      <c r="T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row>
    <row r="805" spans="12:49" x14ac:dyDescent="0.3">
      <c r="L805" s="3"/>
      <c r="M805" s="3"/>
      <c r="N805" s="3"/>
      <c r="O805" s="65"/>
      <c r="Q805" s="3"/>
      <c r="R805" s="3"/>
      <c r="S805" s="3"/>
      <c r="T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row>
    <row r="806" spans="12:49" x14ac:dyDescent="0.3">
      <c r="L806" s="3"/>
      <c r="M806" s="3"/>
      <c r="N806" s="3"/>
      <c r="O806" s="65"/>
      <c r="Q806" s="3"/>
      <c r="R806" s="3"/>
      <c r="S806" s="3"/>
      <c r="T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row>
    <row r="807" spans="12:49" x14ac:dyDescent="0.3">
      <c r="L807" s="3"/>
      <c r="M807" s="3"/>
      <c r="N807" s="3"/>
      <c r="O807" s="65"/>
      <c r="Q807" s="3"/>
      <c r="R807" s="3"/>
      <c r="S807" s="3"/>
      <c r="T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row>
    <row r="808" spans="12:49" x14ac:dyDescent="0.3">
      <c r="L808" s="3"/>
      <c r="M808" s="3"/>
      <c r="N808" s="3"/>
      <c r="O808" s="65"/>
      <c r="Q808" s="3"/>
      <c r="R808" s="3"/>
      <c r="S808" s="3"/>
      <c r="T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row>
    <row r="809" spans="12:49" x14ac:dyDescent="0.3">
      <c r="L809" s="3"/>
      <c r="M809" s="3"/>
      <c r="N809" s="3"/>
      <c r="O809" s="65"/>
      <c r="Q809" s="3"/>
      <c r="R809" s="3"/>
      <c r="S809" s="3"/>
      <c r="T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row>
    <row r="810" spans="12:49" x14ac:dyDescent="0.3">
      <c r="L810" s="3"/>
      <c r="M810" s="3"/>
      <c r="N810" s="3"/>
      <c r="O810" s="65"/>
      <c r="Q810" s="3"/>
      <c r="R810" s="3"/>
      <c r="S810" s="3"/>
      <c r="T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row>
    <row r="811" spans="12:49" x14ac:dyDescent="0.3">
      <c r="L811" s="3"/>
      <c r="M811" s="3"/>
      <c r="N811" s="3"/>
      <c r="O811" s="65"/>
      <c r="Q811" s="3"/>
      <c r="R811" s="3"/>
      <c r="S811" s="3"/>
      <c r="T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row>
    <row r="812" spans="12:49" x14ac:dyDescent="0.3">
      <c r="L812" s="3"/>
      <c r="M812" s="3"/>
      <c r="N812" s="3"/>
      <c r="O812" s="65"/>
      <c r="Q812" s="3"/>
      <c r="R812" s="3"/>
      <c r="S812" s="3"/>
      <c r="T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row>
    <row r="813" spans="12:49" x14ac:dyDescent="0.3">
      <c r="L813" s="3"/>
      <c r="M813" s="3"/>
      <c r="N813" s="3"/>
      <c r="O813" s="65"/>
      <c r="Q813" s="3"/>
      <c r="R813" s="3"/>
      <c r="S813" s="3"/>
      <c r="T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row>
    <row r="814" spans="12:49" x14ac:dyDescent="0.3">
      <c r="L814" s="3"/>
      <c r="M814" s="3"/>
      <c r="N814" s="3"/>
      <c r="O814" s="65"/>
      <c r="Q814" s="3"/>
      <c r="R814" s="3"/>
      <c r="S814" s="3"/>
      <c r="T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row>
    <row r="815" spans="12:49" x14ac:dyDescent="0.3">
      <c r="L815" s="3"/>
      <c r="M815" s="3"/>
      <c r="N815" s="3"/>
      <c r="O815" s="65"/>
      <c r="Q815" s="3"/>
      <c r="R815" s="3"/>
      <c r="S815" s="3"/>
      <c r="T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row>
    <row r="816" spans="12:49" x14ac:dyDescent="0.3">
      <c r="L816" s="3"/>
      <c r="M816" s="3"/>
      <c r="N816" s="3"/>
      <c r="O816" s="65"/>
      <c r="Q816" s="3"/>
      <c r="R816" s="3"/>
      <c r="S816" s="3"/>
      <c r="T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row>
    <row r="817" spans="12:49" x14ac:dyDescent="0.3">
      <c r="L817" s="3"/>
      <c r="M817" s="3"/>
      <c r="N817" s="3"/>
      <c r="O817" s="65"/>
      <c r="Q817" s="3"/>
      <c r="R817" s="3"/>
      <c r="S817" s="3"/>
      <c r="T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row>
    <row r="818" spans="12:49" x14ac:dyDescent="0.3">
      <c r="L818" s="3"/>
      <c r="M818" s="3"/>
      <c r="N818" s="3"/>
      <c r="O818" s="65"/>
      <c r="Q818" s="3"/>
      <c r="R818" s="3"/>
      <c r="S818" s="3"/>
      <c r="T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row>
    <row r="819" spans="12:49" x14ac:dyDescent="0.3">
      <c r="L819" s="3"/>
      <c r="M819" s="3"/>
      <c r="N819" s="3"/>
      <c r="O819" s="65"/>
      <c r="Q819" s="3"/>
      <c r="R819" s="3"/>
      <c r="S819" s="3"/>
      <c r="T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row>
    <row r="820" spans="12:49" x14ac:dyDescent="0.3">
      <c r="L820" s="3"/>
      <c r="M820" s="3"/>
      <c r="N820" s="3"/>
      <c r="O820" s="65"/>
      <c r="Q820" s="3"/>
      <c r="R820" s="3"/>
      <c r="S820" s="3"/>
      <c r="T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row>
    <row r="821" spans="12:49" x14ac:dyDescent="0.3">
      <c r="L821" s="3"/>
      <c r="M821" s="3"/>
      <c r="N821" s="3"/>
      <c r="O821" s="65"/>
      <c r="Q821" s="3"/>
      <c r="R821" s="3"/>
      <c r="S821" s="3"/>
      <c r="T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row>
    <row r="822" spans="12:49" x14ac:dyDescent="0.3">
      <c r="L822" s="3"/>
      <c r="M822" s="3"/>
      <c r="N822" s="3"/>
      <c r="O822" s="65"/>
      <c r="Q822" s="3"/>
      <c r="R822" s="3"/>
      <c r="S822" s="3"/>
      <c r="T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row>
    <row r="823" spans="12:49" x14ac:dyDescent="0.3">
      <c r="L823" s="3"/>
      <c r="M823" s="3"/>
      <c r="N823" s="3"/>
      <c r="O823" s="65"/>
      <c r="Q823" s="3"/>
      <c r="R823" s="3"/>
      <c r="S823" s="3"/>
      <c r="T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row>
    <row r="824" spans="12:49" x14ac:dyDescent="0.3">
      <c r="L824" s="3"/>
      <c r="M824" s="3"/>
      <c r="N824" s="3"/>
      <c r="O824" s="65"/>
      <c r="Q824" s="3"/>
      <c r="R824" s="3"/>
      <c r="S824" s="3"/>
      <c r="T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row>
    <row r="825" spans="12:49" x14ac:dyDescent="0.3">
      <c r="L825" s="3"/>
      <c r="M825" s="3"/>
      <c r="N825" s="3"/>
      <c r="O825" s="65"/>
      <c r="Q825" s="3"/>
      <c r="R825" s="3"/>
      <c r="S825" s="3"/>
      <c r="T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row>
    <row r="826" spans="12:49" x14ac:dyDescent="0.3">
      <c r="L826" s="3"/>
      <c r="M826" s="3"/>
      <c r="N826" s="3"/>
      <c r="O826" s="65"/>
      <c r="Q826" s="3"/>
      <c r="R826" s="3"/>
      <c r="S826" s="3"/>
      <c r="T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row>
    <row r="827" spans="12:49" x14ac:dyDescent="0.3">
      <c r="L827" s="3"/>
      <c r="M827" s="3"/>
      <c r="N827" s="3"/>
      <c r="O827" s="65"/>
      <c r="Q827" s="3"/>
      <c r="R827" s="3"/>
      <c r="S827" s="3"/>
      <c r="T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row>
    <row r="828" spans="12:49" x14ac:dyDescent="0.3">
      <c r="L828" s="3"/>
      <c r="M828" s="3"/>
      <c r="N828" s="3"/>
      <c r="O828" s="65"/>
      <c r="Q828" s="3"/>
      <c r="R828" s="3"/>
      <c r="S828" s="3"/>
      <c r="T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row>
    <row r="829" spans="12:49" x14ac:dyDescent="0.3">
      <c r="L829" s="3"/>
      <c r="M829" s="3"/>
      <c r="N829" s="3"/>
      <c r="O829" s="65"/>
      <c r="Q829" s="3"/>
      <c r="R829" s="3"/>
      <c r="S829" s="3"/>
      <c r="T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row>
    <row r="830" spans="12:49" x14ac:dyDescent="0.3">
      <c r="L830" s="3"/>
      <c r="M830" s="3"/>
      <c r="N830" s="3"/>
      <c r="O830" s="65"/>
      <c r="Q830" s="3"/>
      <c r="R830" s="3"/>
      <c r="S830" s="3"/>
      <c r="T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row>
    <row r="831" spans="12:49" x14ac:dyDescent="0.3">
      <c r="L831" s="3"/>
      <c r="M831" s="3"/>
      <c r="N831" s="3"/>
      <c r="O831" s="65"/>
      <c r="Q831" s="3"/>
      <c r="R831" s="3"/>
      <c r="S831" s="3"/>
      <c r="T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row>
    <row r="832" spans="12:49" x14ac:dyDescent="0.3">
      <c r="L832" s="3"/>
      <c r="M832" s="3"/>
      <c r="N832" s="3"/>
      <c r="O832" s="65"/>
      <c r="Q832" s="3"/>
      <c r="R832" s="3"/>
      <c r="S832" s="3"/>
      <c r="T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row>
    <row r="833" spans="12:49" x14ac:dyDescent="0.3">
      <c r="L833" s="3"/>
      <c r="M833" s="3"/>
      <c r="N833" s="3"/>
      <c r="O833" s="65"/>
      <c r="Q833" s="3"/>
      <c r="R833" s="3"/>
      <c r="S833" s="3"/>
      <c r="T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row>
    <row r="834" spans="12:49" x14ac:dyDescent="0.3">
      <c r="L834" s="3"/>
      <c r="M834" s="3"/>
      <c r="N834" s="3"/>
      <c r="O834" s="65"/>
      <c r="Q834" s="3"/>
      <c r="R834" s="3"/>
      <c r="S834" s="3"/>
      <c r="T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row>
    <row r="835" spans="12:49" x14ac:dyDescent="0.3">
      <c r="L835" s="3"/>
      <c r="M835" s="3"/>
      <c r="N835" s="3"/>
      <c r="O835" s="65"/>
      <c r="Q835" s="3"/>
      <c r="R835" s="3"/>
      <c r="S835" s="3"/>
      <c r="T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row>
    <row r="836" spans="12:49" x14ac:dyDescent="0.3">
      <c r="L836" s="3"/>
      <c r="M836" s="3"/>
      <c r="N836" s="3"/>
      <c r="O836" s="65"/>
      <c r="Q836" s="3"/>
      <c r="R836" s="3"/>
      <c r="S836" s="3"/>
      <c r="T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row>
    <row r="837" spans="12:49" x14ac:dyDescent="0.3">
      <c r="L837" s="3"/>
      <c r="M837" s="3"/>
      <c r="N837" s="3"/>
      <c r="O837" s="65"/>
      <c r="Q837" s="3"/>
      <c r="R837" s="3"/>
      <c r="S837" s="3"/>
      <c r="T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row>
    <row r="838" spans="12:49" x14ac:dyDescent="0.3">
      <c r="L838" s="3"/>
      <c r="M838" s="3"/>
      <c r="N838" s="3"/>
      <c r="O838" s="65"/>
      <c r="Q838" s="3"/>
      <c r="R838" s="3"/>
      <c r="S838" s="3"/>
      <c r="T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row>
    <row r="839" spans="12:49" x14ac:dyDescent="0.3">
      <c r="L839" s="3"/>
      <c r="M839" s="3"/>
      <c r="N839" s="3"/>
      <c r="O839" s="65"/>
      <c r="Q839" s="3"/>
      <c r="R839" s="3"/>
      <c r="S839" s="3"/>
      <c r="T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row>
    <row r="840" spans="12:49" x14ac:dyDescent="0.3">
      <c r="L840" s="3"/>
      <c r="M840" s="3"/>
      <c r="N840" s="3"/>
      <c r="O840" s="65"/>
      <c r="Q840" s="3"/>
      <c r="R840" s="3"/>
      <c r="S840" s="3"/>
      <c r="T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row>
    <row r="841" spans="12:49" x14ac:dyDescent="0.3">
      <c r="L841" s="3"/>
      <c r="M841" s="3"/>
      <c r="N841" s="3"/>
      <c r="O841" s="65"/>
      <c r="Q841" s="3"/>
      <c r="R841" s="3"/>
      <c r="S841" s="3"/>
      <c r="T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row>
    <row r="842" spans="12:49" x14ac:dyDescent="0.3">
      <c r="L842" s="3"/>
      <c r="M842" s="3"/>
      <c r="N842" s="3"/>
      <c r="O842" s="65"/>
      <c r="Q842" s="3"/>
      <c r="R842" s="3"/>
      <c r="S842" s="3"/>
      <c r="T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row>
    <row r="843" spans="12:49" x14ac:dyDescent="0.3">
      <c r="L843" s="3"/>
      <c r="M843" s="3"/>
      <c r="N843" s="3"/>
      <c r="O843" s="65"/>
      <c r="Q843" s="3"/>
      <c r="R843" s="3"/>
      <c r="S843" s="3"/>
      <c r="T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row>
    <row r="844" spans="12:49" x14ac:dyDescent="0.3">
      <c r="L844" s="3"/>
      <c r="M844" s="3"/>
      <c r="N844" s="3"/>
      <c r="O844" s="65"/>
      <c r="Q844" s="3"/>
      <c r="R844" s="3"/>
      <c r="S844" s="3"/>
      <c r="T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row>
    <row r="845" spans="12:49" x14ac:dyDescent="0.3">
      <c r="L845" s="3"/>
      <c r="M845" s="3"/>
      <c r="N845" s="3"/>
      <c r="O845" s="65"/>
      <c r="Q845" s="3"/>
      <c r="R845" s="3"/>
      <c r="S845" s="3"/>
      <c r="T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row>
    <row r="846" spans="12:49" x14ac:dyDescent="0.3">
      <c r="L846" s="3"/>
      <c r="M846" s="3"/>
      <c r="N846" s="3"/>
      <c r="O846" s="65"/>
      <c r="Q846" s="3"/>
      <c r="R846" s="3"/>
      <c r="S846" s="3"/>
      <c r="T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row>
    <row r="847" spans="12:49" x14ac:dyDescent="0.3">
      <c r="L847" s="3"/>
      <c r="M847" s="3"/>
      <c r="N847" s="3"/>
      <c r="O847" s="65"/>
      <c r="Q847" s="3"/>
      <c r="R847" s="3"/>
      <c r="S847" s="3"/>
      <c r="T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row>
    <row r="848" spans="12:49" x14ac:dyDescent="0.3">
      <c r="L848" s="3"/>
      <c r="M848" s="3"/>
      <c r="N848" s="3"/>
      <c r="O848" s="65"/>
      <c r="Q848" s="3"/>
      <c r="R848" s="3"/>
      <c r="S848" s="3"/>
      <c r="T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row>
    <row r="849" spans="12:49" x14ac:dyDescent="0.3">
      <c r="L849" s="3"/>
      <c r="M849" s="3"/>
      <c r="N849" s="3"/>
      <c r="O849" s="65"/>
      <c r="Q849" s="3"/>
      <c r="R849" s="3"/>
      <c r="S849" s="3"/>
      <c r="T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row>
    <row r="850" spans="12:49" x14ac:dyDescent="0.3">
      <c r="L850" s="3"/>
      <c r="M850" s="3"/>
      <c r="N850" s="3"/>
      <c r="O850" s="65"/>
      <c r="Q850" s="3"/>
      <c r="R850" s="3"/>
      <c r="S850" s="3"/>
      <c r="T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row>
    <row r="851" spans="12:49" x14ac:dyDescent="0.3">
      <c r="L851" s="3"/>
      <c r="M851" s="3"/>
      <c r="N851" s="3"/>
      <c r="O851" s="65"/>
      <c r="Q851" s="3"/>
      <c r="R851" s="3"/>
      <c r="S851" s="3"/>
      <c r="T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row>
    <row r="852" spans="12:49" x14ac:dyDescent="0.3">
      <c r="L852" s="3"/>
      <c r="M852" s="3"/>
      <c r="N852" s="3"/>
      <c r="O852" s="65"/>
      <c r="Q852" s="3"/>
      <c r="R852" s="3"/>
      <c r="S852" s="3"/>
      <c r="T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row>
    <row r="853" spans="12:49" x14ac:dyDescent="0.3">
      <c r="L853" s="3"/>
      <c r="M853" s="3"/>
      <c r="N853" s="3"/>
      <c r="O853" s="65"/>
      <c r="Q853" s="3"/>
      <c r="R853" s="3"/>
      <c r="S853" s="3"/>
      <c r="T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row>
    <row r="854" spans="12:49" x14ac:dyDescent="0.3">
      <c r="L854" s="3"/>
      <c r="M854" s="3"/>
      <c r="N854" s="3"/>
      <c r="O854" s="65"/>
      <c r="Q854" s="3"/>
      <c r="R854" s="3"/>
      <c r="S854" s="3"/>
      <c r="T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row>
    <row r="855" spans="12:49" x14ac:dyDescent="0.3">
      <c r="L855" s="3"/>
      <c r="M855" s="3"/>
      <c r="N855" s="3"/>
      <c r="O855" s="65"/>
      <c r="Q855" s="3"/>
      <c r="R855" s="3"/>
      <c r="S855" s="3"/>
      <c r="T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row>
    <row r="856" spans="12:49" x14ac:dyDescent="0.3">
      <c r="L856" s="3"/>
      <c r="M856" s="3"/>
      <c r="N856" s="3"/>
      <c r="O856" s="65"/>
      <c r="Q856" s="3"/>
      <c r="R856" s="3"/>
      <c r="S856" s="3"/>
      <c r="T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row>
    <row r="857" spans="12:49" x14ac:dyDescent="0.3">
      <c r="L857" s="3"/>
      <c r="M857" s="3"/>
      <c r="N857" s="3"/>
      <c r="O857" s="65"/>
      <c r="Q857" s="3"/>
      <c r="R857" s="3"/>
      <c r="S857" s="3"/>
      <c r="T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row>
    <row r="858" spans="12:49" x14ac:dyDescent="0.3">
      <c r="L858" s="3"/>
      <c r="M858" s="3"/>
      <c r="N858" s="3"/>
      <c r="O858" s="65"/>
      <c r="Q858" s="3"/>
      <c r="R858" s="3"/>
      <c r="S858" s="3"/>
      <c r="T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row>
    <row r="859" spans="12:49" x14ac:dyDescent="0.3">
      <c r="L859" s="3"/>
      <c r="M859" s="3"/>
      <c r="N859" s="3"/>
      <c r="O859" s="65"/>
      <c r="Q859" s="3"/>
      <c r="R859" s="3"/>
      <c r="S859" s="3"/>
      <c r="T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row>
    <row r="860" spans="12:49" x14ac:dyDescent="0.3">
      <c r="L860" s="3"/>
      <c r="M860" s="3"/>
      <c r="N860" s="3"/>
      <c r="O860" s="65"/>
      <c r="Q860" s="3"/>
      <c r="R860" s="3"/>
      <c r="S860" s="3"/>
      <c r="T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row>
    <row r="861" spans="12:49" x14ac:dyDescent="0.3">
      <c r="L861" s="3"/>
      <c r="M861" s="3"/>
      <c r="N861" s="3"/>
      <c r="O861" s="65"/>
      <c r="Q861" s="3"/>
      <c r="R861" s="3"/>
      <c r="S861" s="3"/>
      <c r="T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row>
    <row r="862" spans="12:49" x14ac:dyDescent="0.3">
      <c r="L862" s="3"/>
      <c r="M862" s="3"/>
      <c r="N862" s="3"/>
      <c r="O862" s="65"/>
      <c r="Q862" s="3"/>
      <c r="R862" s="3"/>
      <c r="S862" s="3"/>
      <c r="T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row>
    <row r="863" spans="12:49" x14ac:dyDescent="0.3">
      <c r="L863" s="3"/>
      <c r="M863" s="3"/>
      <c r="N863" s="3"/>
      <c r="O863" s="65"/>
      <c r="Q863" s="3"/>
      <c r="R863" s="3"/>
      <c r="S863" s="3"/>
      <c r="T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row>
    <row r="864" spans="12:49" x14ac:dyDescent="0.3">
      <c r="L864" s="3"/>
      <c r="M864" s="3"/>
      <c r="N864" s="3"/>
      <c r="O864" s="65"/>
      <c r="Q864" s="3"/>
      <c r="R864" s="3"/>
      <c r="S864" s="3"/>
      <c r="T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row>
    <row r="865" spans="12:49" x14ac:dyDescent="0.3">
      <c r="L865" s="3"/>
      <c r="M865" s="3"/>
      <c r="N865" s="3"/>
      <c r="O865" s="65"/>
      <c r="Q865" s="3"/>
      <c r="R865" s="3"/>
      <c r="S865" s="3"/>
      <c r="T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row>
    <row r="866" spans="12:49" x14ac:dyDescent="0.3">
      <c r="L866" s="3"/>
      <c r="M866" s="3"/>
      <c r="N866" s="3"/>
      <c r="O866" s="65"/>
      <c r="Q866" s="3"/>
      <c r="R866" s="3"/>
      <c r="S866" s="3"/>
      <c r="T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row>
    <row r="867" spans="12:49" x14ac:dyDescent="0.3">
      <c r="L867" s="3"/>
      <c r="M867" s="3"/>
      <c r="N867" s="3"/>
      <c r="O867" s="65"/>
      <c r="Q867" s="3"/>
      <c r="R867" s="3"/>
      <c r="S867" s="3"/>
      <c r="T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row>
    <row r="868" spans="12:49" x14ac:dyDescent="0.3">
      <c r="L868" s="3"/>
      <c r="M868" s="3"/>
      <c r="N868" s="3"/>
      <c r="O868" s="65"/>
      <c r="Q868" s="3"/>
      <c r="R868" s="3"/>
      <c r="S868" s="3"/>
      <c r="T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row>
    <row r="869" spans="12:49" x14ac:dyDescent="0.3">
      <c r="L869" s="3"/>
      <c r="M869" s="3"/>
      <c r="N869" s="3"/>
      <c r="O869" s="65"/>
      <c r="Q869" s="3"/>
      <c r="R869" s="3"/>
      <c r="S869" s="3"/>
      <c r="T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row>
    <row r="870" spans="12:49" x14ac:dyDescent="0.3">
      <c r="L870" s="3"/>
      <c r="M870" s="3"/>
      <c r="N870" s="3"/>
      <c r="O870" s="65"/>
      <c r="Q870" s="3"/>
      <c r="R870" s="3"/>
      <c r="S870" s="3"/>
      <c r="T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row>
    <row r="871" spans="12:49" x14ac:dyDescent="0.3">
      <c r="L871" s="3"/>
      <c r="M871" s="3"/>
      <c r="N871" s="3"/>
      <c r="O871" s="65"/>
      <c r="Q871" s="3"/>
      <c r="R871" s="3"/>
      <c r="S871" s="3"/>
      <c r="T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row>
    <row r="872" spans="12:49" x14ac:dyDescent="0.3">
      <c r="L872" s="3"/>
      <c r="M872" s="3"/>
      <c r="N872" s="3"/>
      <c r="O872" s="65"/>
      <c r="Q872" s="3"/>
      <c r="R872" s="3"/>
      <c r="S872" s="3"/>
      <c r="T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row>
    <row r="873" spans="12:49" x14ac:dyDescent="0.3">
      <c r="L873" s="3"/>
      <c r="M873" s="3"/>
      <c r="N873" s="3"/>
      <c r="O873" s="65"/>
      <c r="Q873" s="3"/>
      <c r="R873" s="3"/>
      <c r="S873" s="3"/>
      <c r="T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row>
    <row r="874" spans="12:49" x14ac:dyDescent="0.3">
      <c r="L874" s="3"/>
      <c r="M874" s="3"/>
      <c r="N874" s="3"/>
      <c r="O874" s="65"/>
      <c r="Q874" s="3"/>
      <c r="R874" s="3"/>
      <c r="S874" s="3"/>
      <c r="T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row>
    <row r="875" spans="12:49" x14ac:dyDescent="0.3">
      <c r="L875" s="3"/>
      <c r="M875" s="3"/>
      <c r="N875" s="3"/>
      <c r="O875" s="65"/>
      <c r="Q875" s="3"/>
      <c r="R875" s="3"/>
      <c r="S875" s="3"/>
      <c r="T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row>
    <row r="876" spans="12:49" x14ac:dyDescent="0.3">
      <c r="L876" s="3"/>
      <c r="M876" s="3"/>
      <c r="N876" s="3"/>
      <c r="O876" s="65"/>
      <c r="Q876" s="3"/>
      <c r="R876" s="3"/>
      <c r="S876" s="3"/>
      <c r="T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row>
    <row r="877" spans="12:49" x14ac:dyDescent="0.3">
      <c r="L877" s="3"/>
      <c r="M877" s="3"/>
      <c r="N877" s="3"/>
      <c r="O877" s="65"/>
      <c r="Q877" s="3"/>
      <c r="R877" s="3"/>
      <c r="S877" s="3"/>
      <c r="T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row>
    <row r="878" spans="12:49" x14ac:dyDescent="0.3">
      <c r="L878" s="3"/>
      <c r="M878" s="3"/>
      <c r="N878" s="3"/>
      <c r="O878" s="65"/>
      <c r="Q878" s="3"/>
      <c r="R878" s="3"/>
      <c r="S878" s="3"/>
      <c r="T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row>
    <row r="879" spans="12:49" x14ac:dyDescent="0.3">
      <c r="L879" s="3"/>
      <c r="M879" s="3"/>
      <c r="N879" s="3"/>
      <c r="O879" s="65"/>
      <c r="Q879" s="3"/>
      <c r="R879" s="3"/>
      <c r="S879" s="3"/>
      <c r="T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row>
    <row r="880" spans="12:49" x14ac:dyDescent="0.3">
      <c r="L880" s="3"/>
      <c r="M880" s="3"/>
      <c r="N880" s="3"/>
      <c r="O880" s="65"/>
      <c r="Q880" s="3"/>
      <c r="R880" s="3"/>
      <c r="S880" s="3"/>
      <c r="T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row>
    <row r="881" spans="12:49" x14ac:dyDescent="0.3">
      <c r="L881" s="3"/>
      <c r="M881" s="3"/>
      <c r="N881" s="3"/>
      <c r="O881" s="65"/>
      <c r="Q881" s="3"/>
      <c r="R881" s="3"/>
      <c r="S881" s="3"/>
      <c r="T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row>
    <row r="882" spans="12:49" x14ac:dyDescent="0.3">
      <c r="L882" s="3"/>
      <c r="M882" s="3"/>
      <c r="N882" s="3"/>
      <c r="O882" s="65"/>
      <c r="Q882" s="3"/>
      <c r="R882" s="3"/>
      <c r="S882" s="3"/>
      <c r="T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row>
    <row r="883" spans="12:49" x14ac:dyDescent="0.3">
      <c r="L883" s="3"/>
      <c r="M883" s="3"/>
      <c r="N883" s="3"/>
      <c r="O883" s="65"/>
      <c r="Q883" s="3"/>
      <c r="R883" s="3"/>
      <c r="S883" s="3"/>
      <c r="T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row>
    <row r="884" spans="12:49" x14ac:dyDescent="0.3">
      <c r="L884" s="3"/>
      <c r="M884" s="3"/>
      <c r="N884" s="3"/>
      <c r="O884" s="65"/>
      <c r="Q884" s="3"/>
      <c r="R884" s="3"/>
      <c r="S884" s="3"/>
      <c r="T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row>
    <row r="885" spans="12:49" x14ac:dyDescent="0.3">
      <c r="L885" s="3"/>
      <c r="M885" s="3"/>
      <c r="N885" s="3"/>
      <c r="O885" s="65"/>
      <c r="Q885" s="3"/>
      <c r="R885" s="3"/>
      <c r="S885" s="3"/>
      <c r="T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row>
    <row r="886" spans="12:49" x14ac:dyDescent="0.3">
      <c r="L886" s="3"/>
      <c r="M886" s="3"/>
      <c r="N886" s="3"/>
      <c r="O886" s="65"/>
      <c r="Q886" s="3"/>
      <c r="R886" s="3"/>
      <c r="S886" s="3"/>
      <c r="T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row>
    <row r="887" spans="12:49" x14ac:dyDescent="0.3">
      <c r="L887" s="3"/>
      <c r="M887" s="3"/>
      <c r="N887" s="3"/>
      <c r="O887" s="65"/>
      <c r="Q887" s="3"/>
      <c r="R887" s="3"/>
      <c r="S887" s="3"/>
      <c r="T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row>
    <row r="888" spans="12:49" x14ac:dyDescent="0.3">
      <c r="L888" s="3"/>
      <c r="M888" s="3"/>
      <c r="N888" s="3"/>
      <c r="O888" s="65"/>
      <c r="Q888" s="3"/>
      <c r="R888" s="3"/>
      <c r="S888" s="3"/>
      <c r="T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row>
    <row r="889" spans="12:49" x14ac:dyDescent="0.3">
      <c r="L889" s="3"/>
      <c r="M889" s="3"/>
      <c r="N889" s="3"/>
      <c r="O889" s="65"/>
      <c r="Q889" s="3"/>
      <c r="R889" s="3"/>
      <c r="S889" s="3"/>
      <c r="T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row>
    <row r="890" spans="12:49" x14ac:dyDescent="0.3">
      <c r="L890" s="3"/>
      <c r="M890" s="3"/>
      <c r="N890" s="3"/>
      <c r="O890" s="65"/>
      <c r="Q890" s="3"/>
      <c r="R890" s="3"/>
      <c r="S890" s="3"/>
      <c r="T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row>
    <row r="891" spans="12:49" x14ac:dyDescent="0.3">
      <c r="L891" s="3"/>
      <c r="M891" s="3"/>
      <c r="N891" s="3"/>
      <c r="O891" s="65"/>
      <c r="Q891" s="3"/>
      <c r="R891" s="3"/>
      <c r="S891" s="3"/>
      <c r="T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row>
    <row r="892" spans="12:49" x14ac:dyDescent="0.3">
      <c r="L892" s="3"/>
      <c r="M892" s="3"/>
      <c r="N892" s="3"/>
      <c r="O892" s="65"/>
      <c r="Q892" s="3"/>
      <c r="R892" s="3"/>
      <c r="S892" s="3"/>
      <c r="T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row>
    <row r="893" spans="12:49" x14ac:dyDescent="0.3">
      <c r="L893" s="3"/>
      <c r="M893" s="3"/>
      <c r="N893" s="3"/>
      <c r="O893" s="65"/>
      <c r="Q893" s="3"/>
      <c r="R893" s="3"/>
      <c r="S893" s="3"/>
      <c r="T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row>
    <row r="894" spans="12:49" x14ac:dyDescent="0.3">
      <c r="L894" s="3"/>
      <c r="M894" s="3"/>
      <c r="N894" s="3"/>
      <c r="O894" s="65"/>
      <c r="Q894" s="3"/>
      <c r="R894" s="3"/>
      <c r="S894" s="3"/>
      <c r="T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row>
    <row r="895" spans="12:49" x14ac:dyDescent="0.3">
      <c r="L895" s="3"/>
      <c r="M895" s="3"/>
      <c r="N895" s="3"/>
      <c r="O895" s="65"/>
      <c r="Q895" s="3"/>
      <c r="R895" s="3"/>
      <c r="S895" s="3"/>
      <c r="T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row>
    <row r="896" spans="12:49" x14ac:dyDescent="0.3">
      <c r="L896" s="3"/>
      <c r="M896" s="3"/>
      <c r="N896" s="3"/>
      <c r="O896" s="65"/>
      <c r="Q896" s="3"/>
      <c r="R896" s="3"/>
      <c r="S896" s="3"/>
      <c r="T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row>
    <row r="897" spans="12:49" x14ac:dyDescent="0.3">
      <c r="L897" s="3"/>
      <c r="M897" s="3"/>
      <c r="N897" s="3"/>
      <c r="O897" s="65"/>
      <c r="Q897" s="3"/>
      <c r="R897" s="3"/>
      <c r="S897" s="3"/>
      <c r="T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row>
    <row r="898" spans="12:49" x14ac:dyDescent="0.3">
      <c r="L898" s="3"/>
      <c r="M898" s="3"/>
      <c r="N898" s="3"/>
      <c r="O898" s="65"/>
      <c r="Q898" s="3"/>
      <c r="R898" s="3"/>
      <c r="S898" s="3"/>
      <c r="T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row>
    <row r="899" spans="12:49" x14ac:dyDescent="0.3">
      <c r="L899" s="3"/>
      <c r="M899" s="3"/>
      <c r="N899" s="3"/>
      <c r="O899" s="65"/>
      <c r="Q899" s="3"/>
      <c r="R899" s="3"/>
      <c r="S899" s="3"/>
      <c r="T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row>
    <row r="900" spans="12:49" x14ac:dyDescent="0.3">
      <c r="L900" s="3"/>
      <c r="M900" s="3"/>
      <c r="N900" s="3"/>
      <c r="O900" s="65"/>
      <c r="Q900" s="3"/>
      <c r="R900" s="3"/>
      <c r="S900" s="3"/>
      <c r="T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row>
    <row r="901" spans="12:49" x14ac:dyDescent="0.3">
      <c r="L901" s="3"/>
      <c r="M901" s="3"/>
      <c r="N901" s="3"/>
      <c r="O901" s="65"/>
      <c r="Q901" s="3"/>
      <c r="R901" s="3"/>
      <c r="S901" s="3"/>
      <c r="T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row>
    <row r="902" spans="12:49" x14ac:dyDescent="0.3">
      <c r="L902" s="3"/>
      <c r="M902" s="3"/>
      <c r="N902" s="3"/>
      <c r="O902" s="65"/>
      <c r="Q902" s="3"/>
      <c r="R902" s="3"/>
      <c r="S902" s="3"/>
      <c r="T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row>
    <row r="903" spans="12:49" x14ac:dyDescent="0.3">
      <c r="L903" s="3"/>
      <c r="M903" s="3"/>
      <c r="N903" s="3"/>
      <c r="O903" s="65"/>
      <c r="Q903" s="3"/>
      <c r="R903" s="3"/>
      <c r="S903" s="3"/>
      <c r="T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row>
    <row r="904" spans="12:49" x14ac:dyDescent="0.3">
      <c r="L904" s="3"/>
      <c r="M904" s="3"/>
      <c r="N904" s="3"/>
      <c r="O904" s="65"/>
      <c r="Q904" s="3"/>
      <c r="R904" s="3"/>
      <c r="S904" s="3"/>
      <c r="T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row>
    <row r="905" spans="12:49" x14ac:dyDescent="0.3">
      <c r="L905" s="3"/>
      <c r="M905" s="3"/>
      <c r="N905" s="3"/>
      <c r="O905" s="65"/>
      <c r="Q905" s="3"/>
      <c r="R905" s="3"/>
      <c r="S905" s="3"/>
      <c r="T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row>
    <row r="906" spans="12:49" x14ac:dyDescent="0.3">
      <c r="L906" s="3"/>
      <c r="M906" s="3"/>
      <c r="N906" s="3"/>
      <c r="O906" s="65"/>
      <c r="Q906" s="3"/>
      <c r="R906" s="3"/>
      <c r="S906" s="3"/>
      <c r="T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row>
    <row r="907" spans="12:49" x14ac:dyDescent="0.3">
      <c r="L907" s="3"/>
      <c r="M907" s="3"/>
      <c r="N907" s="3"/>
      <c r="O907" s="65"/>
      <c r="Q907" s="3"/>
      <c r="R907" s="3"/>
      <c r="S907" s="3"/>
      <c r="T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row>
    <row r="908" spans="12:49" x14ac:dyDescent="0.3">
      <c r="L908" s="3"/>
      <c r="M908" s="3"/>
      <c r="N908" s="3"/>
      <c r="O908" s="65"/>
      <c r="Q908" s="3"/>
      <c r="R908" s="3"/>
      <c r="S908" s="3"/>
      <c r="T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row>
    <row r="909" spans="12:49" x14ac:dyDescent="0.3">
      <c r="L909" s="3"/>
      <c r="M909" s="3"/>
      <c r="N909" s="3"/>
      <c r="O909" s="65"/>
      <c r="Q909" s="3"/>
      <c r="R909" s="3"/>
      <c r="S909" s="3"/>
      <c r="T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row>
    <row r="910" spans="12:49" x14ac:dyDescent="0.3">
      <c r="L910" s="3"/>
      <c r="M910" s="3"/>
      <c r="N910" s="3"/>
      <c r="O910" s="65"/>
      <c r="Q910" s="3"/>
      <c r="R910" s="3"/>
      <c r="S910" s="3"/>
      <c r="T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row>
    <row r="911" spans="12:49" x14ac:dyDescent="0.3">
      <c r="L911" s="3"/>
      <c r="M911" s="3"/>
      <c r="N911" s="3"/>
      <c r="O911" s="65"/>
      <c r="Q911" s="3"/>
      <c r="R911" s="3"/>
      <c r="S911" s="3"/>
      <c r="T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row>
    <row r="912" spans="12:49" x14ac:dyDescent="0.3">
      <c r="L912" s="3"/>
      <c r="M912" s="3"/>
      <c r="N912" s="3"/>
      <c r="O912" s="65"/>
      <c r="Q912" s="3"/>
      <c r="R912" s="3"/>
      <c r="S912" s="3"/>
      <c r="T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row>
    <row r="913" spans="12:49" x14ac:dyDescent="0.3">
      <c r="L913" s="3"/>
      <c r="M913" s="3"/>
      <c r="N913" s="3"/>
      <c r="O913" s="65"/>
      <c r="Q913" s="3"/>
      <c r="R913" s="3"/>
      <c r="S913" s="3"/>
      <c r="T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row>
    <row r="914" spans="12:49" x14ac:dyDescent="0.3">
      <c r="L914" s="3"/>
      <c r="M914" s="3"/>
      <c r="N914" s="3"/>
      <c r="O914" s="65"/>
      <c r="Q914" s="3"/>
      <c r="R914" s="3"/>
      <c r="S914" s="3"/>
      <c r="T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row>
    <row r="915" spans="12:49" x14ac:dyDescent="0.3">
      <c r="L915" s="3"/>
      <c r="M915" s="3"/>
      <c r="N915" s="3"/>
      <c r="O915" s="65"/>
      <c r="Q915" s="3"/>
      <c r="R915" s="3"/>
      <c r="S915" s="3"/>
      <c r="T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row>
    <row r="916" spans="12:49" x14ac:dyDescent="0.3">
      <c r="L916" s="3"/>
      <c r="M916" s="3"/>
      <c r="N916" s="3"/>
      <c r="O916" s="65"/>
      <c r="Q916" s="3"/>
      <c r="R916" s="3"/>
      <c r="S916" s="3"/>
      <c r="T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row>
    <row r="917" spans="12:49" x14ac:dyDescent="0.3">
      <c r="L917" s="3"/>
      <c r="M917" s="3"/>
      <c r="N917" s="3"/>
      <c r="O917" s="65"/>
      <c r="Q917" s="3"/>
      <c r="R917" s="3"/>
      <c r="S917" s="3"/>
      <c r="T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row>
    <row r="918" spans="12:49" x14ac:dyDescent="0.3">
      <c r="L918" s="3"/>
      <c r="M918" s="3"/>
      <c r="N918" s="3"/>
      <c r="O918" s="65"/>
      <c r="Q918" s="3"/>
      <c r="R918" s="3"/>
      <c r="S918" s="3"/>
      <c r="T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row>
    <row r="919" spans="12:49" x14ac:dyDescent="0.3">
      <c r="L919" s="3"/>
      <c r="M919" s="3"/>
      <c r="N919" s="3"/>
      <c r="O919" s="65"/>
      <c r="Q919" s="3"/>
      <c r="R919" s="3"/>
      <c r="S919" s="3"/>
      <c r="T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row>
    <row r="920" spans="12:49" x14ac:dyDescent="0.3">
      <c r="L920" s="3"/>
      <c r="M920" s="3"/>
      <c r="N920" s="3"/>
      <c r="O920" s="65"/>
      <c r="Q920" s="3"/>
      <c r="R920" s="3"/>
      <c r="S920" s="3"/>
      <c r="T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row>
    <row r="921" spans="12:49" x14ac:dyDescent="0.3">
      <c r="L921" s="3"/>
      <c r="M921" s="3"/>
      <c r="N921" s="3"/>
      <c r="O921" s="65"/>
      <c r="Q921" s="3"/>
      <c r="R921" s="3"/>
      <c r="S921" s="3"/>
      <c r="T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row>
    <row r="922" spans="12:49" x14ac:dyDescent="0.3">
      <c r="L922" s="3"/>
      <c r="M922" s="3"/>
      <c r="N922" s="3"/>
      <c r="O922" s="65"/>
      <c r="Q922" s="3"/>
      <c r="R922" s="3"/>
      <c r="S922" s="3"/>
      <c r="T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row>
    <row r="923" spans="12:49" x14ac:dyDescent="0.3">
      <c r="L923" s="3"/>
      <c r="M923" s="3"/>
      <c r="N923" s="3"/>
      <c r="O923" s="65"/>
      <c r="Q923" s="3"/>
      <c r="R923" s="3"/>
      <c r="S923" s="3"/>
      <c r="T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row>
    <row r="924" spans="12:49" x14ac:dyDescent="0.3">
      <c r="L924" s="3"/>
      <c r="M924" s="3"/>
      <c r="N924" s="3"/>
      <c r="O924" s="65"/>
      <c r="Q924" s="3"/>
      <c r="R924" s="3"/>
      <c r="S924" s="3"/>
      <c r="T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row>
    <row r="925" spans="12:49" x14ac:dyDescent="0.3">
      <c r="L925" s="3"/>
      <c r="M925" s="3"/>
      <c r="N925" s="3"/>
      <c r="O925" s="65"/>
      <c r="Q925" s="3"/>
      <c r="R925" s="3"/>
      <c r="S925" s="3"/>
      <c r="T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row>
    <row r="926" spans="12:49" x14ac:dyDescent="0.3">
      <c r="L926" s="3"/>
      <c r="M926" s="3"/>
      <c r="N926" s="3"/>
      <c r="O926" s="65"/>
      <c r="Q926" s="3"/>
      <c r="R926" s="3"/>
      <c r="S926" s="3"/>
      <c r="T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row>
    <row r="927" spans="12:49" x14ac:dyDescent="0.3">
      <c r="L927" s="3"/>
      <c r="M927" s="3"/>
      <c r="N927" s="3"/>
      <c r="O927" s="65"/>
      <c r="Q927" s="3"/>
      <c r="R927" s="3"/>
      <c r="S927" s="3"/>
      <c r="T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row>
    <row r="928" spans="12:49" x14ac:dyDescent="0.3">
      <c r="L928" s="3"/>
      <c r="M928" s="3"/>
      <c r="N928" s="3"/>
      <c r="O928" s="65"/>
      <c r="Q928" s="3"/>
      <c r="R928" s="3"/>
      <c r="S928" s="3"/>
      <c r="T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row>
    <row r="929" spans="12:49" x14ac:dyDescent="0.3">
      <c r="L929" s="3"/>
      <c r="M929" s="3"/>
      <c r="N929" s="3"/>
      <c r="O929" s="65"/>
      <c r="Q929" s="3"/>
      <c r="R929" s="3"/>
      <c r="S929" s="3"/>
      <c r="T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row>
    <row r="930" spans="12:49" x14ac:dyDescent="0.3">
      <c r="L930" s="3"/>
      <c r="M930" s="3"/>
      <c r="N930" s="3"/>
      <c r="O930" s="65"/>
      <c r="Q930" s="3"/>
      <c r="R930" s="3"/>
      <c r="S930" s="3"/>
      <c r="T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row>
    <row r="931" spans="12:49" x14ac:dyDescent="0.3">
      <c r="L931" s="3"/>
      <c r="M931" s="3"/>
      <c r="N931" s="3"/>
      <c r="O931" s="65"/>
      <c r="Q931" s="3"/>
      <c r="R931" s="3"/>
      <c r="S931" s="3"/>
      <c r="T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row>
    <row r="932" spans="12:49" x14ac:dyDescent="0.3">
      <c r="Q932" s="3"/>
      <c r="R932" s="3"/>
      <c r="S932" s="3"/>
      <c r="T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row>
    <row r="933" spans="12:49" x14ac:dyDescent="0.3">
      <c r="Q933" s="3"/>
      <c r="R933" s="3"/>
      <c r="S933" s="3"/>
      <c r="T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row>
    <row r="934" spans="12:49" x14ac:dyDescent="0.3">
      <c r="Q934" s="3"/>
      <c r="R934" s="3"/>
      <c r="S934" s="3"/>
      <c r="T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row>
    <row r="935" spans="12:49" x14ac:dyDescent="0.3">
      <c r="Q935" s="3"/>
      <c r="R935" s="3"/>
      <c r="S935" s="3"/>
      <c r="T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row>
    <row r="936" spans="12:49" x14ac:dyDescent="0.3">
      <c r="Q936" s="3"/>
      <c r="R936" s="3"/>
      <c r="S936" s="3"/>
      <c r="T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row>
  </sheetData>
  <mergeCells count="73">
    <mergeCell ref="C51:D51"/>
    <mergeCell ref="C145:D145"/>
    <mergeCell ref="C151:D151"/>
    <mergeCell ref="C73:D73"/>
    <mergeCell ref="C78:D78"/>
    <mergeCell ref="C83:D83"/>
    <mergeCell ref="C94:D94"/>
    <mergeCell ref="B97:E97"/>
    <mergeCell ref="C98:D98"/>
    <mergeCell ref="B139:E139"/>
    <mergeCell ref="C130:D130"/>
    <mergeCell ref="C140:D140"/>
    <mergeCell ref="C87:D87"/>
    <mergeCell ref="C103:D103"/>
    <mergeCell ref="C58:D58"/>
    <mergeCell ref="C61:D61"/>
    <mergeCell ref="C28:D28"/>
    <mergeCell ref="C33:D33"/>
    <mergeCell ref="C7:D7"/>
    <mergeCell ref="C20:D20"/>
    <mergeCell ref="C38:D38"/>
    <mergeCell ref="C13:D13"/>
    <mergeCell ref="C17:D17"/>
    <mergeCell ref="C65:D65"/>
    <mergeCell ref="C70:D70"/>
    <mergeCell ref="AF1:AI1"/>
    <mergeCell ref="G2:J2"/>
    <mergeCell ref="H3:I3"/>
    <mergeCell ref="C3:D3"/>
    <mergeCell ref="H8:I8"/>
    <mergeCell ref="H13:I13"/>
    <mergeCell ref="R2:S2"/>
    <mergeCell ref="R6:S6"/>
    <mergeCell ref="M22:N22"/>
    <mergeCell ref="G19:J19"/>
    <mergeCell ref="M2:N2"/>
    <mergeCell ref="M8:N8"/>
    <mergeCell ref="M15:N15"/>
    <mergeCell ref="H20:I20"/>
    <mergeCell ref="AK1:AN1"/>
    <mergeCell ref="AP1:AS1"/>
    <mergeCell ref="B2:E2"/>
    <mergeCell ref="B82:E82"/>
    <mergeCell ref="B16:E16"/>
    <mergeCell ref="B32:E32"/>
    <mergeCell ref="B57:E57"/>
    <mergeCell ref="B69:E69"/>
    <mergeCell ref="B1:E1"/>
    <mergeCell ref="G1:J1"/>
    <mergeCell ref="L1:O1"/>
    <mergeCell ref="Q1:T1"/>
    <mergeCell ref="V1:Y1"/>
    <mergeCell ref="AA1:AD1"/>
    <mergeCell ref="H28:I28"/>
    <mergeCell ref="G41:J41"/>
    <mergeCell ref="H161:I161"/>
    <mergeCell ref="G108:J108"/>
    <mergeCell ref="H104:I104"/>
    <mergeCell ref="H109:I109"/>
    <mergeCell ref="H122:I122"/>
    <mergeCell ref="H140:I140"/>
    <mergeCell ref="G144:J144"/>
    <mergeCell ref="H145:I145"/>
    <mergeCell ref="H152:I152"/>
    <mergeCell ref="L36:O36"/>
    <mergeCell ref="M37:N37"/>
    <mergeCell ref="G84:J84"/>
    <mergeCell ref="G52:J52"/>
    <mergeCell ref="G95:J95"/>
    <mergeCell ref="H61:I61"/>
    <mergeCell ref="G68:J68"/>
    <mergeCell ref="H69:I69"/>
    <mergeCell ref="H77:I77"/>
  </mergeCells>
  <conditionalFormatting sqref="D29:D31 D25:D27">
    <cfRule type="containsText" dxfId="30" priority="15" operator="containsText" text="FALSE">
      <formula>NOT(ISERROR(SEARCH("FALSE",D25)))</formula>
    </cfRule>
    <cfRule type="containsText" dxfId="29" priority="16" operator="containsText" text="TRUE">
      <formula>NOT(ISERROR(SEARCH("TRUE",D25)))</formula>
    </cfRule>
  </conditionalFormatting>
  <conditionalFormatting sqref="D84">
    <cfRule type="containsText" dxfId="28" priority="13" operator="containsText" text="FALSE">
      <formula>NOT(ISERROR(SEARCH("FALSE",D84)))</formula>
    </cfRule>
    <cfRule type="containsText" dxfId="27" priority="14" operator="containsText" text="TRUE">
      <formula>NOT(ISERROR(SEARCH("TRUE",D84)))</formula>
    </cfRule>
  </conditionalFormatting>
  <conditionalFormatting sqref="C61">
    <cfRule type="containsText" dxfId="26" priority="7" operator="containsText" text="FALSE">
      <formula>NOT(ISERROR(SEARCH("FALSE",C61)))</formula>
    </cfRule>
    <cfRule type="containsText" dxfId="25" priority="8" operator="containsText" text="TRUE">
      <formula>NOT(ISERROR(SEARCH("TRUE",C61)))</formula>
    </cfRule>
  </conditionalFormatting>
  <conditionalFormatting sqref="C147">
    <cfRule type="containsText" dxfId="24" priority="5" operator="containsText" text="FALSE">
      <formula>NOT(ISERROR(SEARCH("FALSE",C147)))</formula>
    </cfRule>
    <cfRule type="containsText" dxfId="23" priority="6" operator="containsText" text="TRUE">
      <formula>NOT(ISERROR(SEARCH("TRUE",C147)))</formula>
    </cfRule>
  </conditionalFormatting>
  <conditionalFormatting sqref="O32">
    <cfRule type="cellIs" dxfId="22" priority="1" operator="greaterThan">
      <formula>1.05</formula>
    </cfRule>
    <cfRule type="cellIs" dxfId="21" priority="2" operator="lessThan">
      <formula>0.95</formula>
    </cfRule>
    <cfRule type="cellIs" dxfId="20" priority="3" operator="between">
      <formula>0.985</formula>
      <formula>1.015</formula>
    </cfRule>
    <cfRule type="cellIs" dxfId="19" priority="4" operator="between">
      <formula>0.95</formula>
      <formula>1.05</formula>
    </cfRule>
  </conditionalFormatting>
  <hyperlinks>
    <hyperlink ref="E21" r:id="rId1" location=":~:text=Typically%2C%20a%20150%20bu%2Fac,Figure%203." xr:uid="{00000000-0004-0000-0000-000000000000}"/>
    <hyperlink ref="E9" r:id="rId2" location=":~:text=Considering%20an%20average%20percent%20emergence,2)." xr:uid="{00000000-0004-0000-0000-000001000000}"/>
    <hyperlink ref="E88" r:id="rId3" xr:uid="{00000000-0004-0000-0000-000002000000}"/>
    <hyperlink ref="E39" r:id="rId4" xr:uid="{00000000-0004-0000-0000-000003000000}"/>
    <hyperlink ref="E63" r:id="rId5" xr:uid="{00000000-0004-0000-0000-000004000000}"/>
    <hyperlink ref="J9" r:id="rId6" xr:uid="{00000000-0004-0000-0000-000005000000}"/>
    <hyperlink ref="J29" r:id="rId7" xr:uid="{00000000-0004-0000-0000-000006000000}"/>
    <hyperlink ref="J34" r:id="rId8" location=":~:text=The%20flow%2Drates%20and%20temperature,1%20%C2%B0C%E2%88%921)." xr:uid="{00000000-0004-0000-0000-000007000000}"/>
    <hyperlink ref="J44" r:id="rId9" xr:uid="{00000000-0004-0000-0000-000008000000}"/>
    <hyperlink ref="J48" r:id="rId10" xr:uid="{00000000-0004-0000-0000-000009000000}"/>
    <hyperlink ref="J77" r:id="rId11" xr:uid="{00000000-0004-0000-0000-00000A000000}"/>
    <hyperlink ref="O9" r:id="rId12" xr:uid="{00000000-0004-0000-0000-00000B000000}"/>
    <hyperlink ref="O10" r:id="rId13" location=":~:text=We%20found%20that%20producing%2086,optimal%20for%20thermal%20energy%20consumption.&amp;text=Hydrous%20ethanol%20production%20can%20reduce,and%20emissions%20by%20%E2%88%BC8%25.&amp;text=Hyd" xr:uid="{00000000-0004-0000-0000-00000C000000}"/>
    <hyperlink ref="O13" r:id="rId14" xr:uid="{00000000-0004-0000-0000-00000D000000}"/>
    <hyperlink ref="E74" r:id="rId15" xr:uid="{00000000-0004-0000-0000-00000E000000}"/>
    <hyperlink ref="J155" r:id="rId16" xr:uid="{00000000-0004-0000-0000-00000F000000}"/>
    <hyperlink ref="E148" r:id="rId17" xr:uid="{00000000-0004-0000-0000-000010000000}"/>
    <hyperlink ref="E34" r:id="rId18" xr:uid="{00000000-0004-0000-0000-000011000000}"/>
    <hyperlink ref="E105" r:id="rId19" xr:uid="{00000000-0004-0000-0000-000012000000}"/>
    <hyperlink ref="E125" r:id="rId20" location=":~:text=During%20photosynthesis%2C%20plants%20absorb%20carbon,(Illustration%20adapted%20from%20P.J." xr:uid="{00000000-0004-0000-0000-000013000000}"/>
  </hyperlinks>
  <pageMargins left="0.7" right="0.7" top="0.75" bottom="0.75" header="0.3" footer="0.3"/>
  <legacyDrawing r:id="rId2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00FF00"/>
  </sheetPr>
  <dimension ref="A1:AN134"/>
  <sheetViews>
    <sheetView topLeftCell="A34" zoomScale="85" zoomScaleNormal="85" workbookViewId="0">
      <selection activeCell="H42" sqref="H42"/>
    </sheetView>
  </sheetViews>
  <sheetFormatPr defaultRowHeight="14.4" x14ac:dyDescent="0.3"/>
  <cols>
    <col min="2" max="2" width="7.21875" style="54" customWidth="1"/>
    <col min="3" max="3" width="20.109375" style="54" customWidth="1"/>
    <col min="4" max="13" width="18.5546875" customWidth="1"/>
    <col min="14" max="14" width="10.109375" customWidth="1"/>
    <col min="15" max="15" width="10.77734375" style="54" customWidth="1"/>
    <col min="17" max="17" width="11.21875" customWidth="1"/>
    <col min="18" max="18" width="12.21875" customWidth="1"/>
    <col min="19" max="28" width="18.5546875" customWidth="1"/>
    <col min="31" max="40" width="18.5546875" customWidth="1"/>
  </cols>
  <sheetData>
    <row r="1" spans="1:15" ht="39.6" customHeight="1" x14ac:dyDescent="0.3">
      <c r="D1" s="283" t="s">
        <v>407</v>
      </c>
      <c r="E1" s="283"/>
      <c r="F1" s="283"/>
      <c r="G1" s="283"/>
      <c r="H1" s="283"/>
      <c r="I1" s="283"/>
      <c r="J1" s="283"/>
      <c r="K1" s="283"/>
      <c r="L1" s="283"/>
      <c r="M1" s="283"/>
    </row>
    <row r="2" spans="1:15" ht="37.799999999999997" customHeight="1" x14ac:dyDescent="0.3">
      <c r="C2" s="54" t="s">
        <v>421</v>
      </c>
      <c r="D2" s="71" t="s">
        <v>408</v>
      </c>
      <c r="E2" s="71" t="s">
        <v>409</v>
      </c>
      <c r="F2" s="71" t="s">
        <v>410</v>
      </c>
      <c r="G2" s="71" t="s">
        <v>411</v>
      </c>
      <c r="H2" s="71" t="s">
        <v>412</v>
      </c>
      <c r="I2" s="71" t="s">
        <v>413</v>
      </c>
      <c r="J2" s="71" t="s">
        <v>414</v>
      </c>
      <c r="K2" s="71" t="s">
        <v>415</v>
      </c>
      <c r="L2" s="71" t="s">
        <v>416</v>
      </c>
      <c r="M2" s="71" t="s">
        <v>417</v>
      </c>
      <c r="N2" s="50" t="s">
        <v>440</v>
      </c>
    </row>
    <row r="3" spans="1:15" x14ac:dyDescent="0.3">
      <c r="A3" s="282"/>
      <c r="B3" s="282"/>
      <c r="C3" s="54" t="s">
        <v>423</v>
      </c>
      <c r="D3">
        <v>3.8580000000000003E-2</v>
      </c>
      <c r="E3">
        <v>3.7730399999999999</v>
      </c>
      <c r="F3">
        <v>3.61E-2</v>
      </c>
      <c r="G3">
        <v>1.6543000000000001</v>
      </c>
      <c r="H3" s="68">
        <v>5.6301100000000001E-8</v>
      </c>
      <c r="I3" s="68">
        <v>1.58457E-7</v>
      </c>
      <c r="J3" s="68">
        <v>8.8655400000000004E-8</v>
      </c>
      <c r="K3">
        <v>0.11379</v>
      </c>
      <c r="L3">
        <v>0.83565</v>
      </c>
      <c r="M3">
        <v>2.2599999999999999E-3</v>
      </c>
      <c r="N3" t="s">
        <v>439</v>
      </c>
      <c r="O3" s="54" t="s">
        <v>443</v>
      </c>
    </row>
    <row r="4" spans="1:15" x14ac:dyDescent="0.3">
      <c r="A4" s="282"/>
      <c r="B4" s="282"/>
      <c r="C4" s="54" t="s">
        <v>424</v>
      </c>
      <c r="D4">
        <v>1.41E-3</v>
      </c>
      <c r="E4" s="68">
        <v>2.2372200000000002</v>
      </c>
      <c r="F4" s="68">
        <v>1.91E-3</v>
      </c>
      <c r="G4">
        <v>0.37251000000000001</v>
      </c>
      <c r="H4" s="68">
        <v>4.61062E-8</v>
      </c>
      <c r="I4" s="68">
        <v>8.45877E-8</v>
      </c>
      <c r="J4" s="68">
        <v>2.6435000000000001E-8</v>
      </c>
      <c r="K4" s="68">
        <v>1.7520000000000001E-2</v>
      </c>
      <c r="L4" s="68">
        <v>0.41002</v>
      </c>
      <c r="M4" s="68">
        <v>6.7000000000000002E-4</v>
      </c>
      <c r="N4" t="s">
        <v>441</v>
      </c>
      <c r="O4" s="54" t="s">
        <v>442</v>
      </c>
    </row>
    <row r="5" spans="1:15" x14ac:dyDescent="0.3">
      <c r="A5" s="282"/>
      <c r="B5" s="282"/>
      <c r="C5" s="55" t="s">
        <v>425</v>
      </c>
      <c r="D5">
        <v>1.8100000000000002E-2</v>
      </c>
      <c r="E5" s="68">
        <v>11.997719999999999</v>
      </c>
      <c r="F5" s="68">
        <v>5.8599999999999998E-3</v>
      </c>
      <c r="G5">
        <v>3.3584000000000001</v>
      </c>
      <c r="H5" s="68">
        <v>9.3520400000000001E-8</v>
      </c>
      <c r="I5" s="68">
        <v>5.5895099999999999E-7</v>
      </c>
      <c r="J5" s="68">
        <v>5.9734000000000003E-7</v>
      </c>
      <c r="K5" s="68">
        <v>0.10778</v>
      </c>
      <c r="L5" s="68">
        <v>7.5389099999999996</v>
      </c>
      <c r="M5" s="68">
        <v>3.0300000000000001E-3</v>
      </c>
      <c r="N5" t="s">
        <v>451</v>
      </c>
      <c r="O5" s="54" t="s">
        <v>445</v>
      </c>
    </row>
    <row r="6" spans="1:15" x14ac:dyDescent="0.3">
      <c r="A6" s="282"/>
      <c r="B6" s="282"/>
      <c r="C6" s="54" t="s">
        <v>426</v>
      </c>
      <c r="D6">
        <v>8.3700000000000007E-3</v>
      </c>
      <c r="E6">
        <v>7.4187799999999999</v>
      </c>
      <c r="F6">
        <v>5.4099999999999999E-3</v>
      </c>
      <c r="G6">
        <v>1.1305000000000001</v>
      </c>
      <c r="H6" s="68">
        <v>5.9694900000000001E-8</v>
      </c>
      <c r="I6" s="68">
        <v>4.13859E-7</v>
      </c>
      <c r="J6" s="68">
        <v>1.3561699999999999E-7</v>
      </c>
      <c r="K6">
        <v>0.15945000000000001</v>
      </c>
      <c r="L6">
        <v>1.6351</v>
      </c>
      <c r="M6">
        <v>1.73E-3</v>
      </c>
      <c r="N6" t="s">
        <v>444</v>
      </c>
      <c r="O6" s="54" t="s">
        <v>445</v>
      </c>
    </row>
    <row r="7" spans="1:15" x14ac:dyDescent="0.3">
      <c r="A7" s="282"/>
      <c r="B7" s="282"/>
      <c r="C7" s="54" t="s">
        <v>427</v>
      </c>
      <c r="D7" s="68">
        <v>2.0400000000000001E-3</v>
      </c>
      <c r="E7">
        <v>5.1751699999999996</v>
      </c>
      <c r="F7">
        <v>1.72E-3</v>
      </c>
      <c r="G7">
        <v>0.52849999999999997</v>
      </c>
      <c r="H7" s="68">
        <v>3.7701000000000001E-8</v>
      </c>
      <c r="I7" s="68">
        <v>2.4575199999999999E-7</v>
      </c>
      <c r="J7" s="68">
        <v>9.3607600000000005E-8</v>
      </c>
      <c r="K7">
        <v>2.7009999999999999E-2</v>
      </c>
      <c r="L7">
        <v>0.96584000000000003</v>
      </c>
      <c r="M7" s="68">
        <v>3.4000000000000002E-4</v>
      </c>
      <c r="N7" t="s">
        <v>446</v>
      </c>
      <c r="O7" s="54" t="s">
        <v>445</v>
      </c>
    </row>
    <row r="8" spans="1:15" x14ac:dyDescent="0.3">
      <c r="A8" s="282"/>
      <c r="B8" s="282"/>
      <c r="C8" s="54" t="s">
        <v>428</v>
      </c>
      <c r="D8">
        <v>3.15E-3</v>
      </c>
      <c r="E8">
        <v>0.21995999999999999</v>
      </c>
      <c r="F8">
        <v>2.9999999999999997E-4</v>
      </c>
      <c r="G8">
        <v>0.97606000000000004</v>
      </c>
      <c r="H8" s="68">
        <v>4.0926900000000003E-9</v>
      </c>
      <c r="I8" s="68">
        <v>8.1703200000000008E-9</v>
      </c>
      <c r="J8" s="68">
        <v>8.8547799999999996E-8</v>
      </c>
      <c r="K8" s="68">
        <v>4.761E-2</v>
      </c>
      <c r="L8" s="68">
        <v>0.60616999999999999</v>
      </c>
      <c r="M8" s="68">
        <v>2.5000000000000001E-4</v>
      </c>
      <c r="N8" t="s">
        <v>447</v>
      </c>
      <c r="O8" s="54" t="s">
        <v>445</v>
      </c>
    </row>
    <row r="9" spans="1:15" x14ac:dyDescent="0.3">
      <c r="A9" s="282"/>
      <c r="B9" s="282"/>
      <c r="C9" s="54" t="s">
        <v>54</v>
      </c>
      <c r="D9">
        <v>3.6819999999999999E-2</v>
      </c>
      <c r="E9">
        <v>42.264040000000001</v>
      </c>
      <c r="F9">
        <v>3.3300000000000003E-2</v>
      </c>
      <c r="G9">
        <v>8.8202200000000008</v>
      </c>
      <c r="H9" s="68">
        <v>4.5605400000000002E-7</v>
      </c>
      <c r="I9" s="68">
        <v>1.9692199999999998E-6</v>
      </c>
      <c r="J9" s="68">
        <v>1.9382599999999999E-6</v>
      </c>
      <c r="K9">
        <v>0.44130000000000003</v>
      </c>
      <c r="L9">
        <v>14.1059</v>
      </c>
      <c r="M9" s="68">
        <v>7.4900000000000001E-3</v>
      </c>
      <c r="N9" t="s">
        <v>448</v>
      </c>
      <c r="O9" s="54" t="s">
        <v>445</v>
      </c>
    </row>
    <row r="10" spans="1:15" x14ac:dyDescent="0.3">
      <c r="A10" s="72"/>
      <c r="B10" s="72"/>
      <c r="C10" s="54" t="s">
        <v>457</v>
      </c>
      <c r="D10">
        <v>0.36276000000000003</v>
      </c>
      <c r="E10">
        <v>270.84419000000003</v>
      </c>
      <c r="F10">
        <v>0.14602999999999999</v>
      </c>
      <c r="G10">
        <v>57.131450000000001</v>
      </c>
      <c r="H10" s="68">
        <v>5.28846E-6</v>
      </c>
      <c r="I10" s="68">
        <v>9.9845999999999992E-6</v>
      </c>
      <c r="J10" s="68">
        <v>7.6537900000000005E-6</v>
      </c>
      <c r="K10" s="68">
        <v>7.9703499999999998</v>
      </c>
      <c r="L10" s="68">
        <v>66.697630000000004</v>
      </c>
      <c r="M10" s="68">
        <v>7.8369999999999995E-2</v>
      </c>
      <c r="N10" t="s">
        <v>461</v>
      </c>
      <c r="O10" s="66" t="s">
        <v>443</v>
      </c>
    </row>
    <row r="11" spans="1:15" x14ac:dyDescent="0.3">
      <c r="A11" s="72"/>
      <c r="B11" s="72"/>
      <c r="C11" s="66" t="s">
        <v>466</v>
      </c>
      <c r="D11">
        <v>0.13045000000000001</v>
      </c>
      <c r="E11">
        <v>83.376099999999994</v>
      </c>
      <c r="F11">
        <v>4.3459999999999999E-2</v>
      </c>
      <c r="G11">
        <v>17.24485</v>
      </c>
      <c r="H11" s="68">
        <v>1.03678E-6</v>
      </c>
      <c r="I11" s="68">
        <v>3.7643300000000001E-6</v>
      </c>
      <c r="J11" s="68">
        <v>3.0117599999999999E-6</v>
      </c>
      <c r="K11" s="68">
        <v>3.17198</v>
      </c>
      <c r="L11" s="68">
        <v>26.205690000000001</v>
      </c>
      <c r="M11" s="68">
        <v>1.9990000000000001E-2</v>
      </c>
      <c r="N11" t="s">
        <v>459</v>
      </c>
      <c r="O11" s="66" t="s">
        <v>443</v>
      </c>
    </row>
    <row r="12" spans="1:15" x14ac:dyDescent="0.3">
      <c r="A12" s="72"/>
      <c r="B12" s="72"/>
      <c r="C12" s="66" t="s">
        <v>456</v>
      </c>
      <c r="D12">
        <v>0.88478000000000001</v>
      </c>
      <c r="E12">
        <v>547.03817000000004</v>
      </c>
      <c r="F12">
        <v>0.28473999999999999</v>
      </c>
      <c r="G12">
        <v>113.82844</v>
      </c>
      <c r="H12" s="68">
        <v>6.6293199999999999E-6</v>
      </c>
      <c r="I12" s="68">
        <v>2.48619E-5</v>
      </c>
      <c r="J12" s="68">
        <v>2.01212E-5</v>
      </c>
      <c r="K12" s="68">
        <v>21.88522</v>
      </c>
      <c r="L12" s="68">
        <v>174.78767999999999</v>
      </c>
      <c r="M12" s="68">
        <v>7.4770000000000003E-2</v>
      </c>
      <c r="N12" t="s">
        <v>460</v>
      </c>
      <c r="O12" s="66" t="s">
        <v>443</v>
      </c>
    </row>
    <row r="13" spans="1:15" x14ac:dyDescent="0.3">
      <c r="A13" s="72"/>
      <c r="B13" s="72"/>
      <c r="C13" s="54" t="s">
        <v>458</v>
      </c>
      <c r="D13">
        <v>0.29953999999999997</v>
      </c>
      <c r="E13">
        <v>77.610789999999994</v>
      </c>
      <c r="F13">
        <v>5.6489999999999999E-2</v>
      </c>
      <c r="G13">
        <v>33.603029999999997</v>
      </c>
      <c r="H13" s="68">
        <v>1.10935E-6</v>
      </c>
      <c r="I13" s="68">
        <v>3.3766399999999998E-6</v>
      </c>
      <c r="J13" s="68">
        <v>6.9960399999999999E-6</v>
      </c>
      <c r="K13" s="68">
        <v>8.4742300000000004</v>
      </c>
      <c r="L13" s="68">
        <v>59.1584</v>
      </c>
      <c r="M13" s="68">
        <v>3.7280000000000001E-2</v>
      </c>
      <c r="N13" t="s">
        <v>462</v>
      </c>
      <c r="O13" s="66" t="s">
        <v>443</v>
      </c>
    </row>
    <row r="14" spans="1:15" x14ac:dyDescent="0.3">
      <c r="A14" s="72"/>
      <c r="B14" s="72"/>
      <c r="C14" s="66" t="s">
        <v>463</v>
      </c>
      <c r="D14">
        <v>2.7499999999999998E-3</v>
      </c>
      <c r="E14">
        <v>0.91886000000000001</v>
      </c>
      <c r="F14">
        <v>9.8999999999999999E-4</v>
      </c>
      <c r="G14">
        <v>0.44936999999999999</v>
      </c>
      <c r="H14" s="68">
        <v>1.7480799999999999E-8</v>
      </c>
      <c r="I14" s="68">
        <v>4.1644300000000002E-8</v>
      </c>
      <c r="J14" s="68">
        <v>1.19081E-8</v>
      </c>
      <c r="K14" s="68">
        <v>2.1440000000000001E-2</v>
      </c>
      <c r="L14" s="68">
        <v>0.14374000000000001</v>
      </c>
      <c r="M14" s="68">
        <v>3.2000000000000003E-4</v>
      </c>
      <c r="N14" t="s">
        <v>464</v>
      </c>
      <c r="O14" s="66" t="s">
        <v>465</v>
      </c>
    </row>
    <row r="15" spans="1:15" x14ac:dyDescent="0.3">
      <c r="A15" s="72"/>
      <c r="B15" s="72"/>
      <c r="C15" s="66" t="s">
        <v>468</v>
      </c>
      <c r="D15">
        <v>3.363E-2</v>
      </c>
      <c r="E15">
        <v>13.99701</v>
      </c>
      <c r="F15">
        <v>8.8400000000000006E-3</v>
      </c>
      <c r="G15">
        <v>4.3605299999999998</v>
      </c>
      <c r="H15" s="68">
        <v>2.3195300000000001E-7</v>
      </c>
      <c r="I15" s="68">
        <v>5.7852399999999997E-7</v>
      </c>
      <c r="J15" s="68">
        <v>8.0178299999999995E-7</v>
      </c>
      <c r="K15" s="68">
        <v>0.87414999999999998</v>
      </c>
      <c r="L15" s="68">
        <v>6.85717</v>
      </c>
      <c r="M15" s="68">
        <v>5.8500000000000002E-3</v>
      </c>
      <c r="N15" t="s">
        <v>471</v>
      </c>
      <c r="O15" s="66" t="s">
        <v>470</v>
      </c>
    </row>
    <row r="16" spans="1:15" x14ac:dyDescent="0.3">
      <c r="A16" s="72"/>
      <c r="B16" s="72"/>
      <c r="C16" s="54" t="s">
        <v>467</v>
      </c>
      <c r="D16">
        <v>1.213E-2</v>
      </c>
      <c r="E16">
        <v>1.7846</v>
      </c>
      <c r="F16">
        <v>1.8E-3</v>
      </c>
      <c r="G16">
        <v>1.3833200000000001</v>
      </c>
      <c r="H16" s="68">
        <v>2.5667999999999999E-8</v>
      </c>
      <c r="I16" s="68">
        <v>7.7519799999999998E-8</v>
      </c>
      <c r="J16" s="68">
        <v>3.1462699999999998E-7</v>
      </c>
      <c r="K16" s="68">
        <v>0.35165999999999997</v>
      </c>
      <c r="L16" s="68">
        <v>2.64039</v>
      </c>
      <c r="M16" s="68">
        <v>1.75E-3</v>
      </c>
      <c r="N16" t="s">
        <v>469</v>
      </c>
      <c r="O16" s="54" t="s">
        <v>470</v>
      </c>
    </row>
    <row r="17" spans="1:32" x14ac:dyDescent="0.3">
      <c r="A17" s="282"/>
      <c r="B17" s="282"/>
      <c r="C17" s="54" t="s">
        <v>473</v>
      </c>
      <c r="D17">
        <v>1.33E-3</v>
      </c>
      <c r="E17">
        <v>0.83613000000000004</v>
      </c>
      <c r="F17">
        <v>5.0000000000000001E-4</v>
      </c>
      <c r="G17">
        <v>0.21273</v>
      </c>
      <c r="H17" s="68">
        <v>2.06647E-8</v>
      </c>
      <c r="I17" s="68">
        <v>3.5711500000000002E-8</v>
      </c>
      <c r="J17" s="68">
        <v>2.81763E-8</v>
      </c>
      <c r="K17" s="68">
        <v>2.7210000000000002E-2</v>
      </c>
      <c r="L17" s="68">
        <v>0.25014999999999998</v>
      </c>
      <c r="M17" s="68">
        <v>2.5999999999999998E-4</v>
      </c>
      <c r="N17" t="s">
        <v>472</v>
      </c>
      <c r="O17" s="54" t="s">
        <v>474</v>
      </c>
      <c r="P17" s="3"/>
      <c r="Q17" s="3"/>
      <c r="R17" s="3"/>
      <c r="S17" s="3"/>
      <c r="T17" s="3"/>
      <c r="U17" s="3"/>
      <c r="V17" s="3"/>
      <c r="W17" s="3"/>
      <c r="X17" s="3"/>
      <c r="Y17" s="3"/>
      <c r="Z17" s="3"/>
      <c r="AA17" s="3"/>
      <c r="AB17" s="3"/>
      <c r="AC17" s="3"/>
      <c r="AD17" s="3"/>
      <c r="AE17" s="3"/>
      <c r="AF17" s="3"/>
    </row>
    <row r="18" spans="1:32" ht="14.4" customHeight="1" x14ac:dyDescent="0.3">
      <c r="A18" s="72"/>
      <c r="B18" s="72"/>
      <c r="C18" s="66" t="s">
        <v>481</v>
      </c>
      <c r="D18">
        <v>1.01E-3</v>
      </c>
      <c r="E18">
        <v>0.42836000000000002</v>
      </c>
      <c r="F18">
        <v>1.9000000000000001E-4</v>
      </c>
      <c r="G18">
        <v>0.16350999999999999</v>
      </c>
      <c r="H18" s="68">
        <v>4.7793699999999998E-9</v>
      </c>
      <c r="I18" s="68">
        <v>1.6463700000000001E-8</v>
      </c>
      <c r="J18" s="68">
        <v>4.0467299999999997E-8</v>
      </c>
      <c r="K18" s="68">
        <v>2.7570000000000001E-2</v>
      </c>
      <c r="L18" s="68">
        <v>0.33983999999999998</v>
      </c>
      <c r="M18" s="68">
        <v>9.7881700000000002E-5</v>
      </c>
      <c r="N18" t="s">
        <v>479</v>
      </c>
      <c r="O18" s="66" t="s">
        <v>480</v>
      </c>
      <c r="P18" s="3"/>
      <c r="Q18" s="3"/>
      <c r="R18" s="3"/>
      <c r="S18" s="3"/>
      <c r="T18" s="3"/>
      <c r="U18" s="3"/>
      <c r="V18" s="3"/>
      <c r="W18" s="3"/>
      <c r="X18" s="3"/>
      <c r="Y18" s="3"/>
      <c r="Z18" s="3"/>
      <c r="AA18" s="3"/>
      <c r="AB18" s="3"/>
      <c r="AC18" s="3"/>
      <c r="AD18" s="3"/>
      <c r="AE18" s="3"/>
      <c r="AF18" s="3"/>
    </row>
    <row r="19" spans="1:32" ht="14.4" customHeight="1" x14ac:dyDescent="0.3">
      <c r="A19" s="73"/>
      <c r="B19" s="73"/>
      <c r="C19" s="66" t="s">
        <v>477</v>
      </c>
      <c r="D19" s="68">
        <v>6.0754600000000003E-5</v>
      </c>
      <c r="E19">
        <v>3.4770000000000002E-2</v>
      </c>
      <c r="F19" s="68">
        <v>1.7603200000000001E-5</v>
      </c>
      <c r="G19">
        <v>7.5620000000000007E-2</v>
      </c>
      <c r="H19" s="68">
        <v>6.79297E-10</v>
      </c>
      <c r="I19" s="68">
        <v>1.5251500000000001E-9</v>
      </c>
      <c r="J19" s="68">
        <v>1.19528E-8</v>
      </c>
      <c r="K19" s="68">
        <v>1.0200000000000001E-3</v>
      </c>
      <c r="L19" s="68">
        <v>0.16972000000000001</v>
      </c>
      <c r="M19" s="68">
        <v>6.1555800000000003E-6</v>
      </c>
      <c r="N19" t="s">
        <v>478</v>
      </c>
      <c r="O19" s="66" t="s">
        <v>474</v>
      </c>
      <c r="P19" s="3"/>
      <c r="Q19" s="3"/>
      <c r="R19" s="3"/>
      <c r="S19" s="3"/>
      <c r="T19" s="3"/>
      <c r="U19" s="3"/>
      <c r="V19" s="3"/>
      <c r="W19" s="3"/>
      <c r="X19" s="3"/>
      <c r="Y19" s="3"/>
      <c r="Z19" s="3"/>
      <c r="AA19" s="3"/>
      <c r="AB19" s="3"/>
      <c r="AC19" s="3"/>
      <c r="AD19" s="3"/>
      <c r="AE19" s="3"/>
      <c r="AF19" s="3"/>
    </row>
    <row r="20" spans="1:32" ht="14.4" customHeight="1" x14ac:dyDescent="0.3">
      <c r="A20" s="73"/>
      <c r="B20" s="73"/>
      <c r="C20" s="54" t="s">
        <v>475</v>
      </c>
      <c r="D20">
        <v>2.7699999999999999E-3</v>
      </c>
      <c r="E20">
        <v>5.8578700000000001</v>
      </c>
      <c r="F20">
        <v>7.9399999999999991E-3</v>
      </c>
      <c r="G20">
        <v>0.77376999999999996</v>
      </c>
      <c r="H20" s="68">
        <v>8.2953800000000005E-8</v>
      </c>
      <c r="I20" s="68">
        <v>2.3481900000000001E-7</v>
      </c>
      <c r="J20" s="68">
        <v>3.19017E-8</v>
      </c>
      <c r="K20" s="68">
        <v>2.4910000000000002E-2</v>
      </c>
      <c r="L20" s="68">
        <v>0.16850000000000001</v>
      </c>
      <c r="M20" s="68">
        <v>2.8E-3</v>
      </c>
      <c r="N20" t="s">
        <v>611</v>
      </c>
      <c r="O20" s="54" t="s">
        <v>476</v>
      </c>
      <c r="P20" s="3"/>
      <c r="Q20" s="3"/>
      <c r="R20" s="3"/>
      <c r="S20" s="3"/>
      <c r="T20" s="3"/>
      <c r="U20" s="3"/>
      <c r="V20" s="3"/>
      <c r="W20" s="3"/>
      <c r="X20" s="3"/>
      <c r="Y20" s="3"/>
      <c r="Z20" s="3"/>
      <c r="AA20" s="3"/>
      <c r="AB20" s="3"/>
      <c r="AC20" s="3"/>
      <c r="AD20" s="3"/>
      <c r="AE20" s="3"/>
      <c r="AF20" s="3"/>
    </row>
    <row r="21" spans="1:32" s="43" customFormat="1" ht="13.2" customHeight="1" x14ac:dyDescent="0.3">
      <c r="A21" s="67"/>
      <c r="B21" s="73"/>
      <c r="C21" s="54" t="s">
        <v>429</v>
      </c>
      <c r="D21" s="68">
        <v>3.3444199999999998E-6</v>
      </c>
      <c r="E21">
        <v>2.3500000000000001E-3</v>
      </c>
      <c r="F21" s="68">
        <v>2.6391100000000001E-6</v>
      </c>
      <c r="G21">
        <v>7.5000000000000002E-4</v>
      </c>
      <c r="H21" s="68">
        <v>4.0996800000000002E-11</v>
      </c>
      <c r="I21" s="68">
        <v>1.1062E-11</v>
      </c>
      <c r="J21" s="68">
        <v>4.3034599999999998E-11</v>
      </c>
      <c r="K21" s="68">
        <v>3.7761400000000001E-5</v>
      </c>
      <c r="L21" s="68">
        <v>4.6000000000000001E-4</v>
      </c>
      <c r="M21" s="68">
        <v>1.0899900000000001E-6</v>
      </c>
      <c r="N21" t="s">
        <v>449</v>
      </c>
      <c r="O21" s="54" t="s">
        <v>445</v>
      </c>
      <c r="P21" s="3"/>
      <c r="Q21" s="3"/>
      <c r="R21" s="3"/>
      <c r="S21" s="3"/>
      <c r="T21" s="3"/>
      <c r="U21" s="3"/>
      <c r="V21" s="3"/>
      <c r="W21" s="3"/>
      <c r="X21" s="3"/>
      <c r="Y21" s="3"/>
      <c r="Z21" s="3"/>
      <c r="AA21" s="3"/>
      <c r="AB21" s="3"/>
      <c r="AC21" s="3"/>
      <c r="AD21" s="3"/>
      <c r="AE21" s="3"/>
      <c r="AF21" s="3"/>
    </row>
    <row r="22" spans="1:32" ht="15.6" customHeight="1" x14ac:dyDescent="0.3">
      <c r="A22" s="78"/>
      <c r="B22" s="78"/>
      <c r="C22" s="54" t="s">
        <v>430</v>
      </c>
      <c r="D22">
        <v>7.1000000000000004E-3</v>
      </c>
      <c r="E22">
        <v>2.00041</v>
      </c>
      <c r="F22" s="68">
        <v>6.9999999999999999E-4</v>
      </c>
      <c r="G22">
        <v>0.11217000000000001</v>
      </c>
      <c r="H22" s="68">
        <v>1.30666E-8</v>
      </c>
      <c r="I22" s="68">
        <v>9.3693099999999996E-8</v>
      </c>
      <c r="J22" s="68">
        <v>4.92528E-8</v>
      </c>
      <c r="K22" s="68">
        <v>1.8960000000000001E-2</v>
      </c>
      <c r="L22" s="68">
        <v>0.90805999999999998</v>
      </c>
      <c r="M22" s="68">
        <v>4.8999999999999998E-4</v>
      </c>
      <c r="N22" t="s">
        <v>450</v>
      </c>
      <c r="O22" s="54" t="s">
        <v>445</v>
      </c>
      <c r="P22" s="3"/>
      <c r="Q22" s="3"/>
      <c r="R22" s="3"/>
      <c r="S22" s="3"/>
      <c r="T22" s="3"/>
      <c r="U22" s="3"/>
      <c r="V22" s="3"/>
      <c r="W22" s="3"/>
      <c r="X22" s="3"/>
      <c r="Y22" s="3"/>
      <c r="Z22" s="3"/>
      <c r="AA22" s="3"/>
      <c r="AB22" s="3"/>
      <c r="AC22" s="3"/>
      <c r="AD22" s="3"/>
      <c r="AE22" s="3"/>
      <c r="AF22" s="3"/>
    </row>
    <row r="23" spans="1:32" x14ac:dyDescent="0.3">
      <c r="A23" s="78"/>
      <c r="B23" s="78"/>
      <c r="C23" s="54" t="s">
        <v>431</v>
      </c>
      <c r="D23" s="1">
        <v>4.4900000000000001E-3</v>
      </c>
      <c r="E23" s="1">
        <v>3.9368599999999998</v>
      </c>
      <c r="F23" s="1">
        <v>1.7099999999999999E-3</v>
      </c>
      <c r="G23" s="1">
        <v>1.9076900000000001</v>
      </c>
      <c r="H23" s="157">
        <v>2.92462E-8</v>
      </c>
      <c r="I23" s="157">
        <v>1.76622E-7</v>
      </c>
      <c r="J23" s="157">
        <v>3.5444100000000002E-7</v>
      </c>
      <c r="K23" s="1">
        <v>5.0169999999999999E-2</v>
      </c>
      <c r="L23" s="1">
        <v>5.0208899999999996</v>
      </c>
      <c r="M23" s="1">
        <v>7.2999999999999996E-4</v>
      </c>
      <c r="N23" t="s">
        <v>509</v>
      </c>
      <c r="O23" s="54" t="s">
        <v>445</v>
      </c>
    </row>
    <row r="24" spans="1:32" x14ac:dyDescent="0.3">
      <c r="A24" s="78"/>
      <c r="B24" s="78"/>
      <c r="C24" s="120" t="s">
        <v>432</v>
      </c>
      <c r="D24">
        <v>1.004E-2</v>
      </c>
      <c r="E24">
        <v>10.16409</v>
      </c>
      <c r="F24">
        <v>1.916E-2</v>
      </c>
      <c r="G24">
        <v>1.4872399999999999</v>
      </c>
      <c r="H24" s="68">
        <v>8.2877499999999996E-8</v>
      </c>
      <c r="I24" s="68">
        <v>4.0380499999999998E-7</v>
      </c>
      <c r="J24" s="68">
        <v>1.54231E-7</v>
      </c>
      <c r="K24" s="68">
        <v>8.3430000000000004E-2</v>
      </c>
      <c r="L24" s="68">
        <v>1.4336599999999999</v>
      </c>
      <c r="M24" s="68">
        <v>1.4300000000000001E-3</v>
      </c>
      <c r="N24" t="s">
        <v>452</v>
      </c>
      <c r="O24" s="54" t="s">
        <v>445</v>
      </c>
    </row>
    <row r="25" spans="1:32" x14ac:dyDescent="0.3">
      <c r="A25" s="78"/>
      <c r="B25" s="123"/>
      <c r="C25" s="121" t="s">
        <v>433</v>
      </c>
      <c r="D25">
        <v>4.9540000000000001E-2</v>
      </c>
      <c r="E25">
        <v>4.1063299999999998</v>
      </c>
      <c r="F25">
        <v>2.4099999999999998E-3</v>
      </c>
      <c r="G25">
        <v>0.39594000000000001</v>
      </c>
      <c r="H25" s="68">
        <v>3.46661E-8</v>
      </c>
      <c r="I25" s="68">
        <v>1.8729200000000001E-7</v>
      </c>
      <c r="J25" s="68">
        <v>1.3589699999999999E-7</v>
      </c>
      <c r="K25" s="68">
        <v>1.678E-2</v>
      </c>
      <c r="L25" s="68">
        <v>2.3723399999999999</v>
      </c>
      <c r="M25" s="68">
        <v>3.1900000000000001E-3</v>
      </c>
      <c r="N25" t="s">
        <v>453</v>
      </c>
      <c r="O25" s="54" t="s">
        <v>445</v>
      </c>
    </row>
    <row r="26" spans="1:32" x14ac:dyDescent="0.3">
      <c r="A26" s="78"/>
      <c r="B26" s="78"/>
      <c r="C26" s="122" t="s">
        <v>434</v>
      </c>
      <c r="D26" s="1">
        <v>8.4600000000000005E-3</v>
      </c>
      <c r="E26" s="157">
        <v>5.0424600000000002E-6</v>
      </c>
      <c r="F26" s="1">
        <v>1.3999999999999999E-4</v>
      </c>
      <c r="G26" s="1">
        <v>8.9700000000000005E-3</v>
      </c>
      <c r="H26" s="157">
        <v>3.18618E-14</v>
      </c>
      <c r="I26" s="157">
        <v>3.2638199999999999E-15</v>
      </c>
      <c r="J26" s="157">
        <v>0</v>
      </c>
      <c r="K26" s="157">
        <v>7.3999999999999999E-4</v>
      </c>
      <c r="L26" s="157">
        <v>1.133E-2</v>
      </c>
      <c r="M26" s="157">
        <v>5.1000000000000004E-4</v>
      </c>
      <c r="N26" s="68" t="s">
        <v>493</v>
      </c>
      <c r="O26" s="54" t="s">
        <v>445</v>
      </c>
    </row>
    <row r="27" spans="1:32" x14ac:dyDescent="0.3">
      <c r="A27" s="78"/>
      <c r="B27" s="78"/>
      <c r="C27" s="55" t="s">
        <v>435</v>
      </c>
      <c r="D27">
        <v>9.5499999999999995E-3</v>
      </c>
      <c r="E27">
        <v>15.38213</v>
      </c>
      <c r="F27">
        <v>6.0099999999999997E-3</v>
      </c>
      <c r="G27">
        <v>2.1245799999999999</v>
      </c>
      <c r="H27" s="68">
        <v>1.17521E-7</v>
      </c>
      <c r="I27" s="68">
        <v>7.3343499999999995E-7</v>
      </c>
      <c r="J27" s="68">
        <v>1.7277400000000001E-7</v>
      </c>
      <c r="K27">
        <v>8.6010000000000003E-2</v>
      </c>
      <c r="L27">
        <v>2.5118200000000002</v>
      </c>
      <c r="M27">
        <v>1.4499999999999999E-3</v>
      </c>
      <c r="N27" t="s">
        <v>508</v>
      </c>
      <c r="O27" s="54" t="s">
        <v>445</v>
      </c>
    </row>
    <row r="28" spans="1:32" x14ac:dyDescent="0.3">
      <c r="A28" s="78"/>
      <c r="B28" s="78"/>
      <c r="C28" s="55" t="s">
        <v>437</v>
      </c>
      <c r="D28">
        <v>2.2000000000000001E-3</v>
      </c>
      <c r="E28">
        <v>1.3925399999999999</v>
      </c>
      <c r="F28">
        <v>1.6199999999999999E-3</v>
      </c>
      <c r="G28">
        <v>0.46973999999999999</v>
      </c>
      <c r="H28" s="68">
        <v>2.36678E-8</v>
      </c>
      <c r="I28" s="68">
        <v>6.5518799999999995E-8</v>
      </c>
      <c r="J28" s="68">
        <v>2.3159400000000001E-8</v>
      </c>
      <c r="K28" s="68">
        <v>2.598E-2</v>
      </c>
      <c r="L28" s="68">
        <v>0.28538000000000002</v>
      </c>
      <c r="M28" s="68">
        <v>8.3000000000000001E-4</v>
      </c>
      <c r="N28" t="s">
        <v>455</v>
      </c>
      <c r="O28" s="54" t="s">
        <v>445</v>
      </c>
    </row>
    <row r="29" spans="1:32" x14ac:dyDescent="0.3">
      <c r="A29" s="78"/>
      <c r="B29" s="78"/>
      <c r="C29" s="54" t="s">
        <v>438</v>
      </c>
      <c r="D29">
        <v>7.7200000000000003E-3</v>
      </c>
      <c r="E29">
        <v>7.1994199999999999</v>
      </c>
      <c r="F29">
        <v>3.7200000000000002E-3</v>
      </c>
      <c r="G29">
        <v>0.88746999999999998</v>
      </c>
      <c r="H29" s="68">
        <v>5.9127100000000003E-8</v>
      </c>
      <c r="I29" s="68">
        <v>3.4331900000000001E-7</v>
      </c>
      <c r="J29" s="68">
        <v>3.9493799999999999E-8</v>
      </c>
      <c r="K29">
        <v>4.444E-2</v>
      </c>
      <c r="L29">
        <v>0.37431999999999999</v>
      </c>
      <c r="M29" s="68">
        <v>8.1999999999999998E-4</v>
      </c>
      <c r="N29" t="s">
        <v>454</v>
      </c>
      <c r="O29" s="54" t="s">
        <v>445</v>
      </c>
    </row>
    <row r="30" spans="1:32" x14ac:dyDescent="0.3">
      <c r="A30" s="78"/>
      <c r="B30" s="78"/>
      <c r="C30" s="54" t="s">
        <v>603</v>
      </c>
      <c r="D30" s="133">
        <v>0</v>
      </c>
      <c r="E30" s="133">
        <v>0</v>
      </c>
      <c r="F30" s="133">
        <v>0</v>
      </c>
      <c r="G30" s="133">
        <v>2.2499999999999998E-3</v>
      </c>
      <c r="H30" s="134">
        <v>0</v>
      </c>
      <c r="I30" s="134">
        <v>0</v>
      </c>
      <c r="J30" s="134">
        <v>0</v>
      </c>
      <c r="K30" s="134">
        <v>0</v>
      </c>
      <c r="L30" s="134">
        <v>0</v>
      </c>
      <c r="M30" s="134">
        <v>0</v>
      </c>
      <c r="N30" t="s">
        <v>609</v>
      </c>
      <c r="O30" s="54" t="s">
        <v>604</v>
      </c>
    </row>
    <row r="31" spans="1:32" x14ac:dyDescent="0.3">
      <c r="A31" s="78"/>
      <c r="B31" s="78"/>
      <c r="C31" s="76" t="s">
        <v>623</v>
      </c>
      <c r="D31" s="133">
        <v>0</v>
      </c>
      <c r="E31" s="133">
        <v>0</v>
      </c>
      <c r="F31" s="133">
        <v>0</v>
      </c>
      <c r="G31" s="133">
        <v>2.62</v>
      </c>
      <c r="H31" s="134">
        <v>0</v>
      </c>
      <c r="I31" s="134">
        <v>0</v>
      </c>
      <c r="J31" s="134">
        <v>0</v>
      </c>
      <c r="K31" s="134">
        <v>0</v>
      </c>
      <c r="L31" s="134">
        <v>0</v>
      </c>
      <c r="M31" s="134">
        <v>0</v>
      </c>
      <c r="O31" s="75" t="s">
        <v>445</v>
      </c>
    </row>
    <row r="32" spans="1:32" x14ac:dyDescent="0.3">
      <c r="A32" s="78"/>
      <c r="B32" s="78"/>
      <c r="C32" s="76" t="s">
        <v>628</v>
      </c>
      <c r="D32" s="133">
        <v>0</v>
      </c>
      <c r="E32" s="133">
        <v>0</v>
      </c>
      <c r="F32" s="133">
        <v>0</v>
      </c>
      <c r="G32" s="133">
        <v>1.3</v>
      </c>
      <c r="H32" s="134">
        <v>0</v>
      </c>
      <c r="I32" s="134">
        <v>0</v>
      </c>
      <c r="J32" s="134">
        <v>0</v>
      </c>
      <c r="K32" s="134">
        <v>0</v>
      </c>
      <c r="L32" s="134">
        <v>0</v>
      </c>
      <c r="M32" s="134">
        <v>0</v>
      </c>
      <c r="O32" s="75" t="s">
        <v>445</v>
      </c>
    </row>
    <row r="33" spans="1:19" x14ac:dyDescent="0.3">
      <c r="A33" s="78"/>
      <c r="B33" s="78"/>
      <c r="C33" s="70" t="s">
        <v>422</v>
      </c>
      <c r="D33" s="68">
        <v>0</v>
      </c>
      <c r="E33" s="68">
        <v>0</v>
      </c>
      <c r="F33" s="68">
        <v>0</v>
      </c>
      <c r="G33" s="68">
        <v>0</v>
      </c>
      <c r="H33" s="68">
        <v>0</v>
      </c>
      <c r="I33" s="68">
        <v>0</v>
      </c>
      <c r="J33" s="68">
        <v>0</v>
      </c>
      <c r="K33" s="68">
        <v>0</v>
      </c>
      <c r="L33" s="68">
        <v>0</v>
      </c>
      <c r="M33" s="68">
        <v>0</v>
      </c>
    </row>
    <row r="34" spans="1:19" x14ac:dyDescent="0.3">
      <c r="A34" s="78"/>
      <c r="B34" s="78"/>
      <c r="C34" s="70" t="s">
        <v>606</v>
      </c>
      <c r="D34" s="68"/>
      <c r="E34" s="68"/>
      <c r="F34" s="68"/>
      <c r="G34" s="68"/>
      <c r="H34" s="68"/>
      <c r="I34" s="68"/>
      <c r="J34" s="68"/>
      <c r="K34" s="68"/>
      <c r="L34" s="68"/>
      <c r="M34" s="68"/>
      <c r="O34" s="75"/>
    </row>
    <row r="35" spans="1:19" x14ac:dyDescent="0.3">
      <c r="A35" s="78"/>
      <c r="B35" s="78"/>
      <c r="C35" s="70" t="s">
        <v>436</v>
      </c>
      <c r="D35" s="68">
        <v>0</v>
      </c>
      <c r="E35" s="68">
        <v>0</v>
      </c>
      <c r="F35" s="68">
        <v>0</v>
      </c>
      <c r="G35" s="68">
        <v>0</v>
      </c>
      <c r="H35" s="68">
        <v>0</v>
      </c>
      <c r="I35" s="68">
        <v>0</v>
      </c>
      <c r="J35" s="68">
        <v>0</v>
      </c>
      <c r="K35" s="68">
        <v>0</v>
      </c>
      <c r="L35" s="68">
        <v>0</v>
      </c>
      <c r="M35" s="68">
        <v>0</v>
      </c>
    </row>
    <row r="36" spans="1:19" x14ac:dyDescent="0.3">
      <c r="A36" s="43"/>
      <c r="B36" s="69"/>
      <c r="C36" s="69"/>
      <c r="D36" s="43"/>
      <c r="E36" s="43"/>
      <c r="F36" s="43"/>
      <c r="G36" s="43"/>
      <c r="H36" s="43"/>
      <c r="I36" s="43"/>
      <c r="J36" s="43"/>
      <c r="K36" s="43"/>
      <c r="L36" s="43"/>
      <c r="M36" s="43"/>
      <c r="N36" s="43"/>
      <c r="O36" s="69"/>
    </row>
    <row r="38" spans="1:19" x14ac:dyDescent="0.3">
      <c r="A38" s="77"/>
      <c r="B38" s="77"/>
      <c r="C38" s="65"/>
    </row>
    <row r="39" spans="1:19" ht="43.2" x14ac:dyDescent="0.3">
      <c r="A39" s="77"/>
      <c r="B39" s="77" t="s">
        <v>494</v>
      </c>
      <c r="C39" s="66" t="s">
        <v>421</v>
      </c>
      <c r="D39" s="71" t="s">
        <v>408</v>
      </c>
      <c r="E39" s="71" t="s">
        <v>409</v>
      </c>
      <c r="F39" s="71" t="s">
        <v>410</v>
      </c>
      <c r="G39" s="71" t="s">
        <v>411</v>
      </c>
      <c r="H39" s="71" t="s">
        <v>412</v>
      </c>
      <c r="I39" s="71" t="s">
        <v>413</v>
      </c>
      <c r="J39" s="71" t="s">
        <v>414</v>
      </c>
      <c r="K39" s="71" t="s">
        <v>415</v>
      </c>
      <c r="L39" s="71" t="s">
        <v>416</v>
      </c>
      <c r="M39" s="71" t="s">
        <v>417</v>
      </c>
      <c r="N39" s="297"/>
    </row>
    <row r="40" spans="1:19" x14ac:dyDescent="0.3">
      <c r="A40" s="77"/>
      <c r="B40" s="77">
        <f>Seeds_Per_Acre_Input</f>
        <v>17.694593626924501</v>
      </c>
      <c r="C40" s="113" t="s">
        <v>423</v>
      </c>
      <c r="D40" s="68">
        <f>D3*$B40</f>
        <v>0.68265742212674729</v>
      </c>
      <c r="E40" s="68">
        <f>E3*$B40</f>
        <v>66.762409538131223</v>
      </c>
      <c r="F40" s="68">
        <f>F3*$B40</f>
        <v>0.63877482993197454</v>
      </c>
      <c r="G40" s="68">
        <f>G3*$B40</f>
        <v>29.272166237021203</v>
      </c>
      <c r="H40" s="68">
        <f>H3*$B40</f>
        <v>9.9622508524883915E-7</v>
      </c>
      <c r="I40" s="68">
        <f>I3*$B40</f>
        <v>2.8038322223415757E-6</v>
      </c>
      <c r="J40" s="68">
        <f>J3*$B40</f>
        <v>1.5687212758324425E-6</v>
      </c>
      <c r="K40" s="68">
        <f>K3*$B40</f>
        <v>2.0134678088077389</v>
      </c>
      <c r="L40" s="68">
        <f>L3*$B40</f>
        <v>14.786487164339459</v>
      </c>
      <c r="M40" s="68">
        <f>M3*$B40</f>
        <v>3.9989781596849371E-2</v>
      </c>
    </row>
    <row r="41" spans="1:19" x14ac:dyDescent="0.3">
      <c r="A41" s="77">
        <f>B41/Biomass_Input_To_BP</f>
        <v>0</v>
      </c>
      <c r="B41" s="129">
        <v>0</v>
      </c>
      <c r="C41" s="113" t="s">
        <v>424</v>
      </c>
      <c r="D41" s="68">
        <f>D4*$B41</f>
        <v>0</v>
      </c>
      <c r="E41" s="68">
        <f>E4*$B41</f>
        <v>0</v>
      </c>
      <c r="F41" s="68">
        <f>F4*$B41</f>
        <v>0</v>
      </c>
      <c r="G41" s="68">
        <f>G4*$B41</f>
        <v>0</v>
      </c>
      <c r="H41" s="68">
        <f>H4*$B41</f>
        <v>0</v>
      </c>
      <c r="I41" s="68">
        <f>I4*$B41</f>
        <v>0</v>
      </c>
      <c r="J41" s="68">
        <f>J4*$B41</f>
        <v>0</v>
      </c>
      <c r="K41" s="68">
        <f>K4*$B41</f>
        <v>0</v>
      </c>
      <c r="L41" s="68">
        <f>L4*$B41</f>
        <v>0</v>
      </c>
      <c r="M41" s="68">
        <f>M4*$B41</f>
        <v>0</v>
      </c>
    </row>
    <row r="42" spans="1:19" x14ac:dyDescent="0.3">
      <c r="A42" s="3"/>
      <c r="B42" s="65">
        <f>Inputs!A6</f>
        <v>161.37</v>
      </c>
      <c r="C42" s="113" t="s">
        <v>425</v>
      </c>
      <c r="D42" s="68">
        <f>D5*$B42</f>
        <v>2.9207970000000003</v>
      </c>
      <c r="E42" s="68">
        <f>E5*$B42</f>
        <v>1936.0720764</v>
      </c>
      <c r="F42" s="68">
        <f>F5*$B42</f>
        <v>0.94562820000000003</v>
      </c>
      <c r="G42" s="68">
        <f>G5*$B42</f>
        <v>541.94500800000003</v>
      </c>
      <c r="H42" s="68">
        <f>H5*$B42</f>
        <v>1.5091386948000001E-5</v>
      </c>
      <c r="I42" s="68">
        <f>I5*$B42</f>
        <v>9.0197922870000001E-5</v>
      </c>
      <c r="J42" s="68">
        <f>J5*$B42</f>
        <v>9.6392755800000013E-5</v>
      </c>
      <c r="K42" s="68">
        <f>K5*$B42</f>
        <v>17.392458600000001</v>
      </c>
      <c r="L42" s="68">
        <f>L5*$B42</f>
        <v>1216.5539067</v>
      </c>
      <c r="M42" s="68">
        <f>M5*$B42</f>
        <v>0.48895110000000003</v>
      </c>
      <c r="R42" t="s">
        <v>505</v>
      </c>
    </row>
    <row r="43" spans="1:19" x14ac:dyDescent="0.3">
      <c r="A43" s="3"/>
      <c r="B43" s="76">
        <f>Inputs!A7</f>
        <v>15.65</v>
      </c>
      <c r="C43" s="113" t="s">
        <v>426</v>
      </c>
      <c r="D43" s="68">
        <f>D6*$B43</f>
        <v>0.13099050000000001</v>
      </c>
      <c r="E43" s="68">
        <f>E6*$B43</f>
        <v>116.10390700000001</v>
      </c>
      <c r="F43" s="68">
        <f>F6*$B43</f>
        <v>8.4666500000000006E-2</v>
      </c>
      <c r="G43" s="68">
        <f>G6*$B43</f>
        <v>17.692325</v>
      </c>
      <c r="H43" s="68">
        <f>H6*$B43</f>
        <v>9.3422518500000008E-7</v>
      </c>
      <c r="I43" s="68">
        <f>I6*$B43</f>
        <v>6.4768933500000004E-6</v>
      </c>
      <c r="J43" s="68">
        <f>J6*$B43</f>
        <v>2.1224060499999999E-6</v>
      </c>
      <c r="K43" s="68">
        <f>K6*$B43</f>
        <v>2.4953925000000003</v>
      </c>
      <c r="L43" s="68">
        <f>L6*$B43</f>
        <v>25.589314999999999</v>
      </c>
      <c r="M43" s="68">
        <f>M6*$B43</f>
        <v>2.7074500000000001E-2</v>
      </c>
      <c r="Q43">
        <f>R43/Final_Anhydrous_Eth_Mass</f>
        <v>21.130040459831545</v>
      </c>
      <c r="R43" s="74">
        <v>26100</v>
      </c>
    </row>
    <row r="44" spans="1:19" x14ac:dyDescent="0.3">
      <c r="A44" s="3"/>
      <c r="B44" s="76">
        <f>Inputs!A8</f>
        <v>76.09</v>
      </c>
      <c r="C44" s="113" t="s">
        <v>427</v>
      </c>
      <c r="D44" s="68">
        <f>D7*$B44</f>
        <v>0.15522360000000002</v>
      </c>
      <c r="E44" s="68">
        <f>E7*$B44</f>
        <v>393.77868530000001</v>
      </c>
      <c r="F44" s="68">
        <f>F7*$B44</f>
        <v>0.13087480000000001</v>
      </c>
      <c r="G44" s="68">
        <f>G7*$B44</f>
        <v>40.213565000000003</v>
      </c>
      <c r="H44" s="68">
        <f>H7*$B44</f>
        <v>2.8686690900000001E-6</v>
      </c>
      <c r="I44" s="68">
        <f>I7*$B44</f>
        <v>1.8699269679999999E-5</v>
      </c>
      <c r="J44" s="68">
        <f>J7*$B44</f>
        <v>7.1226022840000005E-6</v>
      </c>
      <c r="K44" s="68">
        <f>K7*$B44</f>
        <v>2.0551908999999999</v>
      </c>
      <c r="L44" s="68">
        <f>L7*$B44</f>
        <v>73.490765600000003</v>
      </c>
      <c r="M44" s="68">
        <f>M7*$B44</f>
        <v>2.5870600000000004E-2</v>
      </c>
      <c r="Q44" s="54"/>
      <c r="R44" t="s">
        <v>492</v>
      </c>
    </row>
    <row r="45" spans="1:19" x14ac:dyDescent="0.3">
      <c r="A45" s="3"/>
      <c r="B45" s="65">
        <f>Lime_Treat_Input</f>
        <v>452.3</v>
      </c>
      <c r="C45" s="113" t="s">
        <v>428</v>
      </c>
      <c r="D45" s="68">
        <f>D8*$B45</f>
        <v>1.4247450000000002</v>
      </c>
      <c r="E45" s="68">
        <f>E8*$B45</f>
        <v>99.487908000000004</v>
      </c>
      <c r="F45" s="68">
        <f>F8*$B45</f>
        <v>0.13569000000000001</v>
      </c>
      <c r="G45" s="68">
        <f>G8*$B45</f>
        <v>441.47193800000002</v>
      </c>
      <c r="H45" s="68">
        <f>H8*$B45</f>
        <v>1.8511236870000002E-6</v>
      </c>
      <c r="I45" s="68">
        <f>I8*$B45</f>
        <v>3.6954357360000003E-6</v>
      </c>
      <c r="J45" s="68">
        <f>J8*$B45</f>
        <v>4.0050169939999997E-5</v>
      </c>
      <c r="K45" s="68">
        <f>K8*$B45</f>
        <v>21.534003000000002</v>
      </c>
      <c r="L45" s="68">
        <f>L8*$B45</f>
        <v>274.17069099999998</v>
      </c>
      <c r="M45" s="68">
        <f>M8*$B45</f>
        <v>0.11307500000000001</v>
      </c>
      <c r="P45" s="4" t="s">
        <v>482</v>
      </c>
      <c r="Q45" s="82">
        <f>D77*Q$43</f>
        <v>120.36412684365936</v>
      </c>
      <c r="R45">
        <v>558.14410999999996</v>
      </c>
      <c r="S45" s="74">
        <f>(Q45/R45)*100</f>
        <v>21.565062622206902</v>
      </c>
    </row>
    <row r="46" spans="1:19" x14ac:dyDescent="0.3">
      <c r="A46" s="3"/>
      <c r="B46" s="65">
        <f>Fertilizer_Use_Input</f>
        <v>1.2130000000000001</v>
      </c>
      <c r="C46" s="113" t="s">
        <v>54</v>
      </c>
      <c r="D46" s="68">
        <f>D9*$B46</f>
        <v>4.466266E-2</v>
      </c>
      <c r="E46" s="68">
        <f>E9*$B46</f>
        <v>51.266280520000002</v>
      </c>
      <c r="F46" s="68">
        <f>F9*$B46</f>
        <v>4.0392900000000009E-2</v>
      </c>
      <c r="G46" s="68">
        <f>G9*$B46</f>
        <v>10.698926860000002</v>
      </c>
      <c r="H46" s="68">
        <f>H9*$B46</f>
        <v>5.531935020000001E-7</v>
      </c>
      <c r="I46" s="68">
        <f>I9*$B46</f>
        <v>2.3886638599999999E-6</v>
      </c>
      <c r="J46" s="68">
        <f>J9*$B46</f>
        <v>2.35110938E-6</v>
      </c>
      <c r="K46" s="68">
        <f>K9*$B46</f>
        <v>0.53529690000000008</v>
      </c>
      <c r="L46" s="68">
        <f>L9*$B46</f>
        <v>17.1104567</v>
      </c>
      <c r="M46" s="68">
        <f>M9*$B46</f>
        <v>9.0853700000000006E-3</v>
      </c>
      <c r="N46" s="3"/>
      <c r="P46" s="4" t="s">
        <v>483</v>
      </c>
      <c r="Q46" s="82">
        <f>E77*Q43</f>
        <v>34357.807199468982</v>
      </c>
      <c r="R46">
        <v>1873.3412599999999</v>
      </c>
      <c r="S46" s="74">
        <f t="shared" ref="S46:S54" si="0">(Q46/R46)*100</f>
        <v>1834.038887259067</v>
      </c>
    </row>
    <row r="47" spans="1:19" ht="14.4" customHeight="1" x14ac:dyDescent="0.3">
      <c r="A47" s="3"/>
      <c r="B47" s="65">
        <v>1</v>
      </c>
      <c r="C47" s="113" t="s">
        <v>457</v>
      </c>
      <c r="D47" s="68">
        <f>D10*$B47</f>
        <v>0.36276000000000003</v>
      </c>
      <c r="E47" s="68">
        <f>E10*$B47</f>
        <v>270.84419000000003</v>
      </c>
      <c r="F47" s="68">
        <f>F10*$B47</f>
        <v>0.14602999999999999</v>
      </c>
      <c r="G47" s="68">
        <f>G10*$B47</f>
        <v>57.131450000000001</v>
      </c>
      <c r="H47" s="68">
        <f>H10*$B47</f>
        <v>5.28846E-6</v>
      </c>
      <c r="I47" s="68">
        <f>I10*$B47</f>
        <v>9.9845999999999992E-6</v>
      </c>
      <c r="J47" s="68">
        <f>J10*$B47</f>
        <v>7.6537900000000005E-6</v>
      </c>
      <c r="K47" s="68">
        <f>K10*$B47</f>
        <v>7.9703499999999998</v>
      </c>
      <c r="L47" s="68">
        <f>L10*$B47</f>
        <v>66.697630000000004</v>
      </c>
      <c r="M47" s="68">
        <f>M10*$B47</f>
        <v>7.8369999999999995E-2</v>
      </c>
      <c r="N47" s="3"/>
      <c r="P47" s="4" t="s">
        <v>484</v>
      </c>
      <c r="Q47" s="82">
        <f>F77*Q43</f>
        <v>30.591742802956229</v>
      </c>
      <c r="R47" s="68">
        <v>36279.1</v>
      </c>
      <c r="S47" s="74">
        <f t="shared" si="0"/>
        <v>8.4323323354097077E-2</v>
      </c>
    </row>
    <row r="48" spans="1:19" ht="15" customHeight="1" x14ac:dyDescent="0.3">
      <c r="A48" s="3"/>
      <c r="B48" s="65">
        <v>1</v>
      </c>
      <c r="C48" s="113" t="s">
        <v>466</v>
      </c>
      <c r="D48" s="68">
        <f>D11*$B48</f>
        <v>0.13045000000000001</v>
      </c>
      <c r="E48" s="68">
        <f>E11*$B48</f>
        <v>83.376099999999994</v>
      </c>
      <c r="F48" s="68">
        <f>F11*$B48</f>
        <v>4.3459999999999999E-2</v>
      </c>
      <c r="G48" s="68">
        <f>G11*$B48</f>
        <v>17.24485</v>
      </c>
      <c r="H48" s="68">
        <f>H11*$B48</f>
        <v>1.03678E-6</v>
      </c>
      <c r="I48" s="68">
        <f>I11*$B48</f>
        <v>3.7643300000000001E-6</v>
      </c>
      <c r="J48" s="68">
        <f>J11*$B48</f>
        <v>3.0117599999999999E-6</v>
      </c>
      <c r="K48" s="68">
        <f>K11*$B48</f>
        <v>3.17198</v>
      </c>
      <c r="L48" s="68">
        <f>L11*$B48</f>
        <v>26.205690000000001</v>
      </c>
      <c r="M48" s="68">
        <f>M11*$B48</f>
        <v>1.9990000000000001E-2</v>
      </c>
      <c r="N48" s="3"/>
      <c r="P48" s="4" t="s">
        <v>485</v>
      </c>
      <c r="Q48" s="82">
        <f>G77*Q43</f>
        <v>23927.782381217788</v>
      </c>
      <c r="R48" s="68">
        <v>126692</v>
      </c>
      <c r="S48" s="74">
        <f t="shared" si="0"/>
        <v>18.886577196048517</v>
      </c>
    </row>
    <row r="49" spans="1:19" x14ac:dyDescent="0.3">
      <c r="B49" s="54">
        <v>1</v>
      </c>
      <c r="C49" s="113" t="s">
        <v>456</v>
      </c>
      <c r="D49" s="68">
        <f>D12*$B49</f>
        <v>0.88478000000000001</v>
      </c>
      <c r="E49" s="68">
        <f>E12*$B49</f>
        <v>547.03817000000004</v>
      </c>
      <c r="F49" s="68">
        <f>F12*$B49</f>
        <v>0.28473999999999999</v>
      </c>
      <c r="G49" s="68">
        <f>G12*$B49</f>
        <v>113.82844</v>
      </c>
      <c r="H49" s="68">
        <f>H12*$B49</f>
        <v>6.6293199999999999E-6</v>
      </c>
      <c r="I49" s="68">
        <f>I12*$B49</f>
        <v>2.48619E-5</v>
      </c>
      <c r="J49" s="68">
        <f>J12*$B49</f>
        <v>2.01212E-5</v>
      </c>
      <c r="K49" s="68">
        <f>K12*$B49</f>
        <v>21.88522</v>
      </c>
      <c r="L49" s="68">
        <f>L12*$B49</f>
        <v>174.78767999999999</v>
      </c>
      <c r="M49" s="68">
        <f>M12*$B49</f>
        <v>7.4770000000000003E-2</v>
      </c>
      <c r="N49" s="3"/>
      <c r="P49" s="4" t="s">
        <v>486</v>
      </c>
      <c r="Q49" s="82">
        <f>H77*Q43</f>
        <v>1.3806592004446749E-4</v>
      </c>
      <c r="R49" s="68">
        <v>9.5686399999999996E-6</v>
      </c>
      <c r="S49" s="74">
        <f t="shared" si="0"/>
        <v>1442.9001409235534</v>
      </c>
    </row>
    <row r="50" spans="1:19" x14ac:dyDescent="0.3">
      <c r="B50" s="54">
        <v>1</v>
      </c>
      <c r="C50" s="113" t="s">
        <v>458</v>
      </c>
      <c r="D50" s="68">
        <f>D13*$B50</f>
        <v>0.29953999999999997</v>
      </c>
      <c r="E50" s="68">
        <f>E13*$B50</f>
        <v>77.610789999999994</v>
      </c>
      <c r="F50" s="68">
        <f>F13*$B50</f>
        <v>5.6489999999999999E-2</v>
      </c>
      <c r="G50" s="68">
        <f>G13*$B50</f>
        <v>33.603029999999997</v>
      </c>
      <c r="H50" s="68">
        <f>H13*$B50</f>
        <v>1.10935E-6</v>
      </c>
      <c r="I50" s="68">
        <f>I13*$B50</f>
        <v>3.3766399999999998E-6</v>
      </c>
      <c r="J50" s="68">
        <f>J13*$B50</f>
        <v>6.9960399999999999E-6</v>
      </c>
      <c r="K50" s="68">
        <f>K13*$B50</f>
        <v>8.4742300000000004</v>
      </c>
      <c r="L50" s="68">
        <f>L13*$B50</f>
        <v>59.1584</v>
      </c>
      <c r="M50" s="68">
        <f>M13*$B50</f>
        <v>3.7280000000000001E-2</v>
      </c>
      <c r="N50" s="3"/>
      <c r="P50" s="4" t="s">
        <v>487</v>
      </c>
      <c r="Q50" s="82">
        <f>I77*Q43</f>
        <v>1.5180747611892829E-3</v>
      </c>
      <c r="R50" s="68">
        <v>3.5E-4</v>
      </c>
      <c r="S50" s="74">
        <f t="shared" si="0"/>
        <v>433.73564605408086</v>
      </c>
    </row>
    <row r="51" spans="1:19" x14ac:dyDescent="0.3">
      <c r="A51" t="s">
        <v>507</v>
      </c>
      <c r="B51" s="129">
        <v>0</v>
      </c>
      <c r="C51" s="113" t="s">
        <v>463</v>
      </c>
      <c r="D51" s="68">
        <f>D14*$B51</f>
        <v>0</v>
      </c>
      <c r="E51" s="68">
        <f>E14*$B51</f>
        <v>0</v>
      </c>
      <c r="F51" s="68">
        <f>F14*$B51</f>
        <v>0</v>
      </c>
      <c r="G51" s="68">
        <f>G14*$B51</f>
        <v>0</v>
      </c>
      <c r="H51" s="68">
        <f>H14*$B51</f>
        <v>0</v>
      </c>
      <c r="I51" s="68">
        <f>I14*$B51</f>
        <v>0</v>
      </c>
      <c r="J51" s="68">
        <f>J14*$B51</f>
        <v>0</v>
      </c>
      <c r="K51" s="68">
        <f>K14*$B51</f>
        <v>0</v>
      </c>
      <c r="L51" s="68">
        <f>L14*$B51</f>
        <v>0</v>
      </c>
      <c r="M51" s="68">
        <f>M14*$B51</f>
        <v>0</v>
      </c>
      <c r="N51" s="3"/>
      <c r="P51" s="4" t="s">
        <v>488</v>
      </c>
      <c r="Q51" s="82">
        <f>J77*Q43</f>
        <v>2.5964610856198541E-3</v>
      </c>
      <c r="R51" s="68">
        <v>4.1525900000000002E-5</v>
      </c>
      <c r="S51" s="74">
        <f t="shared" si="0"/>
        <v>6252.6304923429816</v>
      </c>
    </row>
    <row r="52" spans="1:19" x14ac:dyDescent="0.3">
      <c r="B52" s="54">
        <v>8.9480000000000004</v>
      </c>
      <c r="C52" s="113" t="s">
        <v>468</v>
      </c>
      <c r="D52" s="68">
        <f>D15*$B52</f>
        <v>0.30092124000000003</v>
      </c>
      <c r="E52" s="68">
        <f>E15*$B52</f>
        <v>125.24524547999999</v>
      </c>
      <c r="F52" s="68">
        <f>F15*$B52</f>
        <v>7.9100320000000016E-2</v>
      </c>
      <c r="G52" s="68">
        <f>G15*$B52</f>
        <v>39.018022440000003</v>
      </c>
      <c r="H52" s="68">
        <f>H15*$B52</f>
        <v>2.0755154440000004E-6</v>
      </c>
      <c r="I52" s="68">
        <f>I15*$B52</f>
        <v>5.1766327519999999E-6</v>
      </c>
      <c r="J52" s="68">
        <f>J15*$B52</f>
        <v>7.1743542840000001E-6</v>
      </c>
      <c r="K52" s="68">
        <f>K15*$B52</f>
        <v>7.8218942</v>
      </c>
      <c r="L52" s="68">
        <f>L15*$B52</f>
        <v>61.357957160000005</v>
      </c>
      <c r="M52" s="68">
        <f>M15*$B52</f>
        <v>5.2345800000000005E-2</v>
      </c>
      <c r="N52" s="3"/>
      <c r="P52" s="4" t="s">
        <v>489</v>
      </c>
      <c r="Q52" s="82">
        <f>K77*Q43</f>
        <v>1107.8656540211095</v>
      </c>
      <c r="R52" s="68">
        <v>3989.2715499999999</v>
      </c>
      <c r="S52" s="74">
        <f t="shared" si="0"/>
        <v>27.771126636418359</v>
      </c>
    </row>
    <row r="53" spans="1:19" x14ac:dyDescent="0.3">
      <c r="B53" s="54">
        <v>8.9480000000000004</v>
      </c>
      <c r="C53" s="113" t="s">
        <v>467</v>
      </c>
      <c r="D53" s="68">
        <f>D16*$B53</f>
        <v>0.10853924000000001</v>
      </c>
      <c r="E53" s="68">
        <f>E16*$B53</f>
        <v>15.968600800000001</v>
      </c>
      <c r="F53" s="68">
        <f>F16*$B53</f>
        <v>1.61064E-2</v>
      </c>
      <c r="G53" s="68">
        <f>G16*$B53</f>
        <v>12.377947360000002</v>
      </c>
      <c r="H53" s="68">
        <f>H16*$B53</f>
        <v>2.29677264E-7</v>
      </c>
      <c r="I53" s="68">
        <f>I16*$B53</f>
        <v>6.9364717040000001E-7</v>
      </c>
      <c r="J53" s="68">
        <f>J16*$B53</f>
        <v>2.8152823960000001E-6</v>
      </c>
      <c r="K53" s="68">
        <f>K16*$B53</f>
        <v>3.14665368</v>
      </c>
      <c r="L53" s="68">
        <f>L16*$B53</f>
        <v>23.626209720000002</v>
      </c>
      <c r="M53" s="68">
        <f>M16*$B53</f>
        <v>1.5658999999999999E-2</v>
      </c>
      <c r="N53" s="3"/>
      <c r="P53" s="4" t="s">
        <v>490</v>
      </c>
      <c r="Q53" s="82">
        <f>L77*Q43</f>
        <v>30078.882061463668</v>
      </c>
      <c r="R53" s="68">
        <v>262.0874</v>
      </c>
      <c r="S53" s="74">
        <f t="shared" si="0"/>
        <v>11476.660862545727</v>
      </c>
    </row>
    <row r="54" spans="1:19" x14ac:dyDescent="0.3">
      <c r="B54" s="132">
        <f>Diesel_Use_Crop_Input/'Conversions Page'!D13*22.77</f>
        <v>337.59711101307386</v>
      </c>
      <c r="C54" s="113" t="s">
        <v>473</v>
      </c>
      <c r="D54" s="68">
        <f>D17*$B54</f>
        <v>0.44900415764738821</v>
      </c>
      <c r="E54" s="68">
        <f>E17*$B54</f>
        <v>282.27507243136148</v>
      </c>
      <c r="F54" s="68">
        <f>F17*$B54</f>
        <v>0.16879855550653694</v>
      </c>
      <c r="G54" s="68">
        <f>G17*$B54</f>
        <v>71.817033425811204</v>
      </c>
      <c r="H54" s="68">
        <f>H17*$B54</f>
        <v>6.9763430199518676E-6</v>
      </c>
      <c r="I54" s="68">
        <f>I17*$B54</f>
        <v>1.2056099229943387E-5</v>
      </c>
      <c r="J54" s="68">
        <f>J17*$B54</f>
        <v>9.5122374790376721E-6</v>
      </c>
      <c r="K54" s="68">
        <f>K17*$B54</f>
        <v>9.1860173906657394</v>
      </c>
      <c r="L54" s="68">
        <f>L17*$B54</f>
        <v>84.449917319920417</v>
      </c>
      <c r="M54" s="68">
        <f>M17*$B54</f>
        <v>8.77752488633992E-2</v>
      </c>
      <c r="N54" s="3"/>
      <c r="P54" s="4" t="s">
        <v>491</v>
      </c>
      <c r="Q54" s="82">
        <f>M77*Q43</f>
        <v>2.0955210200918768</v>
      </c>
      <c r="R54" s="68">
        <v>44.672879999999999</v>
      </c>
      <c r="S54" s="74">
        <f t="shared" si="0"/>
        <v>4.6908124573384944</v>
      </c>
    </row>
    <row r="55" spans="1:19" x14ac:dyDescent="0.3">
      <c r="B55" s="54">
        <f>Avg_km_To_Biorefinery*('Process Model'!C142/1000)</f>
        <v>276.80678414871875</v>
      </c>
      <c r="C55" s="113" t="s">
        <v>481</v>
      </c>
      <c r="D55" s="68">
        <f>D18*$B55</f>
        <v>0.27957485199020593</v>
      </c>
      <c r="E55" s="68">
        <f>E18*$B55</f>
        <v>118.57295405794517</v>
      </c>
      <c r="F55" s="68">
        <f>F18*$B55</f>
        <v>5.2593288988256562E-2</v>
      </c>
      <c r="G55" s="68">
        <f>G18*$B55</f>
        <v>45.260677276156997</v>
      </c>
      <c r="H55" s="68">
        <f>H18*$B55</f>
        <v>1.3229620399568619E-6</v>
      </c>
      <c r="I55" s="68">
        <f>I18*$B55</f>
        <v>4.5572638521892612E-6</v>
      </c>
      <c r="J55" s="68">
        <f>J18*$B55</f>
        <v>1.1201623176181446E-5</v>
      </c>
      <c r="K55" s="68">
        <f>K18*$B55</f>
        <v>7.6315630389801763</v>
      </c>
      <c r="L55" s="68">
        <f>L18*$B55</f>
        <v>94.070017525100567</v>
      </c>
      <c r="M55" s="68">
        <f>M18*$B55</f>
        <v>2.7094318604009644E-2</v>
      </c>
      <c r="N55" s="3"/>
    </row>
    <row r="56" spans="1:19" x14ac:dyDescent="0.3">
      <c r="B56" s="80"/>
      <c r="C56" s="80"/>
      <c r="D56" s="81"/>
      <c r="E56" s="81"/>
      <c r="F56" s="81"/>
      <c r="G56" s="81"/>
      <c r="H56" s="81"/>
      <c r="I56" s="81"/>
      <c r="J56" s="81"/>
      <c r="K56" s="81"/>
      <c r="L56" s="81"/>
      <c r="M56" s="81"/>
      <c r="N56" s="3"/>
    </row>
    <row r="57" spans="1:19" x14ac:dyDescent="0.3">
      <c r="B57" s="75"/>
      <c r="C57" s="76" t="s">
        <v>495</v>
      </c>
      <c r="D57" s="68">
        <f>SUM(D40:D55)</f>
        <v>8.1746456717643419</v>
      </c>
      <c r="E57" s="68">
        <f t="shared" ref="E57:M57" si="1">SUM(E40:E55)</f>
        <v>4184.4023895274377</v>
      </c>
      <c r="F57" s="68">
        <f t="shared" si="1"/>
        <v>2.8233457944267686</v>
      </c>
      <c r="G57" s="68">
        <f>SUM(G40:G55)</f>
        <v>1471.5753795989895</v>
      </c>
      <c r="H57" s="68">
        <f t="shared" si="1"/>
        <v>4.6963231265157575E-5</v>
      </c>
      <c r="I57" s="68">
        <f t="shared" si="1"/>
        <v>1.8873313072287421E-4</v>
      </c>
      <c r="J57" s="68">
        <f t="shared" si="1"/>
        <v>2.1809405206505157E-4</v>
      </c>
      <c r="K57" s="68">
        <f t="shared" si="1"/>
        <v>115.31371801845366</v>
      </c>
      <c r="L57" s="68">
        <f t="shared" si="1"/>
        <v>2212.0551238893604</v>
      </c>
      <c r="M57" s="68">
        <f t="shared" si="1"/>
        <v>1.0973307190642581</v>
      </c>
      <c r="N57" s="137">
        <f>N58+N61</f>
        <v>21.712616648469627</v>
      </c>
      <c r="O57" s="138">
        <v>21.6</v>
      </c>
      <c r="P57" s="6">
        <f>O57-N57</f>
        <v>-0.1126166484696256</v>
      </c>
      <c r="Q57">
        <v>15.7</v>
      </c>
      <c r="R57" t="s">
        <v>607</v>
      </c>
    </row>
    <row r="58" spans="1:19" x14ac:dyDescent="0.3">
      <c r="B58" s="75"/>
      <c r="C58" s="76" t="s">
        <v>598</v>
      </c>
      <c r="D58" s="68">
        <f>D57*Outputs!$M$9</f>
        <v>2.6358784553937462</v>
      </c>
      <c r="E58" s="68">
        <f>E57*Outputs!$M$9</f>
        <v>1349.2421017525228</v>
      </c>
      <c r="F58" s="68">
        <f>F57*Outputs!$M$9</f>
        <v>0.91037540346991541</v>
      </c>
      <c r="G58" s="68">
        <f>G57*Outputs!$M$9</f>
        <v>474.50299307415298</v>
      </c>
      <c r="H58" s="68">
        <f>H57*Outputs!$M$9</f>
        <v>1.5143086863700756E-5</v>
      </c>
      <c r="I58" s="68">
        <f>I57*Outputs!$M$9</f>
        <v>6.0856165889825607E-5</v>
      </c>
      <c r="J58" s="68">
        <f>J57*Outputs!$M$9</f>
        <v>7.0323465526269942E-5</v>
      </c>
      <c r="K58" s="68">
        <f>K57*Outputs!$M$9</f>
        <v>37.182399964571083</v>
      </c>
      <c r="L58" s="68">
        <f>L57*Outputs!$M$9</f>
        <v>713.26742189485776</v>
      </c>
      <c r="M58" s="68">
        <f>M57*Outputs!$M$9</f>
        <v>0.35382945230443602</v>
      </c>
      <c r="N58" s="22">
        <f>G58/'Process Model'!R9*1000</f>
        <v>13.311063343265685</v>
      </c>
      <c r="Q58">
        <f>Q57*'Process Model'!R9/1000</f>
        <v>559.66204946602875</v>
      </c>
      <c r="R58" t="s">
        <v>608</v>
      </c>
    </row>
    <row r="59" spans="1:19" x14ac:dyDescent="0.3">
      <c r="B59" s="75"/>
      <c r="C59" s="76"/>
      <c r="D59" s="68"/>
      <c r="E59" s="68"/>
      <c r="F59" s="68"/>
      <c r="G59" s="68"/>
      <c r="H59" s="68"/>
      <c r="I59" s="68"/>
      <c r="J59" s="68"/>
      <c r="K59" s="68"/>
      <c r="L59" s="68"/>
      <c r="M59" s="68"/>
      <c r="N59" s="76" t="s">
        <v>635</v>
      </c>
      <c r="O59" s="75" t="s">
        <v>634</v>
      </c>
    </row>
    <row r="60" spans="1:19" x14ac:dyDescent="0.3">
      <c r="A60">
        <v>-24986</v>
      </c>
      <c r="B60" s="129">
        <v>0</v>
      </c>
      <c r="C60" s="114" t="s">
        <v>477</v>
      </c>
      <c r="D60" s="68">
        <f>D19*$B60*$Q$60</f>
        <v>0</v>
      </c>
      <c r="E60" s="68">
        <f>E19*$B60*$Q$60</f>
        <v>0</v>
      </c>
      <c r="F60" s="68">
        <f>F19*$B60*$Q$60</f>
        <v>0</v>
      </c>
      <c r="G60" s="68">
        <f>G19*$B60*$Q$60</f>
        <v>0</v>
      </c>
      <c r="H60" s="68">
        <f>H19*$B60*$Q$60</f>
        <v>0</v>
      </c>
      <c r="I60" s="68">
        <f>I19*$B60*$Q$60</f>
        <v>0</v>
      </c>
      <c r="J60" s="68">
        <f>J19*$B60*$Q$60</f>
        <v>0</v>
      </c>
      <c r="K60" s="68">
        <f>K19*$B60*$Q$60</f>
        <v>0</v>
      </c>
      <c r="L60" s="68">
        <f>L19*$B60*$Q$60</f>
        <v>0</v>
      </c>
      <c r="M60" s="68">
        <f>M19*$B60*$Q$60</f>
        <v>0</v>
      </c>
      <c r="N60" s="98">
        <f>G60/'Process Model'!$R$9*1000</f>
        <v>0</v>
      </c>
      <c r="O60" s="54">
        <v>3</v>
      </c>
      <c r="P60" t="s">
        <v>636</v>
      </c>
      <c r="Q60">
        <f>3/136</f>
        <v>2.2058823529411766E-2</v>
      </c>
    </row>
    <row r="61" spans="1:19" x14ac:dyDescent="0.3">
      <c r="B61" s="54">
        <f>'Process Model'!R16</f>
        <v>387.05609054061671</v>
      </c>
      <c r="C61" s="114" t="s">
        <v>475</v>
      </c>
      <c r="D61" s="68">
        <f>D20*$B61</f>
        <v>1.0721453707975082</v>
      </c>
      <c r="E61" s="68">
        <f>E20*$B61</f>
        <v>2267.3242610951625</v>
      </c>
      <c r="F61" s="68">
        <f>F20*$B61</f>
        <v>3.0732253588924965</v>
      </c>
      <c r="G61" s="79">
        <f>G20*$B61</f>
        <v>299.492391177613</v>
      </c>
      <c r="H61" s="68">
        <f>H20*$B61</f>
        <v>3.2107773523488212E-5</v>
      </c>
      <c r="I61" s="68">
        <f>I20*$B61</f>
        <v>9.0888124124657074E-5</v>
      </c>
      <c r="J61" s="68">
        <f>J20*$B61</f>
        <v>1.2347747283599593E-5</v>
      </c>
      <c r="K61" s="68">
        <f>K20*$B61</f>
        <v>9.6415672153667629</v>
      </c>
      <c r="L61" s="68">
        <f>L20*$B61</f>
        <v>65.218951256093916</v>
      </c>
      <c r="M61" s="68">
        <f>M20*$B61</f>
        <v>1.0837570535137269</v>
      </c>
      <c r="N61" s="135">
        <f>G61/'Process Model'!$R$9*1000</f>
        <v>8.4015533052039402</v>
      </c>
      <c r="O61" s="131">
        <v>7.72</v>
      </c>
      <c r="P61" s="56">
        <f>O61-N61</f>
        <v>-0.68155330520394042</v>
      </c>
    </row>
    <row r="62" spans="1:19" x14ac:dyDescent="0.3">
      <c r="B62" s="75">
        <f>'Process Model'!M44</f>
        <v>703.77851622910475</v>
      </c>
      <c r="C62" s="114" t="s">
        <v>614</v>
      </c>
      <c r="D62" s="68">
        <f>-1*$B62*D20</f>
        <v>-1.9494664899546201</v>
      </c>
      <c r="E62" s="68">
        <f>-1*$B62*E20</f>
        <v>-4122.6430568629858</v>
      </c>
      <c r="F62" s="68">
        <f>-1*$B62*F20</f>
        <v>-5.5880014188590907</v>
      </c>
      <c r="G62" s="68">
        <f>-1*$B62*G20</f>
        <v>-544.56270250259433</v>
      </c>
      <c r="H62" s="68">
        <f>-1*$B62*H20</f>
        <v>-5.8381102279565916E-5</v>
      </c>
      <c r="I62" s="68">
        <f>-1*$B62*I20</f>
        <v>-1.6526056740240216E-4</v>
      </c>
      <c r="J62" s="68">
        <f>-1*$B62*J20</f>
        <v>-2.2451731091186033E-5</v>
      </c>
      <c r="K62" s="68">
        <f>-1*$B62*K20</f>
        <v>-17.531122839266999</v>
      </c>
      <c r="L62" s="68">
        <f>-1*$B62*L20</f>
        <v>-118.58667998460416</v>
      </c>
      <c r="M62" s="68">
        <f>-1*$B62*M20</f>
        <v>-1.9705798454414933</v>
      </c>
      <c r="N62" s="98">
        <f>G62/'Process Model'!$R$9*1000</f>
        <v>-15.276423401314958</v>
      </c>
      <c r="O62" s="54">
        <v>-14.9</v>
      </c>
    </row>
    <row r="63" spans="1:19" x14ac:dyDescent="0.3">
      <c r="B63" s="54">
        <f>DAH_Dilution_Water_I+EH_Dilution_Water_Input</f>
        <v>37241.977075999996</v>
      </c>
      <c r="C63" s="114" t="s">
        <v>429</v>
      </c>
      <c r="D63" s="68">
        <f>D21*$B63</f>
        <v>0.1245528129725159</v>
      </c>
      <c r="E63" s="68">
        <f>E21*$B63</f>
        <v>87.518646128599997</v>
      </c>
      <c r="F63" s="68">
        <f>F21*$B63</f>
        <v>9.828567412104236E-2</v>
      </c>
      <c r="G63" s="68">
        <f>G21*$B63</f>
        <v>27.931482806999998</v>
      </c>
      <c r="H63" s="68">
        <f>H21*$B63</f>
        <v>1.5268018857893567E-6</v>
      </c>
      <c r="I63" s="68">
        <f>I21*$B63</f>
        <v>4.1197075041471191E-7</v>
      </c>
      <c r="J63" s="68">
        <f>J21*$B63</f>
        <v>1.6026935866748294E-6</v>
      </c>
      <c r="K63" s="68">
        <f>K21*$B63</f>
        <v>1.4063091931576663</v>
      </c>
      <c r="L63" s="68">
        <f>L21*$B63</f>
        <v>17.13130945496</v>
      </c>
      <c r="M63" s="68">
        <f>M21*$B63</f>
        <v>4.0593382593069237E-2</v>
      </c>
      <c r="N63" s="98">
        <f>G63/'Process Model'!$R$9*1000</f>
        <v>0.78355193189942784</v>
      </c>
      <c r="O63" s="54" t="s">
        <v>633</v>
      </c>
    </row>
    <row r="64" spans="1:19" ht="13.8" customHeight="1" x14ac:dyDescent="0.3">
      <c r="B64" s="54">
        <f>Sulf_Acid_DAH_I</f>
        <v>151.006496</v>
      </c>
      <c r="C64" s="114" t="s">
        <v>430</v>
      </c>
      <c r="D64" s="68">
        <f>D22*$B64</f>
        <v>1.0721461216000001</v>
      </c>
      <c r="E64" s="68">
        <f>E22*$B64</f>
        <v>302.07490466335997</v>
      </c>
      <c r="F64" s="68">
        <f>F22*$B64</f>
        <v>0.1057045472</v>
      </c>
      <c r="G64" s="68">
        <f>G22*$B64</f>
        <v>16.93839865632</v>
      </c>
      <c r="H64" s="68">
        <f>H22*$B64</f>
        <v>1.9731414806336E-6</v>
      </c>
      <c r="I64" s="68">
        <f>I22*$B64</f>
        <v>1.41482667303776E-5</v>
      </c>
      <c r="J64" s="68">
        <f>J22*$B64</f>
        <v>7.4374927461888004E-6</v>
      </c>
      <c r="K64" s="68">
        <f>K22*$B64</f>
        <v>2.8630831641600003</v>
      </c>
      <c r="L64" s="68">
        <f>L22*$B64</f>
        <v>137.12295875775999</v>
      </c>
      <c r="M64" s="68">
        <f>M22*$B64</f>
        <v>7.3993183039999993E-2</v>
      </c>
      <c r="N64" s="98">
        <f>G64/'Process Model'!$R$9*1000</f>
        <v>0.47516686035429678</v>
      </c>
      <c r="O64" s="54">
        <v>0.17399999999999999</v>
      </c>
    </row>
    <row r="65" spans="1:40" x14ac:dyDescent="0.3">
      <c r="B65" s="54">
        <f>'Process Model'!R15</f>
        <v>71.562553137986527</v>
      </c>
      <c r="C65" s="115" t="s">
        <v>431</v>
      </c>
      <c r="D65" s="68">
        <f>D23*$B65</f>
        <v>0.32131586358955949</v>
      </c>
      <c r="E65" s="68">
        <f>E23*$B65</f>
        <v>281.73175294681363</v>
      </c>
      <c r="F65" s="68">
        <f>F23*$B65</f>
        <v>0.12237196586595696</v>
      </c>
      <c r="G65" s="68">
        <f>G23*$B65</f>
        <v>136.51916699580553</v>
      </c>
      <c r="H65" s="68">
        <f>H23*$B65</f>
        <v>2.0929327415841817E-6</v>
      </c>
      <c r="I65" s="68">
        <f>I23*$B65</f>
        <v>1.2639521260337457E-5</v>
      </c>
      <c r="J65" s="68">
        <f>J23*$B65</f>
        <v>2.5364702896781083E-5</v>
      </c>
      <c r="K65" s="68">
        <f>K23*$B65</f>
        <v>3.590293290932784</v>
      </c>
      <c r="L65" s="68">
        <f>L23*$B65</f>
        <v>359.30770742498515</v>
      </c>
      <c r="M65" s="68">
        <f>M23*$B65</f>
        <v>5.2240663790730162E-2</v>
      </c>
      <c r="N65" s="135">
        <f>G65/'Process Model'!$R$9*1000</f>
        <v>3.8297235338345867</v>
      </c>
      <c r="O65" s="131">
        <v>5.34</v>
      </c>
      <c r="P65" s="56">
        <f>O65-N65</f>
        <v>1.5102764661654131</v>
      </c>
    </row>
    <row r="66" spans="1:40" x14ac:dyDescent="0.3">
      <c r="B66" s="8">
        <f>'Process Model'!H111</f>
        <v>140</v>
      </c>
      <c r="C66" s="116" t="s">
        <v>432</v>
      </c>
      <c r="D66" s="68">
        <f>D24*$B66</f>
        <v>1.4056</v>
      </c>
      <c r="E66" s="68">
        <f>E24*$B66</f>
        <v>1422.9726000000001</v>
      </c>
      <c r="F66" s="68">
        <f>F24*$B66</f>
        <v>2.6823999999999999</v>
      </c>
      <c r="G66" s="68">
        <f>G24*$B66</f>
        <v>208.21359999999999</v>
      </c>
      <c r="H66" s="68">
        <f>H24*$B66</f>
        <v>1.160285E-5</v>
      </c>
      <c r="I66" s="68">
        <f>I24*$B66</f>
        <v>5.6532699999999995E-5</v>
      </c>
      <c r="J66" s="68">
        <f>J24*$B66</f>
        <v>2.1592339999999999E-5</v>
      </c>
      <c r="K66" s="68">
        <f>K24*$B66</f>
        <v>11.680200000000001</v>
      </c>
      <c r="L66" s="68">
        <f>L24*$B66</f>
        <v>200.7124</v>
      </c>
      <c r="M66" s="68">
        <f>M24*$B66</f>
        <v>0.20020000000000002</v>
      </c>
      <c r="N66" s="98">
        <f>G66/'Process Model'!$R$9*1000</f>
        <v>5.8409419097094304</v>
      </c>
      <c r="O66" s="54">
        <v>4.1399999999999997</v>
      </c>
    </row>
    <row r="67" spans="1:40" x14ac:dyDescent="0.3">
      <c r="B67" s="54">
        <f>SO2_EP_I</f>
        <v>0.90327199999999996</v>
      </c>
      <c r="C67" s="115" t="s">
        <v>433</v>
      </c>
      <c r="D67" s="68">
        <f>D25*$B67</f>
        <v>4.4748094879999999E-2</v>
      </c>
      <c r="E67" s="68">
        <f>E25*$B67</f>
        <v>3.7091329117599998</v>
      </c>
      <c r="F67" s="68">
        <f>F25*$B67</f>
        <v>2.1768855199999996E-3</v>
      </c>
      <c r="G67" s="68">
        <f>G25*$B67</f>
        <v>0.35764151568000002</v>
      </c>
      <c r="H67" s="68">
        <f>H25*$B67</f>
        <v>3.1312917479199997E-8</v>
      </c>
      <c r="I67" s="68">
        <f>I25*$B67</f>
        <v>1.69175619424E-7</v>
      </c>
      <c r="J67" s="68">
        <f>J25*$B67</f>
        <v>1.2275195498399998E-7</v>
      </c>
      <c r="K67" s="68">
        <f>K25*$B67</f>
        <v>1.515690416E-2</v>
      </c>
      <c r="L67" s="68">
        <f>L25*$B67</f>
        <v>2.1428682964799997</v>
      </c>
      <c r="M67" s="68">
        <f>M25*$B67</f>
        <v>2.88143768E-3</v>
      </c>
      <c r="N67" s="98">
        <f>G67/'Process Model'!$R$9*1000</f>
        <v>1.0032789969470365E-2</v>
      </c>
      <c r="O67" s="54" t="s">
        <v>633</v>
      </c>
    </row>
    <row r="68" spans="1:40" x14ac:dyDescent="0.3">
      <c r="B68" s="8">
        <f>CSL_EP_I+'Process Model'!H148</f>
        <v>86.425020724704623</v>
      </c>
      <c r="C68" s="116" t="s">
        <v>434</v>
      </c>
      <c r="D68" s="99">
        <f>D26*$B68</f>
        <v>0.73115567533100112</v>
      </c>
      <c r="E68" s="68">
        <f>E26*$B68</f>
        <v>4.3579471000349408E-4</v>
      </c>
      <c r="F68" s="68">
        <f>F26*$B68</f>
        <v>1.2099502901458645E-2</v>
      </c>
      <c r="G68" s="68">
        <f>G26*$B68</f>
        <v>0.77523243590060054</v>
      </c>
      <c r="H68" s="68">
        <f>H26*$B68</f>
        <v>2.7536567253263938E-12</v>
      </c>
      <c r="I68" s="68">
        <f>I26*$B68</f>
        <v>2.8207571114170541E-13</v>
      </c>
      <c r="J68" s="68">
        <f>J26*$B68</f>
        <v>0</v>
      </c>
      <c r="K68" s="68">
        <f>K26*$B68</f>
        <v>6.3954515336281423E-2</v>
      </c>
      <c r="L68" s="68">
        <f>L26*$B68</f>
        <v>0.97919548481090335</v>
      </c>
      <c r="M68" s="68">
        <f>M26*$B68</f>
        <v>4.407676056959936E-2</v>
      </c>
      <c r="N68" s="135">
        <f>G68/'Process Model'!$R$9*1000</f>
        <v>2.1747319217466813E-2</v>
      </c>
      <c r="O68" s="131">
        <v>4.22</v>
      </c>
      <c r="P68" s="56">
        <f>O68-N68</f>
        <v>4.1982526807825327</v>
      </c>
    </row>
    <row r="69" spans="1:40" ht="13.8" customHeight="1" x14ac:dyDescent="0.3">
      <c r="B69" s="54">
        <f>Ammon_Sulfate_EP</f>
        <v>1.041768</v>
      </c>
      <c r="C69" s="117" t="s">
        <v>435</v>
      </c>
      <c r="D69" s="68">
        <f>D27*$B69</f>
        <v>9.9488844E-3</v>
      </c>
      <c r="E69" s="68">
        <f>E27*$B69</f>
        <v>16.024610805840002</v>
      </c>
      <c r="F69" s="68">
        <f>F27*$B69</f>
        <v>6.2610256799999998E-3</v>
      </c>
      <c r="G69" s="68">
        <f>G27*$B69</f>
        <v>2.2133194574399999</v>
      </c>
      <c r="H69" s="68">
        <f>H27*$B69</f>
        <v>1.22429617128E-7</v>
      </c>
      <c r="I69" s="68">
        <f>I27*$B69</f>
        <v>7.6406911307999993E-7</v>
      </c>
      <c r="J69" s="68">
        <f>J27*$B69</f>
        <v>1.7999042443200003E-7</v>
      </c>
      <c r="K69" s="68">
        <f>K27*$B69</f>
        <v>8.9602465680000007E-2</v>
      </c>
      <c r="L69" s="68">
        <f>L27*$B69</f>
        <v>2.6167336977600004</v>
      </c>
      <c r="M69" s="68">
        <f>M27*$B69</f>
        <v>1.5105635999999999E-3</v>
      </c>
      <c r="N69" s="98">
        <f>G69/'Process Model'!$R$9*1000</f>
        <v>6.2089461872503207E-2</v>
      </c>
      <c r="O69" s="54" t="s">
        <v>633</v>
      </c>
      <c r="R69" t="s">
        <v>421</v>
      </c>
      <c r="S69" s="71" t="s">
        <v>496</v>
      </c>
      <c r="T69" s="71" t="s">
        <v>497</v>
      </c>
      <c r="U69" s="71" t="s">
        <v>498</v>
      </c>
      <c r="V69" s="71" t="s">
        <v>485</v>
      </c>
      <c r="W69" s="71" t="s">
        <v>499</v>
      </c>
      <c r="X69" s="71" t="s">
        <v>500</v>
      </c>
      <c r="Y69" s="71" t="s">
        <v>501</v>
      </c>
      <c r="Z69" s="71" t="s">
        <v>502</v>
      </c>
      <c r="AA69" s="71" t="s">
        <v>503</v>
      </c>
      <c r="AB69" s="71" t="s">
        <v>504</v>
      </c>
      <c r="AD69" t="s">
        <v>421</v>
      </c>
      <c r="AE69" s="71" t="s">
        <v>496</v>
      </c>
      <c r="AF69" s="71" t="s">
        <v>497</v>
      </c>
      <c r="AG69" s="71" t="s">
        <v>498</v>
      </c>
      <c r="AH69" s="71" t="s">
        <v>485</v>
      </c>
      <c r="AI69" s="71" t="s">
        <v>499</v>
      </c>
      <c r="AJ69" s="71" t="s">
        <v>500</v>
      </c>
      <c r="AK69" s="71" t="s">
        <v>501</v>
      </c>
      <c r="AL69" s="71" t="s">
        <v>502</v>
      </c>
      <c r="AM69" s="71" t="s">
        <v>503</v>
      </c>
      <c r="AN69" s="71" t="s">
        <v>504</v>
      </c>
    </row>
    <row r="70" spans="1:40" x14ac:dyDescent="0.3">
      <c r="B70" s="54">
        <f>Mg_Sulfate_EP_I</f>
        <v>0.22323599999999999</v>
      </c>
      <c r="C70" s="114" t="s">
        <v>437</v>
      </c>
      <c r="D70" s="68">
        <f>D28*$B70</f>
        <v>4.911192E-4</v>
      </c>
      <c r="E70" s="68">
        <f>E28*$B70</f>
        <v>0.31086505943999998</v>
      </c>
      <c r="F70" s="68">
        <f>F28*$B70</f>
        <v>3.6164231999999999E-4</v>
      </c>
      <c r="G70" s="68">
        <f>G28*$B70</f>
        <v>0.10486287863999999</v>
      </c>
      <c r="H70" s="68">
        <f>H28*$B70</f>
        <v>5.2835050008E-9</v>
      </c>
      <c r="I70" s="68">
        <f>I28*$B70</f>
        <v>1.4626154836799998E-8</v>
      </c>
      <c r="J70" s="68">
        <f>J28*$B70</f>
        <v>5.1700118183999997E-9</v>
      </c>
      <c r="K70" s="68">
        <f>K28*$B70</f>
        <v>5.7996712799999999E-3</v>
      </c>
      <c r="L70" s="68">
        <f>L28*$B70</f>
        <v>6.3707089679999995E-2</v>
      </c>
      <c r="M70" s="68">
        <f>M28*$B70</f>
        <v>1.8528587999999999E-4</v>
      </c>
      <c r="N70" s="98">
        <f>G70/'Process Model'!$R$9*1000</f>
        <v>2.9416809594625414E-3</v>
      </c>
      <c r="O70" s="54" t="s">
        <v>633</v>
      </c>
      <c r="Q70">
        <v>100</v>
      </c>
      <c r="R70" t="s">
        <v>423</v>
      </c>
      <c r="S70" s="68">
        <f>D40</f>
        <v>0.68265742212674729</v>
      </c>
      <c r="T70" s="68">
        <f t="shared" ref="T70:AA85" si="2">E40</f>
        <v>66.762409538131223</v>
      </c>
      <c r="U70" s="68">
        <f t="shared" si="2"/>
        <v>0.63877482993197454</v>
      </c>
      <c r="V70" s="68">
        <f t="shared" si="2"/>
        <v>29.272166237021203</v>
      </c>
      <c r="W70" s="68">
        <f t="shared" si="2"/>
        <v>9.9622508524883915E-7</v>
      </c>
      <c r="X70" s="68">
        <f t="shared" si="2"/>
        <v>2.8038322223415757E-6</v>
      </c>
      <c r="Y70" s="68">
        <f t="shared" si="2"/>
        <v>1.5687212758324425E-6</v>
      </c>
      <c r="Z70" s="68">
        <f t="shared" si="2"/>
        <v>2.0134678088077389</v>
      </c>
      <c r="AA70" s="68">
        <f t="shared" si="2"/>
        <v>14.786487164339459</v>
      </c>
      <c r="AB70" s="68">
        <f>M40</f>
        <v>3.9989781596849371E-2</v>
      </c>
      <c r="AD70" t="s">
        <v>477</v>
      </c>
      <c r="AE70" s="68">
        <f>D60</f>
        <v>0</v>
      </c>
      <c r="AF70" s="68">
        <f t="shared" ref="AF70:AN71" si="3">E60</f>
        <v>0</v>
      </c>
      <c r="AG70" s="68">
        <f t="shared" si="3"/>
        <v>0</v>
      </c>
      <c r="AH70" s="68">
        <f t="shared" si="3"/>
        <v>0</v>
      </c>
      <c r="AI70" s="68">
        <f t="shared" si="3"/>
        <v>0</v>
      </c>
      <c r="AJ70" s="68">
        <f t="shared" si="3"/>
        <v>0</v>
      </c>
      <c r="AK70" s="68">
        <f t="shared" si="3"/>
        <v>0</v>
      </c>
      <c r="AL70" s="68">
        <f t="shared" si="3"/>
        <v>0</v>
      </c>
      <c r="AM70" s="68">
        <f t="shared" si="3"/>
        <v>0</v>
      </c>
      <c r="AN70" s="68">
        <f t="shared" si="3"/>
        <v>0</v>
      </c>
    </row>
    <row r="71" spans="1:40" x14ac:dyDescent="0.3">
      <c r="B71" s="54">
        <f>Inputs!A32</f>
        <v>0.27648</v>
      </c>
      <c r="C71" s="114" t="s">
        <v>438</v>
      </c>
      <c r="D71" s="68">
        <f>D29*$B71</f>
        <v>2.1344255999999999E-3</v>
      </c>
      <c r="E71" s="68">
        <f>E29*$B71</f>
        <v>1.9904956415999999</v>
      </c>
      <c r="F71" s="68">
        <f>F29*$B71</f>
        <v>1.0285056000000001E-3</v>
      </c>
      <c r="G71" s="68">
        <f>G29*$B71</f>
        <v>0.24536770559999999</v>
      </c>
      <c r="H71" s="68">
        <f>H29*$B71</f>
        <v>1.6347460608E-8</v>
      </c>
      <c r="I71" s="68">
        <f>I29*$B71</f>
        <v>9.4920837120000002E-8</v>
      </c>
      <c r="J71" s="68">
        <f>J29*$B71</f>
        <v>1.0919245823999999E-8</v>
      </c>
      <c r="K71" s="68">
        <f>K29*$B71</f>
        <v>1.2286771200000001E-2</v>
      </c>
      <c r="L71" s="68">
        <f>L29*$B71</f>
        <v>0.1034919936</v>
      </c>
      <c r="M71" s="68">
        <f>M29*$B71</f>
        <v>2.2671360000000001E-4</v>
      </c>
      <c r="N71" s="98">
        <f>G71/'Process Model'!$R$9*1000</f>
        <v>6.8832127917114218E-3</v>
      </c>
      <c r="O71" s="54" t="s">
        <v>633</v>
      </c>
      <c r="Q71">
        <v>100</v>
      </c>
      <c r="R71" t="s">
        <v>424</v>
      </c>
      <c r="S71" s="68">
        <f t="shared" ref="S71:S85" si="4">D41</f>
        <v>0</v>
      </c>
      <c r="T71" s="68">
        <f t="shared" si="2"/>
        <v>0</v>
      </c>
      <c r="U71" s="68">
        <f t="shared" si="2"/>
        <v>0</v>
      </c>
      <c r="V71" s="68">
        <f t="shared" si="2"/>
        <v>0</v>
      </c>
      <c r="W71" s="68">
        <f t="shared" si="2"/>
        <v>0</v>
      </c>
      <c r="X71" s="68">
        <f t="shared" si="2"/>
        <v>0</v>
      </c>
      <c r="Y71" s="68">
        <f t="shared" si="2"/>
        <v>0</v>
      </c>
      <c r="Z71" s="68">
        <f t="shared" si="2"/>
        <v>0</v>
      </c>
      <c r="AA71" s="68">
        <f t="shared" si="2"/>
        <v>0</v>
      </c>
      <c r="AB71" s="68">
        <f t="shared" ref="AB71:AB85" si="5">M41</f>
        <v>0</v>
      </c>
      <c r="AD71" t="s">
        <v>475</v>
      </c>
      <c r="AE71" s="68">
        <f t="shared" ref="AE71" si="6">D61</f>
        <v>1.0721453707975082</v>
      </c>
      <c r="AF71" s="68">
        <f t="shared" si="3"/>
        <v>2267.3242610951625</v>
      </c>
      <c r="AG71" s="68">
        <f t="shared" si="3"/>
        <v>3.0732253588924965</v>
      </c>
      <c r="AH71" s="68">
        <f t="shared" si="3"/>
        <v>299.492391177613</v>
      </c>
      <c r="AI71" s="68">
        <f t="shared" si="3"/>
        <v>3.2107773523488212E-5</v>
      </c>
      <c r="AJ71" s="68">
        <f t="shared" si="3"/>
        <v>9.0888124124657074E-5</v>
      </c>
      <c r="AK71" s="68">
        <f t="shared" si="3"/>
        <v>1.2347747283599593E-5</v>
      </c>
      <c r="AL71" s="68">
        <f t="shared" si="3"/>
        <v>9.6415672153667629</v>
      </c>
      <c r="AM71" s="68">
        <f t="shared" si="3"/>
        <v>65.218951256093916</v>
      </c>
      <c r="AN71" s="68">
        <f t="shared" si="3"/>
        <v>1.0837570535137269</v>
      </c>
    </row>
    <row r="72" spans="1:40" ht="14.4" customHeight="1" x14ac:dyDescent="0.3">
      <c r="A72" s="254"/>
      <c r="B72" s="75">
        <f>137.226</f>
        <v>137.226</v>
      </c>
      <c r="C72" s="114" t="s">
        <v>624</v>
      </c>
      <c r="D72" s="68">
        <f>D31*$B72</f>
        <v>0</v>
      </c>
      <c r="E72" s="68">
        <f>E31*$B72</f>
        <v>0</v>
      </c>
      <c r="F72" s="68">
        <f>F31*$B72</f>
        <v>0</v>
      </c>
      <c r="G72" s="68">
        <f>G31*$B72</f>
        <v>359.53212000000002</v>
      </c>
      <c r="H72" s="68">
        <f>H31*$B72</f>
        <v>0</v>
      </c>
      <c r="I72" s="68">
        <f>I31*$B72</f>
        <v>0</v>
      </c>
      <c r="J72" s="68">
        <f>J31*$B72</f>
        <v>0</v>
      </c>
      <c r="K72" s="68">
        <f>K31*$B72</f>
        <v>0</v>
      </c>
      <c r="L72" s="68">
        <f>L31*$B72</f>
        <v>0</v>
      </c>
      <c r="M72" s="68">
        <f>M31*$B72</f>
        <v>0</v>
      </c>
      <c r="N72" s="135">
        <f>G72/'Process Model'!$R$9*1000</f>
        <v>10.085826418613772</v>
      </c>
      <c r="O72" s="131">
        <v>10.1</v>
      </c>
      <c r="Q72">
        <v>100</v>
      </c>
      <c r="R72" t="s">
        <v>425</v>
      </c>
      <c r="S72" s="68">
        <f t="shared" si="4"/>
        <v>2.9207970000000003</v>
      </c>
      <c r="T72" s="68">
        <f t="shared" si="2"/>
        <v>1936.0720764</v>
      </c>
      <c r="U72" s="68">
        <f t="shared" si="2"/>
        <v>0.94562820000000003</v>
      </c>
      <c r="V72" s="68">
        <f t="shared" si="2"/>
        <v>541.94500800000003</v>
      </c>
      <c r="W72" s="68">
        <f t="shared" si="2"/>
        <v>1.5091386948000001E-5</v>
      </c>
      <c r="X72" s="68">
        <f t="shared" si="2"/>
        <v>9.0197922870000001E-5</v>
      </c>
      <c r="Y72" s="68">
        <f t="shared" si="2"/>
        <v>9.6392755800000013E-5</v>
      </c>
      <c r="Z72" s="68">
        <f t="shared" si="2"/>
        <v>17.392458600000001</v>
      </c>
      <c r="AA72" s="68">
        <f t="shared" si="2"/>
        <v>1216.5539067</v>
      </c>
      <c r="AB72" s="68">
        <f t="shared" si="5"/>
        <v>0.48895110000000003</v>
      </c>
      <c r="AD72" t="s">
        <v>429</v>
      </c>
      <c r="AE72" s="68">
        <f t="shared" ref="AE72:AE80" si="7">D63</f>
        <v>0.1245528129725159</v>
      </c>
      <c r="AF72" s="68">
        <f t="shared" ref="AF72:AF80" si="8">E63</f>
        <v>87.518646128599997</v>
      </c>
      <c r="AG72" s="68">
        <f t="shared" ref="AG72:AG80" si="9">F63</f>
        <v>9.828567412104236E-2</v>
      </c>
      <c r="AH72" s="68">
        <f t="shared" ref="AH72:AH80" si="10">G63</f>
        <v>27.931482806999998</v>
      </c>
      <c r="AI72" s="68">
        <f t="shared" ref="AI72:AI80" si="11">H63</f>
        <v>1.5268018857893567E-6</v>
      </c>
      <c r="AJ72" s="68">
        <f t="shared" ref="AJ72:AJ80" si="12">I63</f>
        <v>4.1197075041471191E-7</v>
      </c>
      <c r="AK72" s="68">
        <f t="shared" ref="AK72:AK80" si="13">J63</f>
        <v>1.6026935866748294E-6</v>
      </c>
      <c r="AL72" s="68">
        <f t="shared" ref="AL72:AL80" si="14">K63</f>
        <v>1.4063091931576663</v>
      </c>
      <c r="AM72" s="68">
        <f t="shared" ref="AM72:AM80" si="15">L63</f>
        <v>17.13130945496</v>
      </c>
      <c r="AN72" s="68">
        <f t="shared" ref="AN72:AN80" si="16">M63</f>
        <v>4.0593382593069237E-2</v>
      </c>
    </row>
    <row r="73" spans="1:40" x14ac:dyDescent="0.3">
      <c r="B73" s="8">
        <f>'Process Model'!R12</f>
        <v>71.651001237370551</v>
      </c>
      <c r="C73" s="114" t="s">
        <v>625</v>
      </c>
      <c r="D73" s="68">
        <f>$B$73*D8</f>
        <v>0.22570065389771723</v>
      </c>
      <c r="E73" s="68">
        <f>$B$73*E8</f>
        <v>15.760354232172025</v>
      </c>
      <c r="F73" s="68">
        <f>$B$73*F8</f>
        <v>2.1495300371211164E-2</v>
      </c>
      <c r="G73" s="68">
        <f>$B$73*G8</f>
        <v>69.935676267747908</v>
      </c>
      <c r="H73" s="68">
        <f>$B$73*H8</f>
        <v>2.9324533625417408E-7</v>
      </c>
      <c r="I73" s="68">
        <f>$B$73*I8</f>
        <v>5.8541160842971338E-7</v>
      </c>
      <c r="J73" s="68">
        <f>$B$73*J8</f>
        <v>6.3445385273664397E-6</v>
      </c>
      <c r="K73" s="68">
        <f>$B$73*K8</f>
        <v>3.411304168911212</v>
      </c>
      <c r="L73" s="68">
        <f>$B$73*L8</f>
        <v>43.432687420056908</v>
      </c>
      <c r="M73" s="68">
        <f>$B$73*M8</f>
        <v>1.7912750309342636E-2</v>
      </c>
      <c r="N73" s="135">
        <f>G73/'Process Model'!$R$9*1000</f>
        <v>1.9618805999999998</v>
      </c>
      <c r="O73" s="131">
        <v>2</v>
      </c>
      <c r="Q73">
        <v>100</v>
      </c>
      <c r="R73" t="s">
        <v>426</v>
      </c>
      <c r="S73" s="68">
        <f t="shared" si="4"/>
        <v>0.13099050000000001</v>
      </c>
      <c r="T73" s="68">
        <f t="shared" si="2"/>
        <v>116.10390700000001</v>
      </c>
      <c r="U73" s="68">
        <f t="shared" si="2"/>
        <v>8.4666500000000006E-2</v>
      </c>
      <c r="V73" s="68">
        <f t="shared" si="2"/>
        <v>17.692325</v>
      </c>
      <c r="W73" s="68">
        <f t="shared" si="2"/>
        <v>9.3422518500000008E-7</v>
      </c>
      <c r="X73" s="68">
        <f t="shared" si="2"/>
        <v>6.4768933500000004E-6</v>
      </c>
      <c r="Y73" s="68">
        <f t="shared" si="2"/>
        <v>2.1224060499999999E-6</v>
      </c>
      <c r="Z73" s="68">
        <f t="shared" si="2"/>
        <v>2.4953925000000003</v>
      </c>
      <c r="AA73" s="68">
        <f t="shared" si="2"/>
        <v>25.589314999999999</v>
      </c>
      <c r="AB73" s="68">
        <f t="shared" si="5"/>
        <v>2.7074500000000001E-2</v>
      </c>
      <c r="AD73" t="s">
        <v>430</v>
      </c>
      <c r="AE73" s="68">
        <f t="shared" si="7"/>
        <v>1.0721461216000001</v>
      </c>
      <c r="AF73" s="68">
        <f t="shared" si="8"/>
        <v>302.07490466335997</v>
      </c>
      <c r="AG73" s="68">
        <f t="shared" si="9"/>
        <v>0.1057045472</v>
      </c>
      <c r="AH73" s="68">
        <f t="shared" si="10"/>
        <v>16.93839865632</v>
      </c>
      <c r="AI73" s="68">
        <f t="shared" si="11"/>
        <v>1.9731414806336E-6</v>
      </c>
      <c r="AJ73" s="68">
        <f t="shared" si="12"/>
        <v>1.41482667303776E-5</v>
      </c>
      <c r="AK73" s="68">
        <f t="shared" si="13"/>
        <v>7.4374927461888004E-6</v>
      </c>
      <c r="AL73" s="68">
        <f t="shared" si="14"/>
        <v>2.8630831641600003</v>
      </c>
      <c r="AM73" s="68">
        <f t="shared" si="15"/>
        <v>137.12295875775999</v>
      </c>
      <c r="AN73" s="68">
        <f t="shared" si="16"/>
        <v>7.3993183039999993E-2</v>
      </c>
    </row>
    <row r="74" spans="1:40" x14ac:dyDescent="0.3">
      <c r="B74" s="75">
        <f>'Process Model'!R9</f>
        <v>35647.264297199283</v>
      </c>
      <c r="C74" s="114" t="s">
        <v>603</v>
      </c>
      <c r="D74" s="68">
        <f>D30*$B74</f>
        <v>0</v>
      </c>
      <c r="E74" s="68">
        <f>E30*$B74</f>
        <v>0</v>
      </c>
      <c r="F74" s="68">
        <f>F30*$B74</f>
        <v>0</v>
      </c>
      <c r="G74" s="68">
        <f>G30*$B74</f>
        <v>80.206344668698378</v>
      </c>
      <c r="H74" s="68">
        <f>H30*$B74</f>
        <v>0</v>
      </c>
      <c r="I74" s="68">
        <f>I30*$B74</f>
        <v>0</v>
      </c>
      <c r="J74" s="68">
        <f>J30*$B74</f>
        <v>0</v>
      </c>
      <c r="K74" s="68">
        <f>K30*$B74</f>
        <v>0</v>
      </c>
      <c r="L74" s="68">
        <f>L30*$B74</f>
        <v>0</v>
      </c>
      <c r="M74" s="68">
        <f>M30*$B74</f>
        <v>0</v>
      </c>
      <c r="N74" s="135">
        <f>G74/'Process Model'!$R$9*1000</f>
        <v>2.25</v>
      </c>
      <c r="O74" s="131">
        <v>3.07</v>
      </c>
      <c r="Q74">
        <v>100</v>
      </c>
      <c r="R74" t="s">
        <v>427</v>
      </c>
      <c r="S74" s="68">
        <f t="shared" si="4"/>
        <v>0.15522360000000002</v>
      </c>
      <c r="T74" s="68">
        <f t="shared" si="2"/>
        <v>393.77868530000001</v>
      </c>
      <c r="U74" s="68">
        <f t="shared" si="2"/>
        <v>0.13087480000000001</v>
      </c>
      <c r="V74" s="68">
        <f t="shared" si="2"/>
        <v>40.213565000000003</v>
      </c>
      <c r="W74" s="68">
        <f t="shared" si="2"/>
        <v>2.8686690900000001E-6</v>
      </c>
      <c r="X74" s="68">
        <f t="shared" si="2"/>
        <v>1.8699269679999999E-5</v>
      </c>
      <c r="Y74" s="68">
        <f t="shared" si="2"/>
        <v>7.1226022840000005E-6</v>
      </c>
      <c r="Z74" s="68">
        <f t="shared" si="2"/>
        <v>2.0551908999999999</v>
      </c>
      <c r="AA74" s="68">
        <f t="shared" si="2"/>
        <v>73.490765600000003</v>
      </c>
      <c r="AB74" s="68">
        <f t="shared" si="5"/>
        <v>2.5870600000000004E-2</v>
      </c>
      <c r="AD74" t="s">
        <v>431</v>
      </c>
      <c r="AE74" s="68">
        <f t="shared" si="7"/>
        <v>0.32131586358955949</v>
      </c>
      <c r="AF74" s="68">
        <f t="shared" si="8"/>
        <v>281.73175294681363</v>
      </c>
      <c r="AG74" s="68">
        <f t="shared" si="9"/>
        <v>0.12237196586595696</v>
      </c>
      <c r="AH74" s="68">
        <f t="shared" si="10"/>
        <v>136.51916699580553</v>
      </c>
      <c r="AI74" s="68">
        <f t="shared" si="11"/>
        <v>2.0929327415841817E-6</v>
      </c>
      <c r="AJ74" s="68">
        <f t="shared" si="12"/>
        <v>1.2639521260337457E-5</v>
      </c>
      <c r="AK74" s="68">
        <f t="shared" si="13"/>
        <v>2.5364702896781083E-5</v>
      </c>
      <c r="AL74" s="68">
        <f t="shared" si="14"/>
        <v>3.590293290932784</v>
      </c>
      <c r="AM74" s="68">
        <f t="shared" si="15"/>
        <v>359.30770742498515</v>
      </c>
      <c r="AN74" s="68">
        <f t="shared" si="16"/>
        <v>5.2240663790730162E-2</v>
      </c>
    </row>
    <row r="75" spans="1:40" x14ac:dyDescent="0.3">
      <c r="B75" s="80"/>
      <c r="C75" s="80"/>
      <c r="D75" s="81"/>
      <c r="E75" s="81"/>
      <c r="F75" s="81"/>
      <c r="G75" s="81"/>
      <c r="H75" s="81"/>
      <c r="I75" s="81"/>
      <c r="J75" s="81"/>
      <c r="K75" s="81"/>
      <c r="L75" s="81"/>
      <c r="M75" s="81"/>
      <c r="N75" s="137">
        <f>SUM(N60,N62:N74)</f>
        <v>10.05436231790717</v>
      </c>
      <c r="O75" s="138">
        <f>SUM(O60,O62:O74)</f>
        <v>17.143999999999998</v>
      </c>
      <c r="Q75">
        <v>100</v>
      </c>
      <c r="R75" t="s">
        <v>428</v>
      </c>
      <c r="S75" s="68">
        <f t="shared" si="4"/>
        <v>1.4247450000000002</v>
      </c>
      <c r="T75" s="68">
        <f t="shared" si="2"/>
        <v>99.487908000000004</v>
      </c>
      <c r="U75" s="68">
        <f t="shared" si="2"/>
        <v>0.13569000000000001</v>
      </c>
      <c r="V75" s="68">
        <f t="shared" si="2"/>
        <v>441.47193800000002</v>
      </c>
      <c r="W75" s="68">
        <f t="shared" si="2"/>
        <v>1.8511236870000002E-6</v>
      </c>
      <c r="X75" s="68">
        <f t="shared" si="2"/>
        <v>3.6954357360000003E-6</v>
      </c>
      <c r="Y75" s="68">
        <f t="shared" si="2"/>
        <v>4.0050169939999997E-5</v>
      </c>
      <c r="Z75" s="68">
        <f t="shared" si="2"/>
        <v>21.534003000000002</v>
      </c>
      <c r="AA75" s="68">
        <f t="shared" si="2"/>
        <v>274.17069099999998</v>
      </c>
      <c r="AB75" s="68">
        <f t="shared" si="5"/>
        <v>0.11307500000000001</v>
      </c>
      <c r="AD75" t="s">
        <v>432</v>
      </c>
      <c r="AE75" s="68">
        <f t="shared" si="7"/>
        <v>1.4056</v>
      </c>
      <c r="AF75" s="68">
        <f t="shared" si="8"/>
        <v>1422.9726000000001</v>
      </c>
      <c r="AG75" s="68">
        <f t="shared" si="9"/>
        <v>2.6823999999999999</v>
      </c>
      <c r="AH75" s="68">
        <f t="shared" si="10"/>
        <v>208.21359999999999</v>
      </c>
      <c r="AI75" s="68">
        <f t="shared" si="11"/>
        <v>1.160285E-5</v>
      </c>
      <c r="AJ75" s="68">
        <f t="shared" si="12"/>
        <v>5.6532699999999995E-5</v>
      </c>
      <c r="AK75" s="68">
        <f t="shared" si="13"/>
        <v>2.1592339999999999E-5</v>
      </c>
      <c r="AL75" s="68">
        <f t="shared" si="14"/>
        <v>11.680200000000001</v>
      </c>
      <c r="AM75" s="68">
        <f t="shared" si="15"/>
        <v>200.7124</v>
      </c>
      <c r="AN75" s="68">
        <f t="shared" si="16"/>
        <v>0.20020000000000002</v>
      </c>
    </row>
    <row r="76" spans="1:40" x14ac:dyDescent="0.3">
      <c r="B76" s="76"/>
      <c r="C76" s="76"/>
      <c r="D76" s="79"/>
      <c r="E76" s="79"/>
      <c r="F76" s="79"/>
      <c r="G76" s="79"/>
      <c r="H76" s="79"/>
      <c r="I76" s="79"/>
      <c r="J76" s="79"/>
      <c r="K76" s="79"/>
      <c r="L76" s="79"/>
      <c r="M76" s="79"/>
      <c r="N76" s="3"/>
      <c r="Q76">
        <v>100</v>
      </c>
      <c r="R76" t="s">
        <v>54</v>
      </c>
      <c r="S76" s="68">
        <f t="shared" si="4"/>
        <v>4.466266E-2</v>
      </c>
      <c r="T76" s="68">
        <f t="shared" si="2"/>
        <v>51.266280520000002</v>
      </c>
      <c r="U76" s="68">
        <f t="shared" si="2"/>
        <v>4.0392900000000009E-2</v>
      </c>
      <c r="V76" s="68">
        <f t="shared" si="2"/>
        <v>10.698926860000002</v>
      </c>
      <c r="W76" s="68">
        <f t="shared" si="2"/>
        <v>5.531935020000001E-7</v>
      </c>
      <c r="X76" s="68">
        <f t="shared" si="2"/>
        <v>2.3886638599999999E-6</v>
      </c>
      <c r="Y76" s="68">
        <f t="shared" si="2"/>
        <v>2.35110938E-6</v>
      </c>
      <c r="Z76" s="68">
        <f t="shared" si="2"/>
        <v>0.53529690000000008</v>
      </c>
      <c r="AA76" s="68">
        <f t="shared" si="2"/>
        <v>17.1104567</v>
      </c>
      <c r="AB76" s="68">
        <f t="shared" si="5"/>
        <v>9.0853700000000006E-3</v>
      </c>
      <c r="AD76" t="s">
        <v>433</v>
      </c>
      <c r="AE76" s="68">
        <f t="shared" si="7"/>
        <v>4.4748094879999999E-2</v>
      </c>
      <c r="AF76" s="68">
        <f t="shared" si="8"/>
        <v>3.7091329117599998</v>
      </c>
      <c r="AG76" s="68">
        <f t="shared" si="9"/>
        <v>2.1768855199999996E-3</v>
      </c>
      <c r="AH76" s="68">
        <f t="shared" si="10"/>
        <v>0.35764151568000002</v>
      </c>
      <c r="AI76" s="68">
        <f t="shared" si="11"/>
        <v>3.1312917479199997E-8</v>
      </c>
      <c r="AJ76" s="68">
        <f t="shared" si="12"/>
        <v>1.69175619424E-7</v>
      </c>
      <c r="AK76" s="68">
        <f t="shared" si="13"/>
        <v>1.2275195498399998E-7</v>
      </c>
      <c r="AL76" s="68">
        <f t="shared" si="14"/>
        <v>1.515690416E-2</v>
      </c>
      <c r="AM76" s="68">
        <f t="shared" si="15"/>
        <v>2.1428682964799997</v>
      </c>
      <c r="AN76" s="68">
        <f t="shared" si="16"/>
        <v>2.88143768E-3</v>
      </c>
    </row>
    <row r="77" spans="1:40" x14ac:dyDescent="0.3">
      <c r="C77" s="65" t="s">
        <v>495</v>
      </c>
      <c r="D77" s="22">
        <f t="shared" ref="D77:L77" si="17">SUM(D58:D74)</f>
        <v>5.6963509877074294</v>
      </c>
      <c r="E77" s="22">
        <f t="shared" si="17"/>
        <v>1626.0171041689948</v>
      </c>
      <c r="F77" s="22">
        <f t="shared" si="17"/>
        <v>1.4477843930829897</v>
      </c>
      <c r="G77" s="22">
        <f t="shared" si="17"/>
        <v>1132.4058951380043</v>
      </c>
      <c r="H77" s="22">
        <f t="shared" si="17"/>
        <v>6.5341058057570895E-6</v>
      </c>
      <c r="I77" s="22">
        <f t="shared" si="17"/>
        <v>7.1844384968176517E-5</v>
      </c>
      <c r="J77" s="22">
        <f t="shared" si="17"/>
        <v>1.2288008111275306E-4</v>
      </c>
      <c r="K77" s="22">
        <f t="shared" si="17"/>
        <v>52.430834485488809</v>
      </c>
      <c r="L77" s="22">
        <f t="shared" si="17"/>
        <v>1423.5127527864406</v>
      </c>
      <c r="M77" s="22">
        <f>ABS(SUM(M58:M74))</f>
        <v>9.9172598560588993E-2</v>
      </c>
      <c r="N77" s="3"/>
      <c r="Q77">
        <v>100</v>
      </c>
      <c r="R77" t="s">
        <v>457</v>
      </c>
      <c r="S77" s="68">
        <f t="shared" si="4"/>
        <v>0.36276000000000003</v>
      </c>
      <c r="T77" s="68">
        <f t="shared" si="2"/>
        <v>270.84419000000003</v>
      </c>
      <c r="U77" s="68">
        <f t="shared" si="2"/>
        <v>0.14602999999999999</v>
      </c>
      <c r="V77" s="68">
        <f t="shared" si="2"/>
        <v>57.131450000000001</v>
      </c>
      <c r="W77" s="68">
        <f t="shared" si="2"/>
        <v>5.28846E-6</v>
      </c>
      <c r="X77" s="68">
        <f t="shared" si="2"/>
        <v>9.9845999999999992E-6</v>
      </c>
      <c r="Y77" s="68">
        <f t="shared" si="2"/>
        <v>7.6537900000000005E-6</v>
      </c>
      <c r="Z77" s="68">
        <f t="shared" si="2"/>
        <v>7.9703499999999998</v>
      </c>
      <c r="AA77" s="68">
        <f t="shared" si="2"/>
        <v>66.697630000000004</v>
      </c>
      <c r="AB77" s="68">
        <f t="shared" si="5"/>
        <v>7.8369999999999995E-2</v>
      </c>
      <c r="AD77" t="s">
        <v>434</v>
      </c>
      <c r="AE77" s="68">
        <f t="shared" si="7"/>
        <v>0.73115567533100112</v>
      </c>
      <c r="AF77" s="68">
        <f t="shared" si="8"/>
        <v>4.3579471000349408E-4</v>
      </c>
      <c r="AG77" s="68">
        <f t="shared" si="9"/>
        <v>1.2099502901458645E-2</v>
      </c>
      <c r="AH77" s="68">
        <f t="shared" si="10"/>
        <v>0.77523243590060054</v>
      </c>
      <c r="AI77" s="68">
        <f t="shared" si="11"/>
        <v>2.7536567253263938E-12</v>
      </c>
      <c r="AJ77" s="68">
        <f t="shared" si="12"/>
        <v>2.8207571114170541E-13</v>
      </c>
      <c r="AK77" s="68">
        <f t="shared" si="13"/>
        <v>0</v>
      </c>
      <c r="AL77" s="68">
        <f t="shared" si="14"/>
        <v>6.3954515336281423E-2</v>
      </c>
      <c r="AM77" s="68">
        <f t="shared" si="15"/>
        <v>0.97919548481090335</v>
      </c>
      <c r="AN77" s="68">
        <f t="shared" si="16"/>
        <v>4.407676056959936E-2</v>
      </c>
    </row>
    <row r="78" spans="1:40" x14ac:dyDescent="0.3">
      <c r="C78" s="65" t="s">
        <v>597</v>
      </c>
      <c r="D78" s="22">
        <f>D77/'Process Model'!$R$4</f>
        <v>1.3773569051833618E-2</v>
      </c>
      <c r="E78" s="22">
        <f>E77/'Process Model'!$R$4</f>
        <v>3.9316500882870935</v>
      </c>
      <c r="F78" s="22">
        <f>F77/'Process Model'!$R$4</f>
        <v>3.5006898896026706E-3</v>
      </c>
      <c r="G78" s="22">
        <f>G77/'Process Model'!$R$4</f>
        <v>2.7381161773642897</v>
      </c>
      <c r="H78" s="22">
        <f>H77/'Process Model'!$R$4</f>
        <v>1.5799229665060205E-8</v>
      </c>
      <c r="I78" s="22">
        <f>I77/'Process Model'!$R$4</f>
        <v>1.7371710406910076E-7</v>
      </c>
      <c r="J78" s="22">
        <f>J77/'Process Model'!$R$4</f>
        <v>2.9711955705569817E-7</v>
      </c>
      <c r="K78" s="22">
        <f>K77/'Process Model'!$R$4</f>
        <v>0.126775846641041</v>
      </c>
      <c r="L78" s="22">
        <f>L77/'Process Model'!$R$4</f>
        <v>3.4420019480858621</v>
      </c>
      <c r="M78" s="22">
        <f>M77/'Process Model'!$R$4</f>
        <v>2.3979572840082249E-4</v>
      </c>
      <c r="N78" s="3"/>
      <c r="Q78">
        <v>100</v>
      </c>
      <c r="R78" t="s">
        <v>466</v>
      </c>
      <c r="S78" s="68">
        <f t="shared" si="4"/>
        <v>0.13045000000000001</v>
      </c>
      <c r="T78" s="68">
        <f t="shared" si="2"/>
        <v>83.376099999999994</v>
      </c>
      <c r="U78" s="68">
        <f t="shared" si="2"/>
        <v>4.3459999999999999E-2</v>
      </c>
      <c r="V78" s="68">
        <f t="shared" si="2"/>
        <v>17.24485</v>
      </c>
      <c r="W78" s="68">
        <f t="shared" si="2"/>
        <v>1.03678E-6</v>
      </c>
      <c r="X78" s="68">
        <f t="shared" si="2"/>
        <v>3.7643300000000001E-6</v>
      </c>
      <c r="Y78" s="68">
        <f t="shared" si="2"/>
        <v>3.0117599999999999E-6</v>
      </c>
      <c r="Z78" s="68">
        <f t="shared" si="2"/>
        <v>3.17198</v>
      </c>
      <c r="AA78" s="68">
        <f t="shared" si="2"/>
        <v>26.205690000000001</v>
      </c>
      <c r="AB78" s="68">
        <f t="shared" si="5"/>
        <v>1.9990000000000001E-2</v>
      </c>
      <c r="AD78" t="s">
        <v>435</v>
      </c>
      <c r="AE78" s="68">
        <f t="shared" si="7"/>
        <v>9.9488844E-3</v>
      </c>
      <c r="AF78" s="68">
        <f t="shared" si="8"/>
        <v>16.024610805840002</v>
      </c>
      <c r="AG78" s="68">
        <f t="shared" si="9"/>
        <v>6.2610256799999998E-3</v>
      </c>
      <c r="AH78" s="68">
        <f t="shared" si="10"/>
        <v>2.2133194574399999</v>
      </c>
      <c r="AI78" s="68">
        <f t="shared" si="11"/>
        <v>1.22429617128E-7</v>
      </c>
      <c r="AJ78" s="68">
        <f t="shared" si="12"/>
        <v>7.6406911307999993E-7</v>
      </c>
      <c r="AK78" s="68">
        <f t="shared" si="13"/>
        <v>1.7999042443200003E-7</v>
      </c>
      <c r="AL78" s="68">
        <f t="shared" si="14"/>
        <v>8.9602465680000007E-2</v>
      </c>
      <c r="AM78" s="68">
        <f t="shared" si="15"/>
        <v>2.6167336977600004</v>
      </c>
      <c r="AN78" s="68">
        <f t="shared" si="16"/>
        <v>1.5105635999999999E-3</v>
      </c>
    </row>
    <row r="79" spans="1:40" x14ac:dyDescent="0.3">
      <c r="B79" s="118">
        <f>D58/D77</f>
        <v>0.46273104678449417</v>
      </c>
      <c r="C79" s="65" t="s">
        <v>601</v>
      </c>
      <c r="D79" s="22"/>
      <c r="E79" s="98"/>
      <c r="F79" s="22"/>
      <c r="G79" s="40">
        <f>G77/'Process Model'!R9*1000</f>
        <v>31.766978966376801</v>
      </c>
      <c r="H79" t="s">
        <v>602</v>
      </c>
      <c r="I79" s="22"/>
      <c r="J79" s="22"/>
      <c r="K79" s="22"/>
      <c r="L79" s="22"/>
      <c r="M79" s="22"/>
      <c r="N79" s="3"/>
      <c r="Q79">
        <v>100</v>
      </c>
      <c r="R79" t="s">
        <v>456</v>
      </c>
      <c r="S79" s="68">
        <f t="shared" si="4"/>
        <v>0.88478000000000001</v>
      </c>
      <c r="T79" s="68">
        <f t="shared" si="2"/>
        <v>547.03817000000004</v>
      </c>
      <c r="U79" s="68">
        <f t="shared" si="2"/>
        <v>0.28473999999999999</v>
      </c>
      <c r="V79" s="68">
        <f t="shared" si="2"/>
        <v>113.82844</v>
      </c>
      <c r="W79" s="68">
        <f t="shared" si="2"/>
        <v>6.6293199999999999E-6</v>
      </c>
      <c r="X79" s="68">
        <f t="shared" si="2"/>
        <v>2.48619E-5</v>
      </c>
      <c r="Y79" s="68">
        <f t="shared" si="2"/>
        <v>2.01212E-5</v>
      </c>
      <c r="Z79" s="68">
        <f t="shared" si="2"/>
        <v>21.88522</v>
      </c>
      <c r="AA79" s="68">
        <f t="shared" si="2"/>
        <v>174.78767999999999</v>
      </c>
      <c r="AB79" s="68">
        <f t="shared" si="5"/>
        <v>7.4770000000000003E-2</v>
      </c>
      <c r="AD79" t="s">
        <v>437</v>
      </c>
      <c r="AE79" s="68">
        <f t="shared" si="7"/>
        <v>4.911192E-4</v>
      </c>
      <c r="AF79" s="68">
        <f t="shared" si="8"/>
        <v>0.31086505943999998</v>
      </c>
      <c r="AG79" s="68">
        <f t="shared" si="9"/>
        <v>3.6164231999999999E-4</v>
      </c>
      <c r="AH79" s="68">
        <f t="shared" si="10"/>
        <v>0.10486287863999999</v>
      </c>
      <c r="AI79" s="68">
        <f t="shared" si="11"/>
        <v>5.2835050008E-9</v>
      </c>
      <c r="AJ79" s="68">
        <f t="shared" si="12"/>
        <v>1.4626154836799998E-8</v>
      </c>
      <c r="AK79" s="68">
        <f t="shared" si="13"/>
        <v>5.1700118183999997E-9</v>
      </c>
      <c r="AL79" s="68">
        <f t="shared" si="14"/>
        <v>5.7996712799999999E-3</v>
      </c>
      <c r="AM79" s="68">
        <f t="shared" si="15"/>
        <v>6.3707089679999995E-2</v>
      </c>
      <c r="AN79" s="68">
        <f t="shared" si="16"/>
        <v>1.8528587999999999E-4</v>
      </c>
    </row>
    <row r="80" spans="1:40" x14ac:dyDescent="0.3">
      <c r="C80" s="65"/>
      <c r="D80" s="79"/>
      <c r="E80" s="79"/>
      <c r="F80" s="162">
        <f>G79/G80</f>
        <v>0.7921939891864539</v>
      </c>
      <c r="G80" s="22">
        <v>40.1</v>
      </c>
      <c r="H80" s="22" t="s">
        <v>610</v>
      </c>
      <c r="I80" s="79"/>
      <c r="J80" s="22"/>
      <c r="K80" s="79"/>
      <c r="L80" s="79"/>
      <c r="M80" s="79"/>
      <c r="N80" s="3"/>
      <c r="Q80">
        <v>100</v>
      </c>
      <c r="R80" t="s">
        <v>458</v>
      </c>
      <c r="S80" s="68">
        <f t="shared" si="4"/>
        <v>0.29953999999999997</v>
      </c>
      <c r="T80" s="68">
        <f t="shared" si="2"/>
        <v>77.610789999999994</v>
      </c>
      <c r="U80" s="68">
        <f t="shared" si="2"/>
        <v>5.6489999999999999E-2</v>
      </c>
      <c r="V80" s="68">
        <f t="shared" si="2"/>
        <v>33.603029999999997</v>
      </c>
      <c r="W80" s="68">
        <f t="shared" si="2"/>
        <v>1.10935E-6</v>
      </c>
      <c r="X80" s="68">
        <f t="shared" si="2"/>
        <v>3.3766399999999998E-6</v>
      </c>
      <c r="Y80" s="68">
        <f t="shared" si="2"/>
        <v>6.9960399999999999E-6</v>
      </c>
      <c r="Z80" s="68">
        <f t="shared" si="2"/>
        <v>8.4742300000000004</v>
      </c>
      <c r="AA80" s="68">
        <f t="shared" si="2"/>
        <v>59.1584</v>
      </c>
      <c r="AB80" s="68">
        <f t="shared" si="5"/>
        <v>3.7280000000000001E-2</v>
      </c>
      <c r="AD80" t="s">
        <v>438</v>
      </c>
      <c r="AE80" s="68">
        <f t="shared" si="7"/>
        <v>2.1344255999999999E-3</v>
      </c>
      <c r="AF80" s="68">
        <f t="shared" si="8"/>
        <v>1.9904956415999999</v>
      </c>
      <c r="AG80" s="68">
        <f t="shared" si="9"/>
        <v>1.0285056000000001E-3</v>
      </c>
      <c r="AH80" s="68">
        <f t="shared" si="10"/>
        <v>0.24536770559999999</v>
      </c>
      <c r="AI80" s="68">
        <f t="shared" si="11"/>
        <v>1.6347460608E-8</v>
      </c>
      <c r="AJ80" s="68">
        <f t="shared" si="12"/>
        <v>9.4920837120000002E-8</v>
      </c>
      <c r="AK80" s="68">
        <f t="shared" si="13"/>
        <v>1.0919245823999999E-8</v>
      </c>
      <c r="AL80" s="68">
        <f t="shared" si="14"/>
        <v>1.2286771200000001E-2</v>
      </c>
      <c r="AM80" s="68">
        <f t="shared" si="15"/>
        <v>0.1034919936</v>
      </c>
      <c r="AN80" s="68">
        <f t="shared" si="16"/>
        <v>2.2671360000000001E-4</v>
      </c>
    </row>
    <row r="81" spans="2:28" ht="28.8" x14ac:dyDescent="0.3">
      <c r="B81" s="77"/>
      <c r="C81" s="66" t="s">
        <v>421</v>
      </c>
      <c r="D81" s="71" t="s">
        <v>496</v>
      </c>
      <c r="E81" s="71" t="s">
        <v>497</v>
      </c>
      <c r="F81" s="71" t="s">
        <v>498</v>
      </c>
      <c r="G81" s="71" t="s">
        <v>485</v>
      </c>
      <c r="H81" s="71" t="s">
        <v>499</v>
      </c>
      <c r="I81" s="71" t="s">
        <v>500</v>
      </c>
      <c r="J81" s="71" t="s">
        <v>501</v>
      </c>
      <c r="K81" s="71" t="s">
        <v>502</v>
      </c>
      <c r="L81" s="71" t="s">
        <v>503</v>
      </c>
      <c r="M81" s="71" t="s">
        <v>504</v>
      </c>
      <c r="N81" s="3"/>
      <c r="Q81">
        <v>100</v>
      </c>
      <c r="R81" t="s">
        <v>463</v>
      </c>
      <c r="S81" s="68">
        <f t="shared" si="4"/>
        <v>0</v>
      </c>
      <c r="T81" s="68">
        <f t="shared" si="2"/>
        <v>0</v>
      </c>
      <c r="U81" s="68">
        <f t="shared" si="2"/>
        <v>0</v>
      </c>
      <c r="V81" s="68">
        <f t="shared" si="2"/>
        <v>0</v>
      </c>
      <c r="W81" s="68">
        <f t="shared" si="2"/>
        <v>0</v>
      </c>
      <c r="X81" s="68">
        <f t="shared" si="2"/>
        <v>0</v>
      </c>
      <c r="Y81" s="68">
        <f t="shared" si="2"/>
        <v>0</v>
      </c>
      <c r="Z81" s="68">
        <f t="shared" si="2"/>
        <v>0</v>
      </c>
      <c r="AA81" s="68">
        <f t="shared" si="2"/>
        <v>0</v>
      </c>
      <c r="AB81" s="68">
        <f t="shared" si="5"/>
        <v>0</v>
      </c>
    </row>
    <row r="82" spans="2:28" x14ac:dyDescent="0.3">
      <c r="B82" s="77"/>
      <c r="C82" s="66" t="s">
        <v>423</v>
      </c>
      <c r="D82" s="128">
        <f>D40/D$77*Outputs!$M$9</f>
        <v>3.8642260009752322E-2</v>
      </c>
      <c r="E82" s="128">
        <f>E40/E$77*Outputs!$M$9</f>
        <v>1.3239248559792154E-2</v>
      </c>
      <c r="F82" s="128">
        <f>F40/F$77*Outputs!$M$9</f>
        <v>0.14226574659877986</v>
      </c>
      <c r="G82" s="128">
        <f>G40/G$77*Outputs!$M$9</f>
        <v>8.3350687104571976E-3</v>
      </c>
      <c r="H82" s="128">
        <f>H40/H$77*Outputs!$M$9</f>
        <v>4.9161797497311803E-2</v>
      </c>
      <c r="I82" s="128">
        <f>I40/I$77*Outputs!$M$9</f>
        <v>1.2583910887197999E-2</v>
      </c>
      <c r="J82" s="128">
        <f>J40/J$77*Outputs!$M$9</f>
        <v>4.1164300546052144E-3</v>
      </c>
      <c r="K82" s="128">
        <f>K40/K$77*Outputs!$M$9</f>
        <v>1.2382671839500894E-2</v>
      </c>
      <c r="L82" s="128">
        <f>L40/L$77*Outputs!$M$9</f>
        <v>3.3493465964209981E-3</v>
      </c>
      <c r="M82" s="128">
        <f>M40/M$77*Outputs!$M$9</f>
        <v>0.13002108395647877</v>
      </c>
      <c r="N82" s="3"/>
      <c r="Q82">
        <v>100</v>
      </c>
      <c r="R82" t="s">
        <v>468</v>
      </c>
      <c r="S82" s="68">
        <f t="shared" si="4"/>
        <v>0.30092124000000003</v>
      </c>
      <c r="T82" s="68">
        <f t="shared" si="2"/>
        <v>125.24524547999999</v>
      </c>
      <c r="U82" s="68">
        <f t="shared" si="2"/>
        <v>7.9100320000000016E-2</v>
      </c>
      <c r="V82" s="68">
        <f t="shared" si="2"/>
        <v>39.018022440000003</v>
      </c>
      <c r="W82" s="68">
        <f t="shared" si="2"/>
        <v>2.0755154440000004E-6</v>
      </c>
      <c r="X82" s="68">
        <f t="shared" si="2"/>
        <v>5.1766327519999999E-6</v>
      </c>
      <c r="Y82" s="68">
        <f t="shared" si="2"/>
        <v>7.1743542840000001E-6</v>
      </c>
      <c r="Z82" s="68">
        <f t="shared" si="2"/>
        <v>7.8218942</v>
      </c>
      <c r="AA82" s="68">
        <f t="shared" si="2"/>
        <v>61.357957160000005</v>
      </c>
      <c r="AB82" s="68">
        <f t="shared" si="5"/>
        <v>5.2345800000000005E-2</v>
      </c>
    </row>
    <row r="83" spans="2:28" x14ac:dyDescent="0.3">
      <c r="B83" s="77"/>
      <c r="C83" s="129" t="s">
        <v>424</v>
      </c>
      <c r="D83" s="130">
        <f>D41/D$77*Outputs!$M$9</f>
        <v>0</v>
      </c>
      <c r="E83" s="130">
        <f>E41/E$77*Outputs!$M$9</f>
        <v>0</v>
      </c>
      <c r="F83" s="130">
        <f>F41/F$77*Outputs!$M$9</f>
        <v>0</v>
      </c>
      <c r="G83" s="130">
        <f>G41/G$77*Outputs!$M$9</f>
        <v>0</v>
      </c>
      <c r="H83" s="130">
        <f>H41/H$77*Outputs!$M$9</f>
        <v>0</v>
      </c>
      <c r="I83" s="130">
        <f>I41/I$77*Outputs!$M$9</f>
        <v>0</v>
      </c>
      <c r="J83" s="130">
        <f>J41/J$77*Outputs!$M$9</f>
        <v>0</v>
      </c>
      <c r="K83" s="130">
        <f>K41/K$77*Outputs!$M$9</f>
        <v>0</v>
      </c>
      <c r="L83" s="130">
        <f>L41/L$77*Outputs!$M$9</f>
        <v>0</v>
      </c>
      <c r="M83" s="130">
        <f>M41/M$77*Outputs!$M$9</f>
        <v>0</v>
      </c>
      <c r="N83" s="3"/>
      <c r="Q83">
        <v>100</v>
      </c>
      <c r="R83" t="s">
        <v>467</v>
      </c>
      <c r="S83" s="68">
        <f t="shared" si="4"/>
        <v>0.10853924000000001</v>
      </c>
      <c r="T83" s="68">
        <f t="shared" si="2"/>
        <v>15.968600800000001</v>
      </c>
      <c r="U83" s="68">
        <f t="shared" si="2"/>
        <v>1.61064E-2</v>
      </c>
      <c r="V83" s="68">
        <f t="shared" si="2"/>
        <v>12.377947360000002</v>
      </c>
      <c r="W83" s="68">
        <f t="shared" si="2"/>
        <v>2.29677264E-7</v>
      </c>
      <c r="X83" s="68">
        <f t="shared" si="2"/>
        <v>6.9364717040000001E-7</v>
      </c>
      <c r="Y83" s="68">
        <f t="shared" si="2"/>
        <v>2.8152823960000001E-6</v>
      </c>
      <c r="Z83" s="68">
        <f t="shared" si="2"/>
        <v>3.14665368</v>
      </c>
      <c r="AA83" s="68">
        <f t="shared" si="2"/>
        <v>23.626209720000002</v>
      </c>
      <c r="AB83" s="68">
        <f t="shared" si="5"/>
        <v>1.5658999999999999E-2</v>
      </c>
    </row>
    <row r="84" spans="2:28" x14ac:dyDescent="0.3">
      <c r="B84" s="65"/>
      <c r="C84" s="65" t="s">
        <v>425</v>
      </c>
      <c r="D84" s="128">
        <f>D42/D$77*Outputs!$M$9</f>
        <v>0.16533358233780249</v>
      </c>
      <c r="E84" s="128">
        <f>E42/E$77*Outputs!$M$9</f>
        <v>0.38393071230439568</v>
      </c>
      <c r="F84" s="128">
        <f>F42/F$77*Outputs!$M$9</f>
        <v>0.21060708026361491</v>
      </c>
      <c r="G84" s="128">
        <f>G42/G$77*Outputs!$M$9</f>
        <v>0.15431549692609803</v>
      </c>
      <c r="H84" s="128">
        <f>H42/H$77*Outputs!$M$9</f>
        <v>0.74473100514813095</v>
      </c>
      <c r="I84" s="128">
        <f>I42/I$77*Outputs!$M$9</f>
        <v>0.40481831065431073</v>
      </c>
      <c r="J84" s="128">
        <f>J42/J$77*Outputs!$M$9</f>
        <v>0.25294106935011906</v>
      </c>
      <c r="K84" s="128">
        <f>K42/K$77*Outputs!$M$9</f>
        <v>0.10696227989531758</v>
      </c>
      <c r="L84" s="128">
        <f>L42/L$77*Outputs!$M$9</f>
        <v>0.27556651160494461</v>
      </c>
      <c r="M84" s="128">
        <f>M42/M$77*Outputs!$M$9</f>
        <v>1.5897549195097722</v>
      </c>
      <c r="N84" s="3"/>
      <c r="Q84">
        <v>100</v>
      </c>
      <c r="R84" t="s">
        <v>473</v>
      </c>
      <c r="S84" s="68">
        <f t="shared" si="4"/>
        <v>0.44900415764738821</v>
      </c>
      <c r="T84" s="68">
        <f t="shared" si="2"/>
        <v>282.27507243136148</v>
      </c>
      <c r="U84" s="68">
        <f t="shared" si="2"/>
        <v>0.16879855550653694</v>
      </c>
      <c r="V84" s="68">
        <f t="shared" si="2"/>
        <v>71.817033425811204</v>
      </c>
      <c r="W84" s="68">
        <f t="shared" si="2"/>
        <v>6.9763430199518676E-6</v>
      </c>
      <c r="X84" s="68">
        <f t="shared" si="2"/>
        <v>1.2056099229943387E-5</v>
      </c>
      <c r="Y84" s="68">
        <f t="shared" si="2"/>
        <v>9.5122374790376721E-6</v>
      </c>
      <c r="Z84" s="68">
        <f t="shared" si="2"/>
        <v>9.1860173906657394</v>
      </c>
      <c r="AA84" s="68">
        <f t="shared" si="2"/>
        <v>84.449917319920417</v>
      </c>
      <c r="AB84" s="68">
        <f t="shared" si="5"/>
        <v>8.77752488633992E-2</v>
      </c>
    </row>
    <row r="85" spans="2:28" x14ac:dyDescent="0.3">
      <c r="B85" s="65"/>
      <c r="C85" s="66" t="s">
        <v>426</v>
      </c>
      <c r="D85" s="128">
        <f>D43/D$77*Outputs!$M$9</f>
        <v>7.414801034518974E-3</v>
      </c>
      <c r="E85" s="128">
        <f>E43/E$77*Outputs!$M$9</f>
        <v>2.3023861693578694E-2</v>
      </c>
      <c r="F85" s="128">
        <f>F43/F$77*Outputs!$M$9</f>
        <v>1.885663346454701E-2</v>
      </c>
      <c r="G85" s="128">
        <f>G43/G$77*Outputs!$M$9</f>
        <v>5.0377803722716948E-3</v>
      </c>
      <c r="H85" s="128">
        <f>H43/H$77*Outputs!$M$9</f>
        <v>4.6102221317170129E-2</v>
      </c>
      <c r="I85" s="128">
        <f>I43/I$77*Outputs!$M$9</f>
        <v>2.9069017786741182E-2</v>
      </c>
      <c r="J85" s="128">
        <f>J43/J$77*Outputs!$M$9</f>
        <v>5.5693361127264517E-3</v>
      </c>
      <c r="K85" s="128">
        <f>K43/K$77*Outputs!$M$9</f>
        <v>1.5346471546793061E-2</v>
      </c>
      <c r="L85" s="128">
        <f>L43/L$77*Outputs!$M$9</f>
        <v>5.7963385182313873E-3</v>
      </c>
      <c r="M85" s="128">
        <f>M43/M$77*Outputs!$M$9</f>
        <v>8.8028883805082628E-2</v>
      </c>
      <c r="N85" s="3"/>
      <c r="Q85">
        <v>100</v>
      </c>
      <c r="R85" t="s">
        <v>481</v>
      </c>
      <c r="S85" s="68">
        <f t="shared" si="4"/>
        <v>0.27957485199020593</v>
      </c>
      <c r="T85" s="68">
        <f t="shared" si="2"/>
        <v>118.57295405794517</v>
      </c>
      <c r="U85" s="68">
        <f t="shared" si="2"/>
        <v>5.2593288988256562E-2</v>
      </c>
      <c r="V85" s="68">
        <f t="shared" si="2"/>
        <v>45.260677276156997</v>
      </c>
      <c r="W85" s="68">
        <f t="shared" si="2"/>
        <v>1.3229620399568619E-6</v>
      </c>
      <c r="X85" s="68">
        <f t="shared" si="2"/>
        <v>4.5572638521892612E-6</v>
      </c>
      <c r="Y85" s="68">
        <f t="shared" si="2"/>
        <v>1.1201623176181446E-5</v>
      </c>
      <c r="Z85" s="68">
        <f t="shared" si="2"/>
        <v>7.6315630389801763</v>
      </c>
      <c r="AA85" s="68">
        <f t="shared" si="2"/>
        <v>94.070017525100567</v>
      </c>
      <c r="AB85" s="68">
        <f t="shared" si="5"/>
        <v>2.7094318604009644E-2</v>
      </c>
    </row>
    <row r="86" spans="2:28" x14ac:dyDescent="0.3">
      <c r="B86" s="65"/>
      <c r="C86" s="66" t="s">
        <v>427</v>
      </c>
      <c r="D86" s="128">
        <f>D44/D$77*Outputs!$M$9</f>
        <v>8.786531159601341E-3</v>
      </c>
      <c r="E86" s="128">
        <f>E44/E$77*Outputs!$M$9</f>
        <v>7.8087863040013361E-2</v>
      </c>
      <c r="F86" s="128">
        <f>F44/F$77*Outputs!$M$9</f>
        <v>2.9147988086739112E-2</v>
      </c>
      <c r="G86" s="128">
        <f>G44/G$77*Outputs!$M$9</f>
        <v>1.1450564493704024E-2</v>
      </c>
      <c r="H86" s="128">
        <f>H44/H$77*Outputs!$M$9</f>
        <v>0.14156331834803301</v>
      </c>
      <c r="I86" s="128">
        <f>I44/I$77*Outputs!$M$9</f>
        <v>8.3924402264087011E-2</v>
      </c>
      <c r="J86" s="128">
        <f>J44/J$77*Outputs!$M$9</f>
        <v>1.8690187071823093E-2</v>
      </c>
      <c r="K86" s="128">
        <f>K44/K$77*Outputs!$M$9</f>
        <v>1.2639265634595767E-2</v>
      </c>
      <c r="L86" s="128">
        <f>L44/L$77*Outputs!$M$9</f>
        <v>1.6646688486252729E-2</v>
      </c>
      <c r="M86" s="128">
        <f>M44/M$77*Outputs!$M$9</f>
        <v>8.4114574280883134E-2</v>
      </c>
      <c r="N86" s="3"/>
    </row>
    <row r="87" spans="2:28" x14ac:dyDescent="0.3">
      <c r="B87" s="65"/>
      <c r="C87" s="66" t="s">
        <v>428</v>
      </c>
      <c r="D87" s="128">
        <f>D45/D$77*Outputs!$M$9</f>
        <v>8.0648601997287864E-2</v>
      </c>
      <c r="E87" s="128">
        <f>E45/E$77*Outputs!$M$9</f>
        <v>1.9728843698390622E-2</v>
      </c>
      <c r="F87" s="128">
        <f>F45/F$77*Outputs!$M$9</f>
        <v>3.0220412970943449E-2</v>
      </c>
      <c r="G87" s="128">
        <f>G45/G$77*Outputs!$M$9</f>
        <v>0.12570641021828091</v>
      </c>
      <c r="H87" s="128">
        <f>H45/H$77*Outputs!$M$9</f>
        <v>9.1349404055650646E-2</v>
      </c>
      <c r="I87" s="128">
        <f>I45/I$77*Outputs!$M$9</f>
        <v>1.6585526630532366E-2</v>
      </c>
      <c r="J87" s="128">
        <f>J45/J$77*Outputs!$M$9</f>
        <v>0.10509433751740078</v>
      </c>
      <c r="K87" s="128">
        <f>K45/K$77*Outputs!$M$9</f>
        <v>0.13243245875270379</v>
      </c>
      <c r="L87" s="128">
        <f>L45/L$77*Outputs!$M$9</f>
        <v>6.2103504404608538E-2</v>
      </c>
      <c r="M87" s="128">
        <f>M45/M$77*Outputs!$M$9</f>
        <v>0.36764727091025567</v>
      </c>
      <c r="N87" s="3"/>
    </row>
    <row r="88" spans="2:28" x14ac:dyDescent="0.3">
      <c r="B88" s="65"/>
      <c r="C88" s="66" t="s">
        <v>54</v>
      </c>
      <c r="D88" s="128">
        <f>D46/D$77*Outputs!$M$9</f>
        <v>2.5281584357061708E-3</v>
      </c>
      <c r="E88" s="128">
        <f>E46/E$77*Outputs!$M$9</f>
        <v>1.0166305189339473E-2</v>
      </c>
      <c r="F88" s="128">
        <f>F46/F$77*Outputs!$M$9</f>
        <v>8.9961686129709038E-3</v>
      </c>
      <c r="G88" s="128">
        <f>G46/G$77*Outputs!$M$9</f>
        <v>3.0464534050600161E-3</v>
      </c>
      <c r="H88" s="128">
        <f>H46/H$77*Outputs!$M$9</f>
        <v>2.7299038465147349E-2</v>
      </c>
      <c r="I88" s="128">
        <f>I46/I$77*Outputs!$M$9</f>
        <v>1.0720589097377348E-2</v>
      </c>
      <c r="J88" s="128">
        <f>J46/J$77*Outputs!$M$9</f>
        <v>6.1694690207860555E-3</v>
      </c>
      <c r="K88" s="128">
        <f>K46/K$77*Outputs!$M$9</f>
        <v>3.2920346778859562E-3</v>
      </c>
      <c r="L88" s="128">
        <f>L46/L$77*Outputs!$M$9</f>
        <v>3.8757582699943437E-3</v>
      </c>
      <c r="M88" s="128">
        <f>M46/M$77*Outputs!$M$9</f>
        <v>2.9539787625115277E-2</v>
      </c>
      <c r="N88" s="3"/>
    </row>
    <row r="89" spans="2:28" x14ac:dyDescent="0.3">
      <c r="B89" s="65"/>
      <c r="C89" s="66" t="s">
        <v>457</v>
      </c>
      <c r="D89" s="128">
        <f>D47/D$77*Outputs!$M$9</f>
        <v>2.0534261822667314E-2</v>
      </c>
      <c r="E89" s="128">
        <f>E47/E$77*Outputs!$M$9</f>
        <v>5.3709468804261251E-2</v>
      </c>
      <c r="F89" s="128">
        <f>F47/F$77*Outputs!$M$9</f>
        <v>3.2523302425726819E-2</v>
      </c>
      <c r="G89" s="128">
        <f>G47/G$77*Outputs!$M$9</f>
        <v>1.6267827854700937E-2</v>
      </c>
      <c r="H89" s="128">
        <f>H47/H$77*Outputs!$M$9</f>
        <v>0.26097535932624372</v>
      </c>
      <c r="I89" s="128">
        <f>I47/I$77*Outputs!$M$9</f>
        <v>4.4811995397993694E-2</v>
      </c>
      <c r="J89" s="128">
        <f>J47/J$77*Outputs!$M$9</f>
        <v>2.0084059337384851E-2</v>
      </c>
      <c r="K89" s="128">
        <f>K47/K$77*Outputs!$M$9</f>
        <v>4.9017038198592836E-2</v>
      </c>
      <c r="L89" s="128">
        <f>L47/L$77*Outputs!$M$9</f>
        <v>1.5107948057372592E-2</v>
      </c>
      <c r="M89" s="128">
        <f>M47/M$77*Outputs!$M$9</f>
        <v>0.25480890224396846</v>
      </c>
      <c r="N89" s="3"/>
    </row>
    <row r="90" spans="2:28" x14ac:dyDescent="0.3">
      <c r="B90" s="65"/>
      <c r="C90" s="66" t="s">
        <v>466</v>
      </c>
      <c r="D90" s="128">
        <f>D48/D$77*Outputs!$M$9</f>
        <v>7.3842056863131309E-3</v>
      </c>
      <c r="E90" s="128">
        <f>E48/E$77*Outputs!$M$9</f>
        <v>1.6533808762783375E-2</v>
      </c>
      <c r="F90" s="128">
        <f>F48/F$77*Outputs!$M$9</f>
        <v>9.6792626407045633E-3</v>
      </c>
      <c r="G90" s="128">
        <f>G48/G$77*Outputs!$M$9</f>
        <v>4.9103646271911432E-3</v>
      </c>
      <c r="H90" s="128">
        <f>H48/H$77*Outputs!$M$9</f>
        <v>5.1163104768167475E-2</v>
      </c>
      <c r="I90" s="128">
        <f>I48/I$77*Outputs!$M$9</f>
        <v>1.689473175054881E-2</v>
      </c>
      <c r="J90" s="128">
        <f>J48/J$77*Outputs!$M$9</f>
        <v>7.9030606470731745E-3</v>
      </c>
      <c r="K90" s="128">
        <f>K48/K$77*Outputs!$M$9</f>
        <v>1.950743252494213E-2</v>
      </c>
      <c r="L90" s="128">
        <f>L48/L$77*Outputs!$M$9</f>
        <v>5.935956095105754E-3</v>
      </c>
      <c r="M90" s="128">
        <f>M48/M$77*Outputs!$M$9</f>
        <v>6.4994640243166132E-2</v>
      </c>
      <c r="N90" s="3"/>
    </row>
    <row r="91" spans="2:28" x14ac:dyDescent="0.3">
      <c r="B91" s="66"/>
      <c r="C91" s="66" t="s">
        <v>456</v>
      </c>
      <c r="D91" s="128">
        <f>D49/D$77*Outputs!$M$9</f>
        <v>5.0083537808632665E-2</v>
      </c>
      <c r="E91" s="128">
        <f>E49/E$77*Outputs!$M$9</f>
        <v>0.10847982202001513</v>
      </c>
      <c r="F91" s="128">
        <f>F49/F$77*Outputs!$M$9</f>
        <v>6.3416319473405827E-2</v>
      </c>
      <c r="G91" s="128">
        <f>G49/G$77*Outputs!$M$9</f>
        <v>3.2411945905261537E-2</v>
      </c>
      <c r="H91" s="128">
        <f>H49/H$77*Outputs!$M$9</f>
        <v>0.32714422896053935</v>
      </c>
      <c r="I91" s="128">
        <f>I49/I$77*Outputs!$M$9</f>
        <v>0.11158297261636717</v>
      </c>
      <c r="J91" s="128">
        <f>J49/J$77*Outputs!$M$9</f>
        <v>5.2799381056886592E-2</v>
      </c>
      <c r="K91" s="128">
        <f>K49/K$77*Outputs!$M$9</f>
        <v>0.13459241623324042</v>
      </c>
      <c r="L91" s="128">
        <f>L49/L$77*Outputs!$M$9</f>
        <v>3.9591859418522994E-2</v>
      </c>
      <c r="M91" s="128">
        <f>M49/M$77*Outputs!$M$9</f>
        <v>0.24310401455635477</v>
      </c>
      <c r="N91" s="3"/>
    </row>
    <row r="92" spans="2:28" x14ac:dyDescent="0.3">
      <c r="B92" s="66"/>
      <c r="C92" s="66" t="s">
        <v>458</v>
      </c>
      <c r="D92" s="128">
        <f>D50/D$77*Outputs!$M$9</f>
        <v>1.6955653286916325E-2</v>
      </c>
      <c r="E92" s="128">
        <f>E50/E$77*Outputs!$M$9</f>
        <v>1.5390525099981175E-2</v>
      </c>
      <c r="F92" s="128">
        <f>F50/F$77*Outputs!$M$9</f>
        <v>1.258125970026233E-2</v>
      </c>
      <c r="G92" s="128">
        <f>G50/G$77*Outputs!$M$9</f>
        <v>9.5682554431289792E-3</v>
      </c>
      <c r="H92" s="128">
        <f>H50/H$77*Outputs!$M$9</f>
        <v>5.4744295100760614E-2</v>
      </c>
      <c r="I92" s="128">
        <f>I50/I$77*Outputs!$M$9</f>
        <v>1.5154735907365486E-2</v>
      </c>
      <c r="J92" s="128">
        <f>J50/J$77*Outputs!$M$9</f>
        <v>1.8358079132915574E-2</v>
      </c>
      <c r="K92" s="128">
        <f>K50/K$77*Outputs!$M$9</f>
        <v>5.2115861362883861E-2</v>
      </c>
      <c r="L92" s="128">
        <f>L50/L$77*Outputs!$M$9</f>
        <v>1.3400206789315763E-2</v>
      </c>
      <c r="M92" s="128">
        <f>M50/M$77*Outputs!$M$9</f>
        <v>0.12121061472062199</v>
      </c>
      <c r="N92" s="3"/>
    </row>
    <row r="93" spans="2:28" x14ac:dyDescent="0.3">
      <c r="B93" s="66"/>
      <c r="C93" s="129" t="s">
        <v>463</v>
      </c>
      <c r="D93" s="130">
        <f>D51/D$77*Outputs!$M$9</f>
        <v>0</v>
      </c>
      <c r="E93" s="130">
        <f>E51/E$77*Outputs!$M$9</f>
        <v>0</v>
      </c>
      <c r="F93" s="130">
        <f>F51/F$77*Outputs!$M$9</f>
        <v>0</v>
      </c>
      <c r="G93" s="130">
        <f>G51/G$77*Outputs!$M$9</f>
        <v>0</v>
      </c>
      <c r="H93" s="130">
        <f>H51/H$77*Outputs!$M$9</f>
        <v>0</v>
      </c>
      <c r="I93" s="130">
        <f>I51/I$77*Outputs!$M$9</f>
        <v>0</v>
      </c>
      <c r="J93" s="130">
        <f>J51/J$77*Outputs!$M$9</f>
        <v>0</v>
      </c>
      <c r="K93" s="130">
        <f>K51/K$77*Outputs!$M$9</f>
        <v>0</v>
      </c>
      <c r="L93" s="130">
        <f>L51/L$77*Outputs!$M$9</f>
        <v>0</v>
      </c>
      <c r="M93" s="130">
        <f>M51/M$77*Outputs!$M$9</f>
        <v>0</v>
      </c>
      <c r="N93" s="3"/>
    </row>
    <row r="94" spans="2:28" x14ac:dyDescent="0.3">
      <c r="B94" s="66"/>
      <c r="C94" s="66" t="s">
        <v>468</v>
      </c>
      <c r="D94" s="128">
        <f>D52/D$77*Outputs!$M$9</f>
        <v>1.7033839260562657E-2</v>
      </c>
      <c r="E94" s="128">
        <f>E52/E$77*Outputs!$M$9</f>
        <v>2.4836625090573668E-2</v>
      </c>
      <c r="F94" s="128">
        <f>F52/F$77*Outputs!$M$9</f>
        <v>1.7616952881817218E-2</v>
      </c>
      <c r="G94" s="128">
        <f>G52/G$77*Outputs!$M$9</f>
        <v>1.1110141126906076E-2</v>
      </c>
      <c r="H94" s="128">
        <f>H52/H$77*Outputs!$M$9</f>
        <v>0.10242270694778223</v>
      </c>
      <c r="I94" s="128">
        <f>I52/I$77*Outputs!$M$9</f>
        <v>2.3233303593506748E-2</v>
      </c>
      <c r="J94" s="128">
        <f>J52/J$77*Outputs!$M$9</f>
        <v>1.8825987797846191E-2</v>
      </c>
      <c r="K94" s="128">
        <f>K52/K$77*Outputs!$M$9</f>
        <v>4.8104046470575534E-2</v>
      </c>
      <c r="L94" s="128">
        <f>L52/L$77*Outputs!$M$9</f>
        <v>1.3898437315985182E-2</v>
      </c>
      <c r="M94" s="128">
        <f>M52/M$77*Outputs!$M$9</f>
        <v>0.17019491942174717</v>
      </c>
      <c r="N94" s="3"/>
    </row>
    <row r="95" spans="2:28" x14ac:dyDescent="0.3">
      <c r="B95" s="66"/>
      <c r="C95" s="66" t="s">
        <v>467</v>
      </c>
      <c r="D95" s="128">
        <f>D53/D$77*Outputs!$M$9</f>
        <v>6.1439331023082069E-3</v>
      </c>
      <c r="E95" s="128">
        <f>E53/E$77*Outputs!$M$9</f>
        <v>3.1666363842447619E-3</v>
      </c>
      <c r="F95" s="128">
        <f>F53/F$77*Outputs!$M$9</f>
        <v>3.5871623515012423E-3</v>
      </c>
      <c r="G95" s="128">
        <f>G53/G$77*Outputs!$M$9</f>
        <v>3.5245441319453636E-3</v>
      </c>
      <c r="H95" s="128">
        <f>H53/H$77*Outputs!$M$9</f>
        <v>1.1334132526570785E-2</v>
      </c>
      <c r="I95" s="128">
        <f>I53/I$77*Outputs!$M$9</f>
        <v>3.1131656558896856E-3</v>
      </c>
      <c r="J95" s="128">
        <f>J53/J$77*Outputs!$M$9</f>
        <v>7.3874902097861321E-3</v>
      </c>
      <c r="K95" s="128">
        <f>K53/K$77*Outputs!$M$9</f>
        <v>1.9351677608925921E-2</v>
      </c>
      <c r="L95" s="128">
        <f>L53/L$77*Outputs!$M$9</f>
        <v>5.3516676565921678E-3</v>
      </c>
      <c r="M95" s="128">
        <f>M53/M$77*Outputs!$M$9</f>
        <v>5.0913010083428641E-2</v>
      </c>
      <c r="N95" s="3"/>
    </row>
    <row r="96" spans="2:28" x14ac:dyDescent="0.3">
      <c r="B96"/>
      <c r="C96" s="66" t="s">
        <v>473</v>
      </c>
      <c r="D96" s="128">
        <f>D54/D$77*Outputs!$M$9</f>
        <v>2.5416167528386976E-2</v>
      </c>
      <c r="E96" s="128">
        <f>E54/E$77*Outputs!$M$9</f>
        <v>5.5976257777480082E-2</v>
      </c>
      <c r="F96" s="128">
        <f>F54/F$77*Outputs!$M$9</f>
        <v>3.7594237278401256E-2</v>
      </c>
      <c r="G96" s="128">
        <f>G54/G$77*Outputs!$M$9</f>
        <v>2.0449457116988975E-2</v>
      </c>
      <c r="H96" s="128">
        <f>H54/H$77*Outputs!$M$9</f>
        <v>0.34426914950951143</v>
      </c>
      <c r="I96" s="128">
        <f>I54/I$77*Outputs!$M$9</f>
        <v>5.4109114357107795E-2</v>
      </c>
      <c r="J96" s="128">
        <f>J54/J$77*Outputs!$M$9</f>
        <v>2.4960750420417684E-2</v>
      </c>
      <c r="K96" s="128">
        <f>K54/K$77*Outputs!$M$9</f>
        <v>5.649329895565447E-2</v>
      </c>
      <c r="L96" s="128">
        <f>L54/L$77*Outputs!$M$9</f>
        <v>1.9129089958950081E-2</v>
      </c>
      <c r="M96" s="128">
        <f>M54/M$77*Outputs!$M$9</f>
        <v>0.28538873047178631</v>
      </c>
      <c r="N96" s="3"/>
    </row>
    <row r="97" spans="2:14" x14ac:dyDescent="0.3">
      <c r="B97" s="66"/>
      <c r="C97" s="66" t="s">
        <v>481</v>
      </c>
      <c r="D97" s="128">
        <f>D55/D$77*Outputs!$M$9</f>
        <v>1.5825513314037795E-2</v>
      </c>
      <c r="E97" s="128">
        <f>E55/E$77*Outputs!$M$9</f>
        <v>2.3513483442285796E-2</v>
      </c>
      <c r="F97" s="128">
        <f>F55/F$77*Outputs!$M$9</f>
        <v>1.1713397543852059E-2</v>
      </c>
      <c r="G97" s="128">
        <f>G55/G$77*Outputs!$M$9</f>
        <v>1.2887698570851895E-2</v>
      </c>
      <c r="H97" s="128">
        <f>H55/H$77*Outputs!$M$9</f>
        <v>6.5285639629064501E-2</v>
      </c>
      <c r="I97" s="128">
        <f>I55/I$77*Outputs!$M$9</f>
        <v>2.0453507078075056E-2</v>
      </c>
      <c r="J97" s="128">
        <f>J55/J$77*Outputs!$M$9</f>
        <v>2.9393812025866075E-2</v>
      </c>
      <c r="K97" s="128">
        <f>K55/K$77*Outputs!$M$9</f>
        <v>4.6933524499759793E-2</v>
      </c>
      <c r="L97" s="128">
        <f>L55/L$77*Outputs!$M$9</f>
        <v>2.1308177494842751E-2</v>
      </c>
      <c r="M97" s="128">
        <f>M55/M$77*Outputs!$M$9</f>
        <v>8.8093321175654327E-2</v>
      </c>
      <c r="N97" s="3"/>
    </row>
    <row r="98" spans="2:14" x14ac:dyDescent="0.3">
      <c r="B98" s="66"/>
      <c r="C98" s="129" t="s">
        <v>477</v>
      </c>
      <c r="D98" s="130">
        <f t="shared" ref="D98:M98" si="18">D60/D$77</f>
        <v>0</v>
      </c>
      <c r="E98" s="130">
        <f t="shared" si="18"/>
        <v>0</v>
      </c>
      <c r="F98" s="130">
        <f t="shared" si="18"/>
        <v>0</v>
      </c>
      <c r="G98" s="130">
        <f t="shared" si="18"/>
        <v>0</v>
      </c>
      <c r="H98" s="130">
        <f t="shared" si="18"/>
        <v>0</v>
      </c>
      <c r="I98" s="130">
        <f t="shared" si="18"/>
        <v>0</v>
      </c>
      <c r="J98" s="130">
        <f t="shared" si="18"/>
        <v>0</v>
      </c>
      <c r="K98" s="130">
        <f t="shared" si="18"/>
        <v>0</v>
      </c>
      <c r="L98" s="130">
        <f t="shared" si="18"/>
        <v>0</v>
      </c>
      <c r="M98" s="130">
        <f t="shared" si="18"/>
        <v>0</v>
      </c>
      <c r="N98" s="3"/>
    </row>
    <row r="99" spans="2:14" x14ac:dyDescent="0.3">
      <c r="B99" s="66"/>
      <c r="C99" s="66" t="s">
        <v>475</v>
      </c>
      <c r="D99" s="128">
        <f t="shared" ref="D99:M99" si="19">(D61+D62)/D$77</f>
        <v>-0.15401458250208724</v>
      </c>
      <c r="E99" s="128">
        <f t="shared" si="19"/>
        <v>-1.1410204671346413</v>
      </c>
      <c r="F99" s="128">
        <f t="shared" si="19"/>
        <v>-1.7369824346645257</v>
      </c>
      <c r="G99" s="128">
        <f t="shared" si="19"/>
        <v>-0.21641560890595243</v>
      </c>
      <c r="H99" s="128">
        <f t="shared" si="19"/>
        <v>-4.0209524512028443</v>
      </c>
      <c r="I99" s="128">
        <f t="shared" si="19"/>
        <v>-1.0351879734329743</v>
      </c>
      <c r="J99" s="128">
        <f t="shared" si="19"/>
        <v>-8.2226376448394145E-2</v>
      </c>
      <c r="K99" s="128">
        <f t="shared" si="19"/>
        <v>-0.15047549216642384</v>
      </c>
      <c r="L99" s="128">
        <f t="shared" si="19"/>
        <v>-3.7490165524717727E-2</v>
      </c>
      <c r="M99" s="128">
        <f t="shared" si="19"/>
        <v>-8.9422159427028287</v>
      </c>
      <c r="N99" s="3"/>
    </row>
    <row r="100" spans="2:14" x14ac:dyDescent="0.3">
      <c r="B100" s="66"/>
      <c r="C100" s="66" t="s">
        <v>429</v>
      </c>
      <c r="D100" s="128">
        <f t="shared" ref="D100:M100" si="20">D63/D$77</f>
        <v>2.1865368415903003E-2</v>
      </c>
      <c r="E100" s="128">
        <f t="shared" si="20"/>
        <v>5.3823939431023371E-2</v>
      </c>
      <c r="F100" s="128">
        <f t="shared" si="20"/>
        <v>6.7886955123026005E-2</v>
      </c>
      <c r="G100" s="128">
        <f t="shared" si="20"/>
        <v>2.4665610561481612E-2</v>
      </c>
      <c r="H100" s="128">
        <f t="shared" si="20"/>
        <v>0.23366653849469618</v>
      </c>
      <c r="I100" s="128">
        <f t="shared" si="20"/>
        <v>5.7342094388753472E-3</v>
      </c>
      <c r="J100" s="128">
        <f t="shared" si="20"/>
        <v>1.3042745188328937E-2</v>
      </c>
      <c r="K100" s="128">
        <f t="shared" si="20"/>
        <v>2.6822178341389703E-2</v>
      </c>
      <c r="L100" s="128">
        <f t="shared" si="20"/>
        <v>1.2034531774602295E-2</v>
      </c>
      <c r="M100" s="128">
        <f t="shared" si="20"/>
        <v>0.40932055005364126</v>
      </c>
      <c r="N100" s="3"/>
    </row>
    <row r="101" spans="2:14" x14ac:dyDescent="0.3">
      <c r="B101" s="66"/>
      <c r="C101" s="66" t="s">
        <v>430</v>
      </c>
      <c r="D101" s="128">
        <f t="shared" ref="D101:M101" si="21">D64/D$77</f>
        <v>0.1882163026670341</v>
      </c>
      <c r="E101" s="128">
        <f t="shared" si="21"/>
        <v>0.18577596993836099</v>
      </c>
      <c r="F101" s="128">
        <f t="shared" si="21"/>
        <v>7.3011249261298553E-2</v>
      </c>
      <c r="G101" s="128">
        <f t="shared" si="21"/>
        <v>1.4957886327725049E-2</v>
      </c>
      <c r="H101" s="128">
        <f t="shared" si="21"/>
        <v>0.3019757468413044</v>
      </c>
      <c r="I101" s="128">
        <f t="shared" si="21"/>
        <v>0.19692933186977071</v>
      </c>
      <c r="J101" s="128">
        <f t="shared" si="21"/>
        <v>6.0526430962917904E-2</v>
      </c>
      <c r="K101" s="128">
        <f t="shared" si="21"/>
        <v>5.4606858583424053E-2</v>
      </c>
      <c r="L101" s="128">
        <f t="shared" si="21"/>
        <v>9.6327172685562554E-2</v>
      </c>
      <c r="M101" s="128">
        <f t="shared" si="21"/>
        <v>0.74610511485986963</v>
      </c>
      <c r="N101" s="3"/>
    </row>
    <row r="102" spans="2:14" x14ac:dyDescent="0.3">
      <c r="B102" s="66"/>
      <c r="C102" s="66" t="s">
        <v>431</v>
      </c>
      <c r="D102" s="128">
        <f t="shared" ref="D102:M102" si="22">D65/D$77</f>
        <v>5.6407314837682999E-2</v>
      </c>
      <c r="E102" s="128">
        <f t="shared" si="22"/>
        <v>0.17326493812671034</v>
      </c>
      <c r="F102" s="128">
        <f t="shared" si="22"/>
        <v>8.4523611699786005E-2</v>
      </c>
      <c r="G102" s="128">
        <f t="shared" si="22"/>
        <v>0.12055674346270352</v>
      </c>
      <c r="H102" s="128">
        <f t="shared" si="22"/>
        <v>0.32030897628565091</v>
      </c>
      <c r="I102" s="128">
        <f t="shared" si="22"/>
        <v>0.17592914555446659</v>
      </c>
      <c r="J102" s="128">
        <f t="shared" si="22"/>
        <v>0.20641834434912834</v>
      </c>
      <c r="K102" s="128">
        <f t="shared" si="22"/>
        <v>6.8476752776583466E-2</v>
      </c>
      <c r="L102" s="128">
        <f t="shared" si="22"/>
        <v>0.25240919459390998</v>
      </c>
      <c r="M102" s="128">
        <f t="shared" si="22"/>
        <v>0.52676509992640752</v>
      </c>
      <c r="N102" s="3"/>
    </row>
    <row r="103" spans="2:14" x14ac:dyDescent="0.3">
      <c r="B103" s="66"/>
      <c r="C103" s="65" t="s">
        <v>432</v>
      </c>
      <c r="D103" s="128">
        <f t="shared" ref="D103:M103" si="23">D66/D$77</f>
        <v>0.24675445790353273</v>
      </c>
      <c r="E103" s="128">
        <f t="shared" si="23"/>
        <v>0.87512769475277796</v>
      </c>
      <c r="F103" s="128">
        <f t="shared" si="23"/>
        <v>1.8527620637545026</v>
      </c>
      <c r="G103" s="128">
        <f t="shared" si="23"/>
        <v>0.18386834693634774</v>
      </c>
      <c r="H103" s="128">
        <f t="shared" si="23"/>
        <v>1.775736473348339</v>
      </c>
      <c r="I103" s="128">
        <f t="shared" si="23"/>
        <v>0.7868770819743417</v>
      </c>
      <c r="J103" s="128">
        <f t="shared" si="23"/>
        <v>0.17571879676891788</v>
      </c>
      <c r="K103" s="128">
        <f t="shared" si="23"/>
        <v>0.22277349034436425</v>
      </c>
      <c r="L103" s="128">
        <f t="shared" si="23"/>
        <v>0.14099796409067467</v>
      </c>
      <c r="M103" s="128">
        <f t="shared" si="23"/>
        <v>2.018702775824603</v>
      </c>
      <c r="N103" s="3"/>
    </row>
    <row r="104" spans="2:14" x14ac:dyDescent="0.3">
      <c r="B104" s="66"/>
      <c r="C104" s="126" t="s">
        <v>433</v>
      </c>
      <c r="D104" s="128">
        <f t="shared" ref="D104:M104" si="24">D67/D$77</f>
        <v>7.8555719225457087E-3</v>
      </c>
      <c r="E104" s="128">
        <f t="shared" si="24"/>
        <v>2.2811155566875899E-3</v>
      </c>
      <c r="F104" s="128">
        <f t="shared" si="24"/>
        <v>1.5035978633285464E-3</v>
      </c>
      <c r="G104" s="128">
        <f t="shared" si="24"/>
        <v>3.1582449121426987E-4</v>
      </c>
      <c r="H104" s="128">
        <f t="shared" si="24"/>
        <v>4.7922268800132863E-3</v>
      </c>
      <c r="I104" s="128">
        <f t="shared" si="24"/>
        <v>2.3547507505135771E-3</v>
      </c>
      <c r="J104" s="128">
        <f t="shared" si="24"/>
        <v>9.9895730758319153E-4</v>
      </c>
      <c r="K104" s="128">
        <f t="shared" si="24"/>
        <v>2.8908378645384615E-4</v>
      </c>
      <c r="L104" s="128">
        <f t="shared" si="24"/>
        <v>1.5053383204930648E-3</v>
      </c>
      <c r="M104" s="128">
        <f t="shared" si="24"/>
        <v>2.9054776438469546E-2</v>
      </c>
      <c r="N104" s="3"/>
    </row>
    <row r="105" spans="2:14" x14ac:dyDescent="0.3">
      <c r="B105" s="66"/>
      <c r="C105" s="127" t="s">
        <v>434</v>
      </c>
      <c r="D105" s="128">
        <f t="shared" ref="D105:M105" si="25">D68/D$77</f>
        <v>0.12835509555306812</v>
      </c>
      <c r="E105" s="128">
        <f t="shared" si="25"/>
        <v>2.6801360753595193E-7</v>
      </c>
      <c r="F105" s="128">
        <f t="shared" si="25"/>
        <v>8.3572546846518454E-3</v>
      </c>
      <c r="G105" s="128">
        <f t="shared" si="25"/>
        <v>6.845888380032888E-4</v>
      </c>
      <c r="H105" s="128">
        <f t="shared" si="25"/>
        <v>4.2142824239243165E-7</v>
      </c>
      <c r="I105" s="128">
        <f t="shared" si="25"/>
        <v>3.9262039930698953E-9</v>
      </c>
      <c r="J105" s="128">
        <f t="shared" si="25"/>
        <v>0</v>
      </c>
      <c r="K105" s="128">
        <f t="shared" si="25"/>
        <v>1.2197882403336914E-3</v>
      </c>
      <c r="L105" s="128">
        <f t="shared" si="25"/>
        <v>6.8787264665819614E-4</v>
      </c>
      <c r="M105" s="128">
        <f t="shared" si="25"/>
        <v>0.44444494960642672</v>
      </c>
      <c r="N105" s="3"/>
    </row>
    <row r="106" spans="2:14" x14ac:dyDescent="0.3">
      <c r="B106" s="66"/>
      <c r="C106" s="65" t="s">
        <v>435</v>
      </c>
      <c r="D106" s="128">
        <f t="shared" ref="D106:M106" si="26">D69/D$77</f>
        <v>1.7465364092678667E-3</v>
      </c>
      <c r="E106" s="128">
        <f t="shared" si="26"/>
        <v>9.8551305301488E-3</v>
      </c>
      <c r="F106" s="128">
        <f t="shared" si="26"/>
        <v>4.3245566880766246E-3</v>
      </c>
      <c r="G106" s="128">
        <f t="shared" si="26"/>
        <v>1.9545283779808182E-3</v>
      </c>
      <c r="H106" s="128">
        <f t="shared" si="26"/>
        <v>1.8737011730071671E-2</v>
      </c>
      <c r="I106" s="128">
        <f t="shared" si="26"/>
        <v>1.0635056774700549E-2</v>
      </c>
      <c r="J106" s="128">
        <f t="shared" si="26"/>
        <v>1.4647648569408357E-3</v>
      </c>
      <c r="K106" s="128">
        <f t="shared" si="26"/>
        <v>1.7089650881829685E-3</v>
      </c>
      <c r="L106" s="128">
        <f t="shared" si="26"/>
        <v>1.8382228698955465E-3</v>
      </c>
      <c r="M106" s="128">
        <f t="shared" si="26"/>
        <v>1.5231662998899125E-2</v>
      </c>
      <c r="N106" s="3"/>
    </row>
    <row r="107" spans="2:14" x14ac:dyDescent="0.3">
      <c r="B107" s="66"/>
      <c r="C107" s="65" t="s">
        <v>437</v>
      </c>
      <c r="D107" s="128">
        <f t="shared" ref="D107:M107" si="27">D70/D$77</f>
        <v>8.6216457002003896E-5</v>
      </c>
      <c r="E107" s="128">
        <f t="shared" si="27"/>
        <v>1.9118191231996489E-4</v>
      </c>
      <c r="F107" s="128">
        <f t="shared" si="27"/>
        <v>2.4979017713397188E-4</v>
      </c>
      <c r="G107" s="128">
        <f t="shared" si="27"/>
        <v>9.2601848056628614E-5</v>
      </c>
      <c r="H107" s="128">
        <f t="shared" si="27"/>
        <v>8.0860413924500483E-4</v>
      </c>
      <c r="I107" s="128">
        <f t="shared" si="27"/>
        <v>2.0358104315707699E-4</v>
      </c>
      <c r="J107" s="128">
        <f t="shared" si="27"/>
        <v>4.2073636114026229E-5</v>
      </c>
      <c r="K107" s="128">
        <f t="shared" si="27"/>
        <v>1.1061565845581125E-4</v>
      </c>
      <c r="L107" s="128">
        <f t="shared" si="27"/>
        <v>4.4753437969064346E-5</v>
      </c>
      <c r="M107" s="128">
        <f t="shared" si="27"/>
        <v>1.8683172841014197E-3</v>
      </c>
      <c r="N107" s="3"/>
    </row>
    <row r="108" spans="2:14" x14ac:dyDescent="0.3">
      <c r="B108" s="66"/>
      <c r="C108" s="66" t="s">
        <v>438</v>
      </c>
      <c r="D108" s="128">
        <f t="shared" ref="D108:M108" si="28">D71/D$77</f>
        <v>3.7470050644808096E-4</v>
      </c>
      <c r="E108" s="128">
        <f t="shared" si="28"/>
        <v>1.224154184169716E-3</v>
      </c>
      <c r="F108" s="128">
        <f t="shared" si="28"/>
        <v>7.1039970102858003E-4</v>
      </c>
      <c r="G108" s="128">
        <f t="shared" si="28"/>
        <v>2.1667823052978495E-4</v>
      </c>
      <c r="H108" s="128">
        <f t="shared" si="28"/>
        <v>2.5018665283314712E-3</v>
      </c>
      <c r="I108" s="128">
        <f t="shared" si="28"/>
        <v>1.321200496907938E-3</v>
      </c>
      <c r="J108" s="128">
        <f t="shared" si="28"/>
        <v>8.8860991343101819E-5</v>
      </c>
      <c r="K108" s="128">
        <f t="shared" si="28"/>
        <v>2.3434246890349588E-4</v>
      </c>
      <c r="L108" s="128">
        <f t="shared" si="28"/>
        <v>7.2701838039329576E-5</v>
      </c>
      <c r="M108" s="128">
        <f t="shared" si="28"/>
        <v>2.2860508173685747E-3</v>
      </c>
      <c r="N108" s="3"/>
    </row>
    <row r="109" spans="2:14" x14ac:dyDescent="0.3">
      <c r="B109" s="65"/>
      <c r="C109" s="131" t="s">
        <v>624</v>
      </c>
      <c r="D109" s="128">
        <f>D72/D77</f>
        <v>0</v>
      </c>
      <c r="E109" s="128">
        <f t="shared" ref="E109:M109" si="29">E72/E77</f>
        <v>0</v>
      </c>
      <c r="F109" s="128">
        <f t="shared" si="29"/>
        <v>0</v>
      </c>
      <c r="G109" s="128">
        <f t="shared" si="29"/>
        <v>0.31749403773298485</v>
      </c>
      <c r="H109" s="128">
        <f t="shared" si="29"/>
        <v>0</v>
      </c>
      <c r="I109" s="128">
        <f t="shared" si="29"/>
        <v>0</v>
      </c>
      <c r="J109" s="128">
        <f t="shared" si="29"/>
        <v>0</v>
      </c>
      <c r="K109" s="128">
        <f t="shared" si="29"/>
        <v>0</v>
      </c>
      <c r="L109" s="128">
        <f t="shared" si="29"/>
        <v>0</v>
      </c>
      <c r="M109" s="128">
        <f t="shared" si="29"/>
        <v>0</v>
      </c>
      <c r="N109" s="3"/>
    </row>
    <row r="110" spans="2:14" x14ac:dyDescent="0.3">
      <c r="B110" s="66"/>
      <c r="C110" s="131" t="s">
        <v>625</v>
      </c>
      <c r="D110" s="128">
        <f>D73/D77</f>
        <v>3.9621971045108194E-2</v>
      </c>
      <c r="E110" s="128">
        <f t="shared" ref="E110:M110" si="30">E73/E77</f>
        <v>9.6926128217000741E-3</v>
      </c>
      <c r="F110" s="128">
        <f t="shared" si="30"/>
        <v>1.4847031418426828E-2</v>
      </c>
      <c r="G110" s="128">
        <f t="shared" si="30"/>
        <v>6.1758488337103692E-2</v>
      </c>
      <c r="H110" s="128">
        <f t="shared" si="30"/>
        <v>4.4879183926865802E-2</v>
      </c>
      <c r="I110" s="128">
        <f t="shared" si="30"/>
        <v>8.1483279269357178E-3</v>
      </c>
      <c r="J110" s="128">
        <f t="shared" si="30"/>
        <v>5.1631952631482875E-2</v>
      </c>
      <c r="K110" s="128">
        <f t="shared" si="30"/>
        <v>6.5062938676960266E-2</v>
      </c>
      <c r="L110" s="128">
        <f t="shared" si="30"/>
        <v>3.0510922599773015E-2</v>
      </c>
      <c r="M110" s="128">
        <f t="shared" si="30"/>
        <v>0.18062197188872622</v>
      </c>
      <c r="N110" s="3"/>
    </row>
    <row r="111" spans="2:14" x14ac:dyDescent="0.3">
      <c r="C111" s="131" t="s">
        <v>603</v>
      </c>
      <c r="D111" s="128">
        <f>D74/D$77</f>
        <v>0</v>
      </c>
      <c r="E111" s="128">
        <f t="shared" ref="E111:M111" si="31">E74/E$77</f>
        <v>0</v>
      </c>
      <c r="F111" s="128">
        <f t="shared" si="31"/>
        <v>0</v>
      </c>
      <c r="G111" s="128">
        <f t="shared" si="31"/>
        <v>7.0828264858974241E-2</v>
      </c>
      <c r="H111" s="128">
        <f t="shared" si="31"/>
        <v>0</v>
      </c>
      <c r="I111" s="128">
        <f t="shared" si="31"/>
        <v>0</v>
      </c>
      <c r="J111" s="128">
        <f t="shared" si="31"/>
        <v>0</v>
      </c>
      <c r="K111" s="128">
        <f t="shared" si="31"/>
        <v>0</v>
      </c>
      <c r="L111" s="128">
        <f t="shared" si="31"/>
        <v>0</v>
      </c>
      <c r="M111" s="128">
        <f t="shared" si="31"/>
        <v>0</v>
      </c>
    </row>
    <row r="112" spans="2:14" x14ac:dyDescent="0.3">
      <c r="C112" s="80"/>
      <c r="D112" s="81"/>
      <c r="E112" s="81"/>
      <c r="F112" s="81"/>
      <c r="G112" s="81"/>
      <c r="H112" s="81"/>
      <c r="I112" s="81"/>
      <c r="J112" s="81"/>
      <c r="K112" s="81"/>
      <c r="L112" s="81"/>
      <c r="M112" s="81"/>
    </row>
    <row r="113" spans="3:13" x14ac:dyDescent="0.3">
      <c r="C113" s="65" t="s">
        <v>495</v>
      </c>
      <c r="D113" s="79">
        <f t="shared" ref="D113:M113" si="32">SUM(D82:D111)</f>
        <v>0.99999999999999989</v>
      </c>
      <c r="E113" s="79">
        <f t="shared" si="32"/>
        <v>1.0000000000000002</v>
      </c>
      <c r="F113" s="79">
        <f t="shared" si="32"/>
        <v>1.0000000000000004</v>
      </c>
      <c r="G113" s="79">
        <f t="shared" si="32"/>
        <v>0.99999999999999967</v>
      </c>
      <c r="H113" s="79">
        <f t="shared" si="32"/>
        <v>1</v>
      </c>
      <c r="I113" s="79">
        <f t="shared" si="32"/>
        <v>1.0000000000000002</v>
      </c>
      <c r="J113" s="79">
        <f t="shared" si="32"/>
        <v>0.99999999999999989</v>
      </c>
      <c r="K113" s="79">
        <f t="shared" si="32"/>
        <v>0.99999999999999978</v>
      </c>
      <c r="L113" s="79">
        <f t="shared" si="32"/>
        <v>0.99999999999999978</v>
      </c>
      <c r="M113" s="79">
        <f t="shared" si="32"/>
        <v>-1.0000000000000004</v>
      </c>
    </row>
    <row r="114" spans="3:13" x14ac:dyDescent="0.3">
      <c r="C114" s="65"/>
      <c r="D114" s="3"/>
      <c r="E114" s="3"/>
      <c r="F114" s="3"/>
      <c r="G114" s="3"/>
      <c r="H114" s="3"/>
      <c r="I114" s="3"/>
      <c r="J114" s="3"/>
      <c r="K114" s="3"/>
      <c r="L114" s="3"/>
      <c r="M114" s="3"/>
    </row>
    <row r="115" spans="3:13" x14ac:dyDescent="0.3">
      <c r="C115" s="65"/>
      <c r="D115" s="3"/>
      <c r="E115" s="3"/>
      <c r="F115" s="3"/>
      <c r="G115" s="3"/>
      <c r="H115" s="3"/>
      <c r="I115" s="3"/>
      <c r="J115" s="3"/>
      <c r="K115" s="3"/>
      <c r="L115" s="3"/>
      <c r="M115" s="3"/>
    </row>
    <row r="116" spans="3:13" x14ac:dyDescent="0.3">
      <c r="C116" s="65"/>
      <c r="D116" s="3"/>
      <c r="E116" s="3"/>
      <c r="F116" s="3"/>
      <c r="G116" s="3"/>
      <c r="H116" s="3"/>
      <c r="I116" s="3"/>
      <c r="J116" s="3"/>
      <c r="K116" s="3"/>
      <c r="L116" s="90"/>
      <c r="M116" s="93"/>
    </row>
    <row r="117" spans="3:13" x14ac:dyDescent="0.3">
      <c r="C117" s="65"/>
      <c r="D117" s="3"/>
      <c r="E117" s="3"/>
      <c r="F117" s="3"/>
      <c r="G117" s="3"/>
      <c r="H117" s="3"/>
      <c r="I117" s="3"/>
      <c r="J117" s="3"/>
      <c r="K117" s="3"/>
      <c r="L117" s="89"/>
      <c r="M117" s="92"/>
    </row>
    <row r="118" spans="3:13" x14ac:dyDescent="0.3">
      <c r="C118" s="65"/>
      <c r="D118" s="3"/>
      <c r="E118" s="3"/>
      <c r="F118" s="3"/>
      <c r="G118" s="3"/>
      <c r="H118" s="3"/>
      <c r="I118" s="3"/>
      <c r="J118" s="3"/>
      <c r="K118" s="3"/>
      <c r="L118" s="83"/>
      <c r="M118" s="91"/>
    </row>
    <row r="119" spans="3:13" x14ac:dyDescent="0.3">
      <c r="L119" s="84"/>
      <c r="M119" s="94"/>
    </row>
    <row r="120" spans="3:13" x14ac:dyDescent="0.3">
      <c r="L120" s="85"/>
      <c r="M120" s="95"/>
    </row>
    <row r="121" spans="3:13" x14ac:dyDescent="0.3">
      <c r="L121" s="86"/>
      <c r="M121" s="96"/>
    </row>
    <row r="122" spans="3:13" x14ac:dyDescent="0.3">
      <c r="L122" s="87"/>
      <c r="M122" s="97"/>
    </row>
    <row r="123" spans="3:13" x14ac:dyDescent="0.3">
      <c r="L123" s="88"/>
    </row>
    <row r="131" spans="17:39" ht="40.200000000000003" customHeight="1" x14ac:dyDescent="0.3">
      <c r="Q131" t="s">
        <v>723</v>
      </c>
      <c r="S131" t="s">
        <v>724</v>
      </c>
      <c r="T131" t="s">
        <v>725</v>
      </c>
      <c r="U131" t="s">
        <v>726</v>
      </c>
      <c r="V131" t="s">
        <v>727</v>
      </c>
      <c r="W131" t="s">
        <v>728</v>
      </c>
      <c r="X131" t="s">
        <v>729</v>
      </c>
      <c r="Y131" t="s">
        <v>730</v>
      </c>
      <c r="Z131" t="s">
        <v>731</v>
      </c>
      <c r="AA131" t="s">
        <v>732</v>
      </c>
      <c r="AB131" t="s">
        <v>733</v>
      </c>
      <c r="AC131" t="s">
        <v>734</v>
      </c>
      <c r="AD131" t="s">
        <v>735</v>
      </c>
      <c r="AE131" t="s">
        <v>736</v>
      </c>
      <c r="AF131" t="s">
        <v>737</v>
      </c>
      <c r="AG131" t="s">
        <v>738</v>
      </c>
      <c r="AH131" t="s">
        <v>739</v>
      </c>
      <c r="AI131" t="s">
        <v>740</v>
      </c>
      <c r="AJ131" t="s">
        <v>741</v>
      </c>
      <c r="AK131" t="s">
        <v>742</v>
      </c>
      <c r="AL131" t="s">
        <v>743</v>
      </c>
      <c r="AM131" t="s">
        <v>744</v>
      </c>
    </row>
    <row r="132" spans="17:39" ht="40.200000000000003" customHeight="1" x14ac:dyDescent="0.3">
      <c r="Q132" t="s">
        <v>704</v>
      </c>
      <c r="R132">
        <v>803</v>
      </c>
      <c r="S132" t="s">
        <v>705</v>
      </c>
      <c r="T132" t="s">
        <v>706</v>
      </c>
      <c r="U132" t="s">
        <v>707</v>
      </c>
      <c r="V132" t="s">
        <v>708</v>
      </c>
      <c r="W132" t="s">
        <v>709</v>
      </c>
      <c r="X132" t="s">
        <v>710</v>
      </c>
      <c r="Y132" t="s">
        <v>711</v>
      </c>
      <c r="Z132">
        <v>1</v>
      </c>
      <c r="AA132">
        <v>28550000</v>
      </c>
      <c r="AB132">
        <v>2010</v>
      </c>
      <c r="AC132">
        <v>28550000</v>
      </c>
      <c r="AD132" t="s">
        <v>712</v>
      </c>
      <c r="AE132">
        <v>238686</v>
      </c>
      <c r="AF132" t="s">
        <v>293</v>
      </c>
      <c r="AG132">
        <v>0.6</v>
      </c>
      <c r="AH132">
        <v>1.8</v>
      </c>
      <c r="AI132">
        <v>234812.967</v>
      </c>
      <c r="AJ132">
        <v>0.98377352253588402</v>
      </c>
      <c r="AK132">
        <v>28271131.482163563</v>
      </c>
      <c r="AL132">
        <v>26967415.542354278</v>
      </c>
      <c r="AM132">
        <v>48541347.976237699</v>
      </c>
    </row>
    <row r="133" spans="17:39" ht="40.200000000000003" customHeight="1" x14ac:dyDescent="0.3">
      <c r="Q133" t="s">
        <v>704</v>
      </c>
      <c r="R133">
        <v>804</v>
      </c>
      <c r="S133" t="s">
        <v>713</v>
      </c>
      <c r="T133" t="s">
        <v>706</v>
      </c>
      <c r="V133" t="s">
        <v>714</v>
      </c>
      <c r="AA133" t="s">
        <v>715</v>
      </c>
    </row>
    <row r="134" spans="17:39" ht="40.200000000000003" customHeight="1" x14ac:dyDescent="0.3">
      <c r="Q134" t="s">
        <v>704</v>
      </c>
      <c r="R134">
        <v>811</v>
      </c>
      <c r="S134" t="s">
        <v>716</v>
      </c>
      <c r="T134" t="s">
        <v>717</v>
      </c>
      <c r="U134" t="s">
        <v>718</v>
      </c>
      <c r="V134" t="s">
        <v>719</v>
      </c>
      <c r="X134" t="s">
        <v>720</v>
      </c>
      <c r="Y134" t="s">
        <v>721</v>
      </c>
      <c r="Z134">
        <v>1</v>
      </c>
      <c r="AA134">
        <v>9500000</v>
      </c>
      <c r="AB134">
        <v>2010</v>
      </c>
      <c r="AC134">
        <v>9500000</v>
      </c>
      <c r="AD134" t="s">
        <v>722</v>
      </c>
      <c r="AE134">
        <v>-42200</v>
      </c>
      <c r="AF134" t="s">
        <v>259</v>
      </c>
      <c r="AG134">
        <v>0.6</v>
      </c>
      <c r="AH134">
        <v>1.8</v>
      </c>
      <c r="AI134">
        <v>-41334.121099999997</v>
      </c>
      <c r="AJ134">
        <v>0.97948154265402831</v>
      </c>
      <c r="AK134">
        <v>9382560.1920272019</v>
      </c>
      <c r="AL134">
        <v>8949885.8476599343</v>
      </c>
      <c r="AM134">
        <v>16109794.525787883</v>
      </c>
    </row>
  </sheetData>
  <mergeCells count="9">
    <mergeCell ref="A9:B9"/>
    <mergeCell ref="A7:B7"/>
    <mergeCell ref="A8:B8"/>
    <mergeCell ref="A17:B17"/>
    <mergeCell ref="D1:M1"/>
    <mergeCell ref="A3:B3"/>
    <mergeCell ref="A4:B4"/>
    <mergeCell ref="A5:B5"/>
    <mergeCell ref="A6:B6"/>
  </mergeCell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A1:IL208"/>
  <sheetViews>
    <sheetView topLeftCell="A106" zoomScaleNormal="100" workbookViewId="0">
      <selection activeCell="H115" sqref="H115"/>
    </sheetView>
  </sheetViews>
  <sheetFormatPr defaultRowHeight="14.4" x14ac:dyDescent="0.3"/>
  <cols>
    <col min="1" max="1" width="34.109375" style="4" customWidth="1"/>
    <col min="2" max="2" width="19.6640625" customWidth="1"/>
    <col min="3" max="3" width="17.109375" customWidth="1"/>
    <col min="4" max="5" width="18.5546875" customWidth="1"/>
    <col min="6" max="38" width="19.5546875" customWidth="1"/>
    <col min="39" max="39" width="5" style="43" customWidth="1"/>
  </cols>
  <sheetData>
    <row r="1" spans="1:22" ht="43.2" customHeight="1" x14ac:dyDescent="0.3">
      <c r="A1" s="286" t="s">
        <v>648</v>
      </c>
      <c r="B1" s="286"/>
      <c r="C1" s="286"/>
      <c r="D1" s="140"/>
      <c r="E1" s="140"/>
      <c r="F1" s="140"/>
      <c r="G1" s="140"/>
      <c r="H1" s="140"/>
      <c r="I1" s="140"/>
    </row>
    <row r="2" spans="1:22" x14ac:dyDescent="0.3">
      <c r="A2" s="168" t="s">
        <v>899</v>
      </c>
      <c r="B2" s="30" t="s">
        <v>900</v>
      </c>
      <c r="C2" s="219">
        <f>A3/'Process Model'!C5</f>
        <v>142.04487970700714</v>
      </c>
      <c r="D2" s="100"/>
      <c r="E2" s="100"/>
      <c r="F2" s="231"/>
      <c r="G2" s="219"/>
      <c r="H2" s="217"/>
      <c r="I2" s="44"/>
      <c r="J2" s="31"/>
      <c r="K2" s="31"/>
    </row>
    <row r="3" spans="1:22" x14ac:dyDescent="0.3">
      <c r="A3" s="220">
        <v>351</v>
      </c>
      <c r="B3" s="216" t="s">
        <v>662</v>
      </c>
    </row>
    <row r="4" spans="1:22" x14ac:dyDescent="0.3">
      <c r="A4" s="4" t="s">
        <v>874</v>
      </c>
      <c r="B4" s="216" t="s">
        <v>877</v>
      </c>
      <c r="C4" s="216" t="s">
        <v>879</v>
      </c>
      <c r="D4" s="216" t="s">
        <v>646</v>
      </c>
      <c r="E4" s="216" t="s">
        <v>654</v>
      </c>
      <c r="F4" s="216" t="s">
        <v>647</v>
      </c>
      <c r="G4" s="216" t="s">
        <v>880</v>
      </c>
      <c r="H4" s="216" t="s">
        <v>645</v>
      </c>
      <c r="I4" s="216" t="s">
        <v>881</v>
      </c>
      <c r="J4" s="216" t="s">
        <v>883</v>
      </c>
      <c r="K4" s="216" t="s">
        <v>884</v>
      </c>
      <c r="L4" s="216" t="s">
        <v>885</v>
      </c>
      <c r="M4" s="216" t="s">
        <v>886</v>
      </c>
      <c r="N4" s="216" t="s">
        <v>889</v>
      </c>
      <c r="O4" s="216" t="s">
        <v>890</v>
      </c>
      <c r="P4" s="216" t="s">
        <v>891</v>
      </c>
    </row>
    <row r="5" spans="1:22" x14ac:dyDescent="0.3">
      <c r="A5" s="4" t="s">
        <v>256</v>
      </c>
      <c r="B5" s="186" t="s">
        <v>878</v>
      </c>
      <c r="C5" s="141" t="s">
        <v>893</v>
      </c>
      <c r="D5" s="141" t="s">
        <v>26</v>
      </c>
      <c r="E5" s="141" t="s">
        <v>26</v>
      </c>
      <c r="F5" s="141" t="s">
        <v>26</v>
      </c>
      <c r="G5" s="141" t="s">
        <v>26</v>
      </c>
      <c r="H5" s="141" t="s">
        <v>882</v>
      </c>
      <c r="I5" s="141" t="s">
        <v>882</v>
      </c>
      <c r="J5" s="141" t="s">
        <v>882</v>
      </c>
      <c r="K5" s="141" t="s">
        <v>882</v>
      </c>
      <c r="L5" s="141" t="s">
        <v>887</v>
      </c>
      <c r="M5" s="141" t="s">
        <v>888</v>
      </c>
      <c r="N5" s="141" t="s">
        <v>882</v>
      </c>
      <c r="O5" s="141" t="s">
        <v>882</v>
      </c>
      <c r="P5" s="141" t="s">
        <v>892</v>
      </c>
    </row>
    <row r="6" spans="1:22" x14ac:dyDescent="0.3">
      <c r="A6" s="4" t="s">
        <v>875</v>
      </c>
      <c r="B6" s="141">
        <v>3.3</v>
      </c>
      <c r="C6" s="141">
        <f>1.85</f>
        <v>1.85</v>
      </c>
      <c r="D6" s="141">
        <v>0.55000000000000004</v>
      </c>
      <c r="E6" s="141">
        <v>0.46</v>
      </c>
      <c r="F6" s="141">
        <v>0.49937808</v>
      </c>
      <c r="G6" s="141">
        <v>1.1025E-2</v>
      </c>
      <c r="H6" s="141">
        <v>9.4499999999999993</v>
      </c>
      <c r="I6" s="141">
        <v>36.229999999999997</v>
      </c>
      <c r="J6" s="141">
        <v>0.85</v>
      </c>
      <c r="K6" s="141">
        <v>2.4300000000000002</v>
      </c>
      <c r="M6" s="142">
        <f>SUM(B8:L8)</f>
        <v>279839.14322354179</v>
      </c>
      <c r="N6" s="142">
        <v>22.37</v>
      </c>
      <c r="O6" s="141">
        <v>9.24</v>
      </c>
      <c r="P6" s="142">
        <f>O8</f>
        <v>3243.2400000000002</v>
      </c>
    </row>
    <row r="7" spans="1:22" x14ac:dyDescent="0.3">
      <c r="A7" s="4" t="s">
        <v>876</v>
      </c>
      <c r="B7" s="6">
        <f>Outputs!A10/'Conversions Page'!D8*C2</f>
        <v>61358.397799470738</v>
      </c>
      <c r="C7" s="6">
        <f>Seeds_Per_ha/1000*C2</f>
        <v>10530.000000000029</v>
      </c>
      <c r="D7" s="6">
        <f>Inputs!A6*C2</f>
        <v>22921.782238319742</v>
      </c>
      <c r="E7" s="6">
        <f>Inputs!A7*C2</f>
        <v>2223.0023674146619</v>
      </c>
      <c r="F7" s="6">
        <f>Inputs!A8*C2</f>
        <v>10808.194896906174</v>
      </c>
      <c r="G7" s="6">
        <f>Lime_Treat_Input*C2</f>
        <v>64246.899091479332</v>
      </c>
      <c r="H7" s="6">
        <f>$A$3</f>
        <v>351</v>
      </c>
      <c r="I7" s="6">
        <f>1.6*A3</f>
        <v>561.6</v>
      </c>
      <c r="J7">
        <f>A3</f>
        <v>351</v>
      </c>
      <c r="K7">
        <f>A3</f>
        <v>351</v>
      </c>
      <c r="L7" s="32">
        <v>0.05</v>
      </c>
      <c r="M7" s="32">
        <v>0.04</v>
      </c>
      <c r="N7">
        <f>1.6*A3</f>
        <v>561.6</v>
      </c>
      <c r="O7">
        <f>A3</f>
        <v>351</v>
      </c>
      <c r="P7" s="32">
        <v>0.04</v>
      </c>
    </row>
    <row r="8" spans="1:22" x14ac:dyDescent="0.3">
      <c r="A8" s="4" t="s">
        <v>663</v>
      </c>
      <c r="B8" s="141">
        <f>B7*B6</f>
        <v>202482.71273825344</v>
      </c>
      <c r="C8" s="141">
        <f>C7*C6</f>
        <v>19480.500000000055</v>
      </c>
      <c r="D8" s="141">
        <f t="shared" ref="D8:I8" si="0">D7*D6</f>
        <v>12606.980231075859</v>
      </c>
      <c r="E8" s="141">
        <f t="shared" si="0"/>
        <v>1022.5810890107446</v>
      </c>
      <c r="F8" s="141">
        <f t="shared" si="0"/>
        <v>5397.3756158828028</v>
      </c>
      <c r="G8" s="141">
        <f t="shared" si="0"/>
        <v>708.32206248355965</v>
      </c>
      <c r="H8" s="141">
        <f t="shared" si="0"/>
        <v>3316.95</v>
      </c>
      <c r="I8" s="141">
        <f t="shared" si="0"/>
        <v>20346.768</v>
      </c>
      <c r="J8" s="141">
        <f t="shared" ref="J8" si="1">J7*J6</f>
        <v>298.34999999999997</v>
      </c>
      <c r="K8" s="141">
        <f t="shared" ref="K8" si="2">K7*K6</f>
        <v>852.93000000000006</v>
      </c>
      <c r="L8" s="142">
        <f>(SUM(B8:K8))*L7</f>
        <v>13325.673486835323</v>
      </c>
      <c r="M8" s="142">
        <f>M6*M7</f>
        <v>11193.565728941672</v>
      </c>
      <c r="N8" s="142">
        <f>N6*N7</f>
        <v>12562.992</v>
      </c>
      <c r="O8" s="141">
        <f>O6*O7</f>
        <v>3243.2400000000002</v>
      </c>
      <c r="P8" s="142">
        <f>P6*P7</f>
        <v>129.7296</v>
      </c>
    </row>
    <row r="9" spans="1:22" x14ac:dyDescent="0.3">
      <c r="D9" s="141"/>
      <c r="F9" s="6"/>
    </row>
    <row r="10" spans="1:22" x14ac:dyDescent="0.3">
      <c r="B10" t="s">
        <v>894</v>
      </c>
      <c r="C10" s="142">
        <f>B8</f>
        <v>202482.71273825344</v>
      </c>
      <c r="F10" s="141"/>
    </row>
    <row r="11" spans="1:22" x14ac:dyDescent="0.3">
      <c r="B11" t="s">
        <v>895</v>
      </c>
      <c r="C11" s="142">
        <f>-SUM(C8:P8)</f>
        <v>-104485.95781423002</v>
      </c>
      <c r="D11" s="142"/>
      <c r="F11" s="142"/>
    </row>
    <row r="12" spans="1:22" x14ac:dyDescent="0.3">
      <c r="A12" s="224">
        <v>0.48</v>
      </c>
      <c r="B12" t="s">
        <v>901</v>
      </c>
      <c r="C12" s="142">
        <f>C10+C11</f>
        <v>97996.754924023422</v>
      </c>
      <c r="H12">
        <f>773000/'Conversions Page'!D10</f>
        <v>701254637.987499</v>
      </c>
      <c r="I12" t="s">
        <v>26</v>
      </c>
    </row>
    <row r="13" spans="1:22" x14ac:dyDescent="0.3">
      <c r="H13">
        <f>Stover_Biomass_From_Agr</f>
        <v>4864.8999999999996</v>
      </c>
      <c r="I13" t="s">
        <v>8</v>
      </c>
    </row>
    <row r="14" spans="1:22" x14ac:dyDescent="0.3">
      <c r="A14" s="30" t="s">
        <v>874</v>
      </c>
      <c r="B14" s="219" t="s">
        <v>902</v>
      </c>
      <c r="C14" s="219" t="s">
        <v>903</v>
      </c>
      <c r="D14" s="219" t="s">
        <v>904</v>
      </c>
      <c r="E14" s="219" t="s">
        <v>905</v>
      </c>
      <c r="F14" s="219" t="s">
        <v>920</v>
      </c>
      <c r="G14" s="219"/>
      <c r="H14" s="253">
        <f>H12/H13</f>
        <v>144145.74564482292</v>
      </c>
      <c r="I14" s="217" t="s">
        <v>957</v>
      </c>
      <c r="J14" s="217"/>
      <c r="K14" s="44"/>
      <c r="L14" s="44"/>
      <c r="M14" s="44"/>
      <c r="N14" s="44"/>
      <c r="O14" s="44"/>
      <c r="P14" s="44"/>
      <c r="Q14" s="44"/>
      <c r="R14" s="44"/>
      <c r="S14" s="44"/>
      <c r="T14" s="44"/>
      <c r="U14" s="3"/>
      <c r="V14" s="44"/>
    </row>
    <row r="15" spans="1:22" x14ac:dyDescent="0.3">
      <c r="A15" s="4" t="s">
        <v>256</v>
      </c>
      <c r="B15" s="5" t="s">
        <v>26</v>
      </c>
      <c r="C15" s="10" t="s">
        <v>31</v>
      </c>
      <c r="D15" t="s">
        <v>918</v>
      </c>
      <c r="E15" t="s">
        <v>919</v>
      </c>
      <c r="F15" t="s">
        <v>26</v>
      </c>
      <c r="I15" s="3" t="s">
        <v>958</v>
      </c>
      <c r="J15" s="3"/>
      <c r="K15" s="3"/>
      <c r="L15" s="3"/>
      <c r="M15" s="3"/>
      <c r="N15" s="3"/>
      <c r="O15" s="3"/>
      <c r="P15" s="3"/>
      <c r="Q15" s="3"/>
      <c r="R15" s="3"/>
      <c r="S15" s="3"/>
      <c r="T15" s="3"/>
      <c r="U15" s="3"/>
      <c r="V15" s="3"/>
    </row>
    <row r="16" spans="1:22" x14ac:dyDescent="0.3">
      <c r="A16" s="4" t="s">
        <v>875</v>
      </c>
      <c r="B16">
        <v>0.05</v>
      </c>
      <c r="C16" s="141">
        <v>9.24</v>
      </c>
      <c r="D16" s="141">
        <v>0.5</v>
      </c>
      <c r="E16">
        <v>0.1381</v>
      </c>
      <c r="F16" s="142">
        <f>F18/F17</f>
        <v>2.7615496607920106E-2</v>
      </c>
      <c r="I16" s="3" t="s">
        <v>962</v>
      </c>
      <c r="J16" s="3"/>
      <c r="K16" s="3"/>
      <c r="L16" s="3"/>
      <c r="M16" s="3"/>
      <c r="N16" s="3"/>
      <c r="O16" s="3"/>
      <c r="P16" s="3"/>
      <c r="Q16" s="3"/>
      <c r="R16" s="3"/>
      <c r="S16" s="3"/>
      <c r="T16" s="3"/>
      <c r="U16" s="3"/>
      <c r="V16" s="3"/>
    </row>
    <row r="17" spans="1:22" x14ac:dyDescent="0.3">
      <c r="A17" s="186" t="s">
        <v>876</v>
      </c>
      <c r="B17" s="252">
        <f>Biomass_Input_To_BP*C2</f>
        <v>691034.13528661896</v>
      </c>
      <c r="C17">
        <f>A3</f>
        <v>351</v>
      </c>
      <c r="D17" s="6">
        <f>(Biomass_Input_To_BP/1500)*Avg_Miles_To_Biorefinery*C2</f>
        <v>16287.830769751678</v>
      </c>
      <c r="E17" s="233">
        <f>(749/3.6)*C2</f>
        <v>29553.226361263427</v>
      </c>
      <c r="F17" s="147">
        <f>(Biomass_Input_To_BP*C2)</f>
        <v>691034.13528661896</v>
      </c>
      <c r="G17" s="148"/>
      <c r="H17" s="233">
        <f>H14/142</f>
        <v>1015.1108848226967</v>
      </c>
      <c r="I17" s="3" t="s">
        <v>959</v>
      </c>
      <c r="J17" s="141"/>
      <c r="K17" s="141"/>
      <c r="L17" s="141"/>
      <c r="M17" s="141"/>
      <c r="N17" s="141"/>
      <c r="O17" s="141"/>
      <c r="P17" s="141"/>
      <c r="Q17" s="141"/>
      <c r="R17" s="141"/>
      <c r="S17" s="141"/>
      <c r="T17" s="141"/>
      <c r="V17" s="141"/>
    </row>
    <row r="18" spans="1:22" x14ac:dyDescent="0.3">
      <c r="A18" s="4" t="s">
        <v>663</v>
      </c>
      <c r="B18" s="141">
        <f>B17*B16</f>
        <v>34551.706764330949</v>
      </c>
      <c r="C18" s="142">
        <f>C16*C17</f>
        <v>3243.2400000000002</v>
      </c>
      <c r="D18" s="142">
        <f>D16*D17</f>
        <v>8143.9153848758388</v>
      </c>
      <c r="E18" s="141">
        <f>E17*E16</f>
        <v>4081.3005604904793</v>
      </c>
      <c r="F18" s="142">
        <f>B18-C18-D18-E18</f>
        <v>19083.250818964629</v>
      </c>
      <c r="H18" s="16"/>
      <c r="I18" s="3" t="s">
        <v>960</v>
      </c>
    </row>
    <row r="19" spans="1:22" x14ac:dyDescent="0.3">
      <c r="B19" s="142"/>
      <c r="F19" s="147"/>
      <c r="H19" s="142"/>
      <c r="I19" s="142"/>
    </row>
    <row r="22" spans="1:22" x14ac:dyDescent="0.3">
      <c r="B22" s="142"/>
    </row>
    <row r="24" spans="1:22" x14ac:dyDescent="0.3">
      <c r="C24" s="287" t="s">
        <v>694</v>
      </c>
      <c r="D24" s="287"/>
      <c r="K24" t="s">
        <v>626</v>
      </c>
      <c r="L24">
        <v>137.22596623106026</v>
      </c>
      <c r="M24" t="s">
        <v>627</v>
      </c>
    </row>
    <row r="25" spans="1:22" x14ac:dyDescent="0.3">
      <c r="C25" s="287"/>
      <c r="D25" s="287"/>
      <c r="K25" t="s">
        <v>629</v>
      </c>
      <c r="L25">
        <v>71.08870931042037</v>
      </c>
      <c r="M25" t="s">
        <v>630</v>
      </c>
    </row>
    <row r="26" spans="1:22" x14ac:dyDescent="0.3">
      <c r="A26" s="4" t="s">
        <v>255</v>
      </c>
      <c r="B26" s="75" t="s">
        <v>644</v>
      </c>
      <c r="C26" s="75" t="s">
        <v>657</v>
      </c>
      <c r="D26" s="75" t="s">
        <v>663</v>
      </c>
      <c r="E26" s="75" t="s">
        <v>665</v>
      </c>
      <c r="F26" s="75" t="s">
        <v>664</v>
      </c>
      <c r="G26" s="75" t="s">
        <v>666</v>
      </c>
      <c r="H26" s="216" t="s">
        <v>863</v>
      </c>
      <c r="K26" t="s">
        <v>631</v>
      </c>
      <c r="L26">
        <v>172.26061255202828</v>
      </c>
      <c r="M26" t="s">
        <v>632</v>
      </c>
    </row>
    <row r="27" spans="1:22" x14ac:dyDescent="0.3">
      <c r="A27" s="4" t="s">
        <v>649</v>
      </c>
      <c r="B27" s="56">
        <f>DAH_Dilution_Water_I</f>
        <v>18875.811999999998</v>
      </c>
      <c r="C27" s="148">
        <v>2.2049999999999999E-4</v>
      </c>
      <c r="D27" s="141">
        <f>B27*C27</f>
        <v>4.1621165459999991</v>
      </c>
      <c r="E27" s="145">
        <f>D27/'Process Model'!$R$4</f>
        <v>1.006384609582885E-2</v>
      </c>
      <c r="F27" s="156" t="s">
        <v>616</v>
      </c>
      <c r="H27">
        <f>(E27*61000000)/I$98</f>
        <v>4.8528876245412626E-3</v>
      </c>
      <c r="I27" t="s">
        <v>854</v>
      </c>
      <c r="J27" s="74">
        <f>E27/E$49</f>
        <v>7.953388934665075E-3</v>
      </c>
      <c r="K27" t="s">
        <v>639</v>
      </c>
      <c r="L27">
        <v>80.676174072871845</v>
      </c>
      <c r="M27" t="s">
        <v>637</v>
      </c>
    </row>
    <row r="28" spans="1:22" x14ac:dyDescent="0.3">
      <c r="A28" s="4" t="s">
        <v>650</v>
      </c>
      <c r="B28" s="110">
        <f>Sulf_Acid_DAH_I</f>
        <v>151.006496</v>
      </c>
      <c r="C28" s="148">
        <v>8.7979500000000002E-2</v>
      </c>
      <c r="D28" s="141">
        <f t="shared" ref="D28:D35" si="3">B28*C28</f>
        <v>13.285476014832</v>
      </c>
      <c r="E28" s="145">
        <f>D28/'Process Model'!$R$4</f>
        <v>3.2123796737885693E-2</v>
      </c>
      <c r="F28" s="146">
        <v>2.4500000000000001E-2</v>
      </c>
      <c r="G28">
        <f t="shared" ref="G28:G34" si="4">F28/E28</f>
        <v>0.76267448085006562</v>
      </c>
      <c r="H28">
        <f t="shared" ref="H28:H44" si="5">(E28*61000000)/I$98</f>
        <v>1.5490417297535714E-2</v>
      </c>
      <c r="I28" t="s">
        <v>855</v>
      </c>
      <c r="J28" s="74">
        <f t="shared" ref="J28:J46" si="6">E28/E$49</f>
        <v>2.5387217479450924E-2</v>
      </c>
      <c r="K28" t="s">
        <v>175</v>
      </c>
      <c r="L28">
        <v>71.000955320698168</v>
      </c>
      <c r="M28" t="s">
        <v>638</v>
      </c>
    </row>
    <row r="29" spans="1:22" x14ac:dyDescent="0.3">
      <c r="A29" s="4" t="s">
        <v>651</v>
      </c>
      <c r="B29">
        <f>Ammon_DAH_I</f>
        <v>52.443267842779797</v>
      </c>
      <c r="C29" s="148">
        <v>0.43945650000000003</v>
      </c>
      <c r="D29" s="141">
        <f t="shared" si="3"/>
        <v>23.046534934750561</v>
      </c>
      <c r="E29" s="145">
        <f>D29/'Process Model'!$R$4</f>
        <v>5.5725681408026737E-2</v>
      </c>
      <c r="F29" s="146">
        <v>6.5000000000000002E-2</v>
      </c>
      <c r="G29">
        <f t="shared" si="4"/>
        <v>1.1664280876902366</v>
      </c>
      <c r="H29">
        <f t="shared" si="5"/>
        <v>2.6871483039295194E-2</v>
      </c>
      <c r="I29" t="s">
        <v>856</v>
      </c>
      <c r="J29" s="74">
        <f t="shared" si="6"/>
        <v>4.4039625970727733E-2</v>
      </c>
      <c r="K29" t="s">
        <v>640</v>
      </c>
      <c r="L29">
        <v>384.01861009750496</v>
      </c>
      <c r="M29" t="s">
        <v>101</v>
      </c>
    </row>
    <row r="30" spans="1:22" x14ac:dyDescent="0.3">
      <c r="A30" s="4" t="s">
        <v>652</v>
      </c>
      <c r="B30">
        <f>EH_Dilution_Water_Input</f>
        <v>18366.165075999997</v>
      </c>
      <c r="C30" s="148">
        <f>C27</f>
        <v>2.2049999999999999E-4</v>
      </c>
      <c r="D30" s="141">
        <f t="shared" si="3"/>
        <v>4.0497393992579998</v>
      </c>
      <c r="E30" s="145">
        <f>D30/'Process Model'!$R$4</f>
        <v>9.7921222512414707E-3</v>
      </c>
      <c r="F30" s="156" t="s">
        <v>616</v>
      </c>
      <c r="H30">
        <f t="shared" si="5"/>
        <v>4.7218596586786482E-3</v>
      </c>
      <c r="J30" s="74">
        <f t="shared" si="6"/>
        <v>7.7386474334291177E-3</v>
      </c>
      <c r="K30" t="s">
        <v>656</v>
      </c>
      <c r="L30">
        <v>8.7004091991857777</v>
      </c>
      <c r="M30" t="s">
        <v>26</v>
      </c>
    </row>
    <row r="31" spans="1:22" x14ac:dyDescent="0.3">
      <c r="A31" s="37" t="s">
        <v>669</v>
      </c>
      <c r="B31" s="153">
        <f>L30</f>
        <v>8.7004091991857777</v>
      </c>
      <c r="C31" s="148">
        <v>0.98709029999999998</v>
      </c>
      <c r="D31" s="141">
        <f>B31*C31</f>
        <v>8.5880895265470496</v>
      </c>
      <c r="E31" s="145">
        <f>D31/'Process Model'!$R$4</f>
        <v>2.0765687432619331E-2</v>
      </c>
      <c r="F31" s="146">
        <v>1.9400000000000001E-2</v>
      </c>
      <c r="G31">
        <f>F31/E31</f>
        <v>0.93423345906314326</v>
      </c>
      <c r="H31">
        <f t="shared" si="5"/>
        <v>1.0013422959500331E-2</v>
      </c>
      <c r="J31" s="74">
        <f t="shared" si="6"/>
        <v>1.6410981157170206E-2</v>
      </c>
    </row>
    <row r="32" spans="1:22" x14ac:dyDescent="0.3">
      <c r="A32" s="4" t="s">
        <v>140</v>
      </c>
      <c r="B32">
        <v>140</v>
      </c>
      <c r="C32" s="148">
        <v>0.56866950000000005</v>
      </c>
      <c r="D32" s="141">
        <f t="shared" si="3"/>
        <v>79.613730000000004</v>
      </c>
      <c r="E32" s="145">
        <f>D32/'Process Model'!$R$4</f>
        <v>0.19250309715735489</v>
      </c>
      <c r="F32" s="146">
        <v>0.19339999999999999</v>
      </c>
      <c r="G32">
        <f t="shared" si="4"/>
        <v>1.004659160584372</v>
      </c>
      <c r="H32">
        <f t="shared" si="5"/>
        <v>9.2826926106112345E-2</v>
      </c>
      <c r="J32" s="74">
        <f t="shared" si="6"/>
        <v>0.15213388482308324</v>
      </c>
    </row>
    <row r="33" spans="1:13" x14ac:dyDescent="0.3">
      <c r="A33" s="37" t="s">
        <v>653</v>
      </c>
      <c r="B33" s="136">
        <f>B29/10</f>
        <v>5.2443267842779795</v>
      </c>
      <c r="C33" s="148">
        <f>C29</f>
        <v>0.43945650000000003</v>
      </c>
      <c r="D33" s="141">
        <f t="shared" si="3"/>
        <v>2.304653493475056</v>
      </c>
      <c r="E33" s="145">
        <f>D33/'Process Model'!$R$4</f>
        <v>5.5725681408026733E-3</v>
      </c>
      <c r="F33" s="146">
        <v>7.1000000000000004E-3</v>
      </c>
      <c r="G33" s="3">
        <f t="shared" si="4"/>
        <v>1.274098372707797</v>
      </c>
      <c r="H33">
        <f t="shared" si="5"/>
        <v>2.687148303929519E-3</v>
      </c>
      <c r="J33" s="74">
        <f t="shared" si="6"/>
        <v>4.4039625970727731E-3</v>
      </c>
    </row>
    <row r="34" spans="1:13" x14ac:dyDescent="0.3">
      <c r="A34" s="37" t="s">
        <v>433</v>
      </c>
      <c r="B34">
        <f>SO2_EP_I</f>
        <v>0.90327199999999996</v>
      </c>
      <c r="C34" s="148">
        <v>0.30384899999999998</v>
      </c>
      <c r="D34" s="141">
        <f t="shared" si="3"/>
        <v>0.27445829392799997</v>
      </c>
      <c r="E34" s="145">
        <f>D34/'Process Model'!$R$4</f>
        <v>6.6363015049870965E-4</v>
      </c>
      <c r="F34" s="146">
        <v>6.9999999999999999E-4</v>
      </c>
      <c r="G34">
        <f t="shared" si="4"/>
        <v>1.0548043959032887</v>
      </c>
      <c r="H34">
        <f t="shared" si="5"/>
        <v>3.2000912116118802E-4</v>
      </c>
      <c r="J34" s="74">
        <f t="shared" si="6"/>
        <v>5.2446238201855726E-4</v>
      </c>
    </row>
    <row r="35" spans="1:13" x14ac:dyDescent="0.3">
      <c r="A35" s="37" t="s">
        <v>434</v>
      </c>
      <c r="B35" s="136">
        <f>L27</f>
        <v>80.676174072871845</v>
      </c>
      <c r="C35" s="148">
        <v>5.5565999999999997E-2</v>
      </c>
      <c r="D35" s="141">
        <f t="shared" si="3"/>
        <v>4.4828522885331967</v>
      </c>
      <c r="E35" s="145">
        <f>D35/'Process Model'!$R$4</f>
        <v>1.0839373430205777E-2</v>
      </c>
      <c r="F35" s="146">
        <v>9.1000000000000004E-3</v>
      </c>
      <c r="G35">
        <f t="shared" ref="G35:G43" si="7">F35/E35</f>
        <v>0.83953192115711106</v>
      </c>
      <c r="H35">
        <f t="shared" si="5"/>
        <v>5.2268546911730879E-3</v>
      </c>
      <c r="J35" s="74">
        <f t="shared" si="6"/>
        <v>8.5662828979700401E-3</v>
      </c>
      <c r="M35">
        <v>20.637</v>
      </c>
    </row>
    <row r="36" spans="1:13" x14ac:dyDescent="0.3">
      <c r="A36" s="37" t="s">
        <v>422</v>
      </c>
      <c r="B36" s="234">
        <f>M36</f>
        <v>15.35640444</v>
      </c>
      <c r="C36" s="235"/>
      <c r="D36" s="236"/>
      <c r="E36" s="237"/>
      <c r="F36" s="238"/>
      <c r="G36" s="236"/>
      <c r="J36" s="74">
        <f t="shared" si="6"/>
        <v>0</v>
      </c>
      <c r="L36">
        <f>Corn_Oil_EP_I</f>
        <v>0.74412</v>
      </c>
      <c r="M36">
        <f>L36*M$35</f>
        <v>15.35640444</v>
      </c>
    </row>
    <row r="37" spans="1:13" x14ac:dyDescent="0.3">
      <c r="A37" s="37" t="s">
        <v>655</v>
      </c>
      <c r="B37">
        <f t="shared" ref="B37:B40" si="8">M37</f>
        <v>21.498966215999999</v>
      </c>
      <c r="C37" s="149"/>
      <c r="D37" s="150"/>
      <c r="E37" s="151"/>
      <c r="F37" s="152"/>
      <c r="G37" s="150"/>
      <c r="J37" s="74">
        <f t="shared" si="6"/>
        <v>0</v>
      </c>
      <c r="L37">
        <f>Ammon_Sulfate_EP</f>
        <v>1.041768</v>
      </c>
      <c r="M37">
        <f t="shared" ref="M37:M40" si="9">L37*M$35</f>
        <v>21.498966215999999</v>
      </c>
    </row>
    <row r="38" spans="1:13" x14ac:dyDescent="0.3">
      <c r="A38" s="37" t="s">
        <v>436</v>
      </c>
      <c r="B38">
        <f t="shared" si="8"/>
        <v>30.712808880000001</v>
      </c>
      <c r="C38" s="148">
        <v>0.82180399999999998</v>
      </c>
      <c r="D38" s="142">
        <f>C38*(SUM(B36:B40))</f>
        <v>64.002768271764907</v>
      </c>
      <c r="E38" s="145">
        <f>D38/'Process Model'!R4</f>
        <v>0.15475636073023119</v>
      </c>
      <c r="F38" s="146">
        <v>7.6E-3</v>
      </c>
      <c r="G38">
        <f t="shared" si="7"/>
        <v>4.9109451554293124E-2</v>
      </c>
      <c r="H38">
        <f t="shared" si="5"/>
        <v>7.4625070838280697E-2</v>
      </c>
      <c r="J38" s="74">
        <f t="shared" si="6"/>
        <v>0.12230289645536226</v>
      </c>
      <c r="L38">
        <f>Potass_Phosph_EP_I</f>
        <v>1.48824</v>
      </c>
      <c r="M38">
        <f t="shared" si="9"/>
        <v>30.712808880000001</v>
      </c>
    </row>
    <row r="39" spans="1:13" x14ac:dyDescent="0.3">
      <c r="A39" s="37" t="s">
        <v>437</v>
      </c>
      <c r="B39">
        <f t="shared" si="8"/>
        <v>4.6069213319999998</v>
      </c>
      <c r="C39" s="149"/>
      <c r="D39" s="150"/>
      <c r="E39" s="151"/>
      <c r="F39" s="152"/>
      <c r="G39" s="150"/>
      <c r="J39" s="74">
        <f t="shared" si="6"/>
        <v>0</v>
      </c>
      <c r="L39">
        <f>Mg_Sulfate_EP_I</f>
        <v>0.22323599999999999</v>
      </c>
      <c r="M39">
        <f t="shared" si="9"/>
        <v>4.6069213319999998</v>
      </c>
    </row>
    <row r="40" spans="1:13" x14ac:dyDescent="0.3">
      <c r="A40" s="37" t="s">
        <v>438</v>
      </c>
      <c r="B40" s="239">
        <f t="shared" si="8"/>
        <v>5.7057177600000006</v>
      </c>
      <c r="C40" s="240"/>
      <c r="D40" s="241"/>
      <c r="E40" s="242"/>
      <c r="F40" s="243"/>
      <c r="G40" s="241"/>
      <c r="J40" s="74">
        <f t="shared" si="6"/>
        <v>0</v>
      </c>
      <c r="L40">
        <f>Inputs!A32</f>
        <v>0.27648</v>
      </c>
      <c r="M40">
        <f t="shared" si="9"/>
        <v>5.7057177600000006</v>
      </c>
    </row>
    <row r="41" spans="1:13" x14ac:dyDescent="0.3">
      <c r="A41" s="37" t="s">
        <v>668</v>
      </c>
      <c r="B41" s="154">
        <f>'Process Model'!R12</f>
        <v>71.651001237370551</v>
      </c>
      <c r="C41" s="148">
        <v>0.19940920000000001</v>
      </c>
      <c r="D41" s="142">
        <f>C41*B41</f>
        <v>14.287868835943073</v>
      </c>
      <c r="E41" s="145">
        <f>D41/'Process Model'!$R$4</f>
        <v>3.4547546041330965E-2</v>
      </c>
      <c r="F41" s="146">
        <v>2.4559999999999998E-2</v>
      </c>
      <c r="G41">
        <f t="shared" si="7"/>
        <v>0.71090432792585723</v>
      </c>
      <c r="H41">
        <f t="shared" si="5"/>
        <v>1.6659173545165048E-2</v>
      </c>
      <c r="J41" s="74">
        <f t="shared" si="6"/>
        <v>2.7302690024128801E-2</v>
      </c>
      <c r="M41">
        <f>SUM(M36:M40)</f>
        <v>77.880818628</v>
      </c>
    </row>
    <row r="42" spans="1:13" x14ac:dyDescent="0.3">
      <c r="A42" s="37" t="s">
        <v>667</v>
      </c>
      <c r="B42" s="155">
        <f>L24</f>
        <v>137.22596623106026</v>
      </c>
      <c r="C42" s="148">
        <v>0.1378125</v>
      </c>
      <c r="D42" s="142">
        <f>C42*B42</f>
        <v>18.911453471217992</v>
      </c>
      <c r="E42" s="145">
        <f>D42/'Process Model'!$R$4</f>
        <v>4.5727205156154263E-2</v>
      </c>
      <c r="F42" s="161">
        <v>4.6399999999999997E-2</v>
      </c>
      <c r="G42">
        <f t="shared" si="7"/>
        <v>1.0147132290623972</v>
      </c>
      <c r="H42">
        <f t="shared" si="5"/>
        <v>2.2050117409797714E-2</v>
      </c>
      <c r="J42" s="74">
        <f t="shared" si="6"/>
        <v>3.6137898377922702E-2</v>
      </c>
    </row>
    <row r="43" spans="1:13" x14ac:dyDescent="0.3">
      <c r="A43" s="37" t="s">
        <v>695</v>
      </c>
      <c r="B43" s="155">
        <f>'Process Model'!R18</f>
        <v>9.7701534862390762</v>
      </c>
      <c r="C43" s="148">
        <v>2.1</v>
      </c>
      <c r="D43" s="142">
        <f>C43*B43</f>
        <v>20.517322321102061</v>
      </c>
      <c r="E43" s="145">
        <f>D43/'Process Model'!$R$4</f>
        <v>4.9610137500000005E-2</v>
      </c>
      <c r="F43" s="161">
        <v>5.1799999999999999E-2</v>
      </c>
      <c r="G43">
        <f t="shared" si="7"/>
        <v>1.0441414317789381</v>
      </c>
      <c r="H43">
        <f t="shared" si="5"/>
        <v>2.3922506369142987E-2</v>
      </c>
      <c r="J43" s="74">
        <f t="shared" si="6"/>
        <v>3.9206553327882206E-2</v>
      </c>
    </row>
    <row r="44" spans="1:13" x14ac:dyDescent="0.3">
      <c r="A44" s="37" t="s">
        <v>674</v>
      </c>
      <c r="E44">
        <v>0.74</v>
      </c>
      <c r="F44" s="161">
        <v>0.74</v>
      </c>
      <c r="H44">
        <f t="shared" si="5"/>
        <v>0.35683542931453899</v>
      </c>
      <c r="J44" s="74">
        <f t="shared" si="6"/>
        <v>0.58481695324131744</v>
      </c>
    </row>
    <row r="45" spans="1:13" x14ac:dyDescent="0.3">
      <c r="D45" s="168" t="s">
        <v>495</v>
      </c>
      <c r="E45" s="165">
        <f>SUM(E27:E44)</f>
        <v>1.3626910522321805</v>
      </c>
      <c r="F45" s="166">
        <f>SUM(F32:F44,F28:F29)+0.066</f>
        <v>1.2361599999999999</v>
      </c>
      <c r="G45" s="167">
        <f>F45/E45</f>
        <v>0.90714619280363362</v>
      </c>
      <c r="J45" s="74"/>
    </row>
    <row r="46" spans="1:13" x14ac:dyDescent="0.3">
      <c r="A46" s="37" t="s">
        <v>672</v>
      </c>
      <c r="C46" t="s">
        <v>671</v>
      </c>
      <c r="J46" s="74">
        <f t="shared" si="6"/>
        <v>0</v>
      </c>
    </row>
    <row r="47" spans="1:13" x14ac:dyDescent="0.3">
      <c r="A47" s="4" t="s">
        <v>670</v>
      </c>
      <c r="B47">
        <f>'Process Model'!M44</f>
        <v>703.77851622910475</v>
      </c>
      <c r="C47" s="148">
        <v>5.7200000000000001E-2</v>
      </c>
      <c r="D47" s="141">
        <f>C47*B47</f>
        <v>40.256131128304794</v>
      </c>
      <c r="E47" s="158">
        <f>D47/'Process Model'!R4</f>
        <v>9.7337857700817126E-2</v>
      </c>
      <c r="F47" s="146">
        <v>0.1008</v>
      </c>
      <c r="G47" s="108">
        <f>F47/E47</f>
        <v>1.0355683017991242</v>
      </c>
      <c r="H47">
        <v>6.5739970000000003</v>
      </c>
      <c r="I47" t="s">
        <v>852</v>
      </c>
      <c r="J47" s="74">
        <f>-E47/E$49</f>
        <v>-7.6925445102201048E-2</v>
      </c>
    </row>
    <row r="48" spans="1:13" x14ac:dyDescent="0.3">
      <c r="F48" s="142">
        <f>F45-F47</f>
        <v>1.1353599999999999</v>
      </c>
    </row>
    <row r="49" spans="1:14" x14ac:dyDescent="0.3">
      <c r="D49" s="160" t="s">
        <v>673</v>
      </c>
      <c r="E49" s="169">
        <f>E45-E47</f>
        <v>1.2653531945313634</v>
      </c>
      <c r="F49" s="160">
        <v>1.0771999999999999</v>
      </c>
      <c r="G49" s="164">
        <f>F49/E49</f>
        <v>0.85130381355614471</v>
      </c>
    </row>
    <row r="50" spans="1:14" x14ac:dyDescent="0.3">
      <c r="I50" t="s">
        <v>673</v>
      </c>
      <c r="J50" t="s">
        <v>675</v>
      </c>
      <c r="K50" t="s">
        <v>970</v>
      </c>
    </row>
    <row r="51" spans="1:14" x14ac:dyDescent="0.3">
      <c r="D51" s="160" t="s">
        <v>675</v>
      </c>
      <c r="E51">
        <f>SUM(E52:E55)</f>
        <v>17.489999999999998</v>
      </c>
      <c r="F51" t="s">
        <v>680</v>
      </c>
      <c r="H51" t="s">
        <v>971</v>
      </c>
      <c r="I51" s="257">
        <f>E49*Full_Prod_Rate</f>
        <v>115829034.90702112</v>
      </c>
      <c r="J51" s="228">
        <f>SUM(C52:C55)</f>
        <v>10671856.802999999</v>
      </c>
      <c r="K51" s="142">
        <f>I51+J51</f>
        <v>126500891.71002112</v>
      </c>
    </row>
    <row r="52" spans="1:14" x14ac:dyDescent="0.3">
      <c r="C52" s="183">
        <v>2476945</v>
      </c>
      <c r="D52" t="s">
        <v>676</v>
      </c>
      <c r="E52">
        <v>4.0599999999999996</v>
      </c>
      <c r="F52" t="s">
        <v>680</v>
      </c>
      <c r="H52" s="142" t="s">
        <v>972</v>
      </c>
      <c r="I52" s="258">
        <v>71896000</v>
      </c>
      <c r="J52" s="228">
        <f>J51</f>
        <v>10671856.802999999</v>
      </c>
      <c r="K52" s="142">
        <f>I52+J52</f>
        <v>82567856.803000003</v>
      </c>
    </row>
    <row r="53" spans="1:14" x14ac:dyDescent="0.3">
      <c r="C53" s="183">
        <v>2229278</v>
      </c>
      <c r="D53" s="144" t="s">
        <v>677</v>
      </c>
      <c r="E53">
        <v>3.65</v>
      </c>
      <c r="F53" t="s">
        <v>680</v>
      </c>
      <c r="H53" t="s">
        <v>973</v>
      </c>
      <c r="I53" s="228">
        <f>I51-I52</f>
        <v>43933034.90702112</v>
      </c>
    </row>
    <row r="54" spans="1:14" x14ac:dyDescent="0.3">
      <c r="C54" s="183">
        <v>3158428</v>
      </c>
      <c r="D54" s="144" t="s">
        <v>678</v>
      </c>
      <c r="E54">
        <v>5.18</v>
      </c>
      <c r="F54" t="s">
        <v>680</v>
      </c>
    </row>
    <row r="55" spans="1:14" x14ac:dyDescent="0.3">
      <c r="C55" s="183">
        <v>2807205.8029999998</v>
      </c>
      <c r="D55" s="144" t="s">
        <v>679</v>
      </c>
      <c r="E55">
        <v>4.5999999999999996</v>
      </c>
      <c r="F55" t="s">
        <v>680</v>
      </c>
    </row>
    <row r="56" spans="1:14" x14ac:dyDescent="0.3">
      <c r="D56" s="144"/>
    </row>
    <row r="57" spans="1:14" x14ac:dyDescent="0.3">
      <c r="D57" s="288" t="s">
        <v>772</v>
      </c>
      <c r="E57" s="288"/>
      <c r="F57" s="288"/>
      <c r="J57" t="s">
        <v>864</v>
      </c>
      <c r="K57" t="s">
        <v>862</v>
      </c>
    </row>
    <row r="58" spans="1:14" x14ac:dyDescent="0.3">
      <c r="A58" s="4" t="s">
        <v>681</v>
      </c>
      <c r="D58" t="s">
        <v>682</v>
      </c>
      <c r="E58" t="s">
        <v>683</v>
      </c>
      <c r="G58" t="s">
        <v>748</v>
      </c>
      <c r="H58" t="s">
        <v>745</v>
      </c>
      <c r="L58" s="4" t="s">
        <v>746</v>
      </c>
      <c r="M58" s="108">
        <f>I59/I67</f>
        <v>0.10401814886309496</v>
      </c>
      <c r="N58" t="s">
        <v>765</v>
      </c>
    </row>
    <row r="59" spans="1:14" x14ac:dyDescent="0.3">
      <c r="A59" s="289" t="s">
        <v>684</v>
      </c>
      <c r="B59" s="289"/>
      <c r="C59" s="289"/>
      <c r="D59" s="172">
        <v>14208831.025516467</v>
      </c>
      <c r="E59" s="172">
        <v>24155012.743377995</v>
      </c>
      <c r="F59" s="133"/>
      <c r="G59" s="133" t="s">
        <v>749</v>
      </c>
      <c r="H59" s="133" t="s">
        <v>746</v>
      </c>
      <c r="I59" s="142">
        <f>E59</f>
        <v>24155012.743377995</v>
      </c>
      <c r="J59">
        <f>I59/E$83</f>
        <v>5.7113652979084863E-2</v>
      </c>
      <c r="L59" s="4" t="s">
        <v>747</v>
      </c>
      <c r="M59" s="108">
        <f>I60/I67</f>
        <v>0.14192277451636953</v>
      </c>
      <c r="N59" t="s">
        <v>766</v>
      </c>
    </row>
    <row r="60" spans="1:14" x14ac:dyDescent="0.3">
      <c r="A60" s="285" t="s">
        <v>685</v>
      </c>
      <c r="B60" s="285"/>
      <c r="C60" s="285"/>
      <c r="D60" s="170">
        <v>19945315.079949375</v>
      </c>
      <c r="E60" s="170">
        <v>29917972.619924061</v>
      </c>
      <c r="F60" s="171"/>
      <c r="G60" s="171" t="s">
        <v>750</v>
      </c>
      <c r="H60" s="171" t="s">
        <v>747</v>
      </c>
      <c r="I60" s="142">
        <f>SUM(E60:E61)</f>
        <v>32957195.109581057</v>
      </c>
      <c r="J60">
        <f t="shared" ref="J60:J68" si="10">I60/E$83</f>
        <v>7.7926094457086648E-2</v>
      </c>
      <c r="L60" s="4" t="s">
        <v>764</v>
      </c>
      <c r="M60" s="108">
        <f>I63/I67</f>
        <v>0.13465602878394442</v>
      </c>
      <c r="N60" t="s">
        <v>767</v>
      </c>
    </row>
    <row r="61" spans="1:14" x14ac:dyDescent="0.3">
      <c r="A61" s="285" t="s">
        <v>686</v>
      </c>
      <c r="B61" s="285"/>
      <c r="C61" s="285"/>
      <c r="D61" s="170">
        <v>1539035.0818810947</v>
      </c>
      <c r="E61" s="170">
        <v>3039222.489656996</v>
      </c>
      <c r="F61" s="174"/>
      <c r="G61" s="174" t="s">
        <v>751</v>
      </c>
      <c r="H61" s="174" t="s">
        <v>755</v>
      </c>
      <c r="I61" t="s">
        <v>633</v>
      </c>
      <c r="L61" s="4" t="s">
        <v>756</v>
      </c>
      <c r="M61" s="108">
        <f>I62/I67</f>
        <v>8.0683523625014825E-2</v>
      </c>
      <c r="N61" t="s">
        <v>768</v>
      </c>
    </row>
    <row r="62" spans="1:14" x14ac:dyDescent="0.3">
      <c r="A62" s="290" t="s">
        <v>687</v>
      </c>
      <c r="B62" s="290"/>
      <c r="C62" s="290"/>
      <c r="D62" s="173">
        <v>18512077.750534452</v>
      </c>
      <c r="E62" s="173">
        <v>31269717.12916977</v>
      </c>
      <c r="F62" s="176"/>
      <c r="G62" s="176" t="s">
        <v>752</v>
      </c>
      <c r="H62" s="176" t="s">
        <v>756</v>
      </c>
      <c r="I62" s="142">
        <f>E63</f>
        <v>18736264.417740807</v>
      </c>
      <c r="J62">
        <f t="shared" si="10"/>
        <v>4.4301218775907578E-2</v>
      </c>
      <c r="L62" s="4" t="s">
        <v>758</v>
      </c>
      <c r="M62" s="108">
        <f>I64/I67</f>
        <v>9.6106373439333564E-2</v>
      </c>
      <c r="N62" t="s">
        <v>771</v>
      </c>
    </row>
    <row r="63" spans="1:14" x14ac:dyDescent="0.3">
      <c r="A63" s="291" t="s">
        <v>688</v>
      </c>
      <c r="B63" s="291"/>
      <c r="C63" s="291"/>
      <c r="D63" s="175">
        <v>10959069.816696316</v>
      </c>
      <c r="E63" s="175">
        <v>18736264.417740807</v>
      </c>
      <c r="F63" s="174"/>
      <c r="G63" s="174" t="s">
        <v>753</v>
      </c>
      <c r="H63" s="174" t="s">
        <v>757</v>
      </c>
      <c r="I63" s="142">
        <f>E62</f>
        <v>31269717.12916977</v>
      </c>
      <c r="J63">
        <f t="shared" si="10"/>
        <v>7.3936113875955348E-2</v>
      </c>
      <c r="L63" s="4" t="s">
        <v>760</v>
      </c>
      <c r="M63" s="108">
        <f>I65/I67</f>
        <v>0.28340086879400489</v>
      </c>
      <c r="N63" t="s">
        <v>770</v>
      </c>
    </row>
    <row r="64" spans="1:14" x14ac:dyDescent="0.3">
      <c r="A64" s="289" t="s">
        <v>689</v>
      </c>
      <c r="B64" s="289"/>
      <c r="C64" s="289"/>
      <c r="D64" s="172">
        <v>11132415.365829619</v>
      </c>
      <c r="E64" s="172">
        <v>22317746.4752075</v>
      </c>
      <c r="F64" s="133"/>
      <c r="G64" s="133" t="s">
        <v>754</v>
      </c>
      <c r="H64" s="133" t="s">
        <v>758</v>
      </c>
      <c r="I64" s="142">
        <f>E64</f>
        <v>22317746.4752075</v>
      </c>
      <c r="J64">
        <f t="shared" si="10"/>
        <v>5.276950341537847E-2</v>
      </c>
      <c r="L64" s="4" t="s">
        <v>763</v>
      </c>
      <c r="M64" s="108">
        <f>I66/I67</f>
        <v>0.26323043084133274</v>
      </c>
      <c r="N64" t="s">
        <v>769</v>
      </c>
    </row>
    <row r="65" spans="1:10" x14ac:dyDescent="0.3">
      <c r="A65" s="284" t="s">
        <v>690</v>
      </c>
      <c r="B65" s="284"/>
      <c r="C65" s="284"/>
      <c r="D65" s="177">
        <v>49295428.217006892</v>
      </c>
      <c r="E65" s="177">
        <v>49295428.217006892</v>
      </c>
      <c r="F65" s="171"/>
      <c r="G65" s="171" t="s">
        <v>761</v>
      </c>
      <c r="H65" s="171" t="s">
        <v>760</v>
      </c>
      <c r="I65" s="142">
        <f>E67</f>
        <v>65811126.923758835</v>
      </c>
      <c r="J65">
        <f t="shared" si="10"/>
        <v>0.15560802659135453</v>
      </c>
    </row>
    <row r="66" spans="1:10" x14ac:dyDescent="0.3">
      <c r="A66" s="284" t="s">
        <v>691</v>
      </c>
      <c r="B66" s="284"/>
      <c r="C66" s="284"/>
      <c r="D66" s="177">
        <v>2826617.8649316616</v>
      </c>
      <c r="E66" s="177">
        <v>4952924.785068322</v>
      </c>
      <c r="F66" s="171"/>
      <c r="G66" s="2" t="s">
        <v>762</v>
      </c>
      <c r="H66" s="2" t="s">
        <v>763</v>
      </c>
      <c r="I66" s="142">
        <f>SUM(E68,E65:E66)</f>
        <v>61127163.681656063</v>
      </c>
      <c r="J66">
        <f t="shared" si="10"/>
        <v>0.14453296511163805</v>
      </c>
    </row>
    <row r="67" spans="1:10" x14ac:dyDescent="0.3">
      <c r="A67" s="285" t="s">
        <v>692</v>
      </c>
      <c r="B67" s="285"/>
      <c r="C67" s="285"/>
      <c r="D67" s="170">
        <v>36359470.292067736</v>
      </c>
      <c r="E67" s="170">
        <v>65811126.923758835</v>
      </c>
      <c r="F67" s="2"/>
      <c r="I67" s="142">
        <f>SUM(I60:I66)</f>
        <v>232219213.73711404</v>
      </c>
    </row>
    <row r="68" spans="1:10" x14ac:dyDescent="0.3">
      <c r="A68" s="284" t="s">
        <v>693</v>
      </c>
      <c r="B68" s="284"/>
      <c r="C68" s="284"/>
      <c r="D68" s="177">
        <v>3977798.3487931569</v>
      </c>
      <c r="E68" s="177">
        <v>6878810.6795808561</v>
      </c>
      <c r="G68" s="181">
        <v>0.17499999999999999</v>
      </c>
      <c r="H68" s="4" t="s">
        <v>781</v>
      </c>
      <c r="I68" s="142">
        <f>G68*(SUM(I60:I64))</f>
        <v>18424161.548047349</v>
      </c>
      <c r="J68">
        <f t="shared" si="10"/>
        <v>4.3563262841757405E-2</v>
      </c>
    </row>
    <row r="70" spans="1:10" x14ac:dyDescent="0.3">
      <c r="D70" s="159" t="s">
        <v>773</v>
      </c>
      <c r="E70" s="179">
        <f>I67+I68</f>
        <v>250643375.28516138</v>
      </c>
      <c r="F70" s="15"/>
    </row>
    <row r="72" spans="1:10" x14ac:dyDescent="0.3">
      <c r="D72" s="159" t="s">
        <v>774</v>
      </c>
      <c r="E72" s="142">
        <f>(F72)*E70</f>
        <v>150386025.17109683</v>
      </c>
      <c r="F72" s="108">
        <v>0.6</v>
      </c>
    </row>
    <row r="73" spans="1:10" x14ac:dyDescent="0.3">
      <c r="F73" t="s">
        <v>967</v>
      </c>
    </row>
    <row r="74" spans="1:10" x14ac:dyDescent="0.3">
      <c r="D74" s="4" t="s">
        <v>849</v>
      </c>
      <c r="E74" s="142">
        <f>SUM(I59:I64,I66,I68,E72)</f>
        <v>359373286.27587736</v>
      </c>
    </row>
    <row r="75" spans="1:10" x14ac:dyDescent="0.3">
      <c r="D75" s="4" t="s">
        <v>850</v>
      </c>
      <c r="E75" s="142">
        <f>I65</f>
        <v>65811126.923758835</v>
      </c>
    </row>
    <row r="76" spans="1:10" x14ac:dyDescent="0.3">
      <c r="D76" s="159" t="s">
        <v>780</v>
      </c>
      <c r="E76" s="142">
        <f>E72+E70</f>
        <v>401029400.45625818</v>
      </c>
    </row>
    <row r="78" spans="1:10" x14ac:dyDescent="0.3">
      <c r="D78" t="s">
        <v>775</v>
      </c>
      <c r="E78">
        <v>132</v>
      </c>
      <c r="F78" t="s">
        <v>31</v>
      </c>
    </row>
    <row r="79" spans="1:10" x14ac:dyDescent="0.3">
      <c r="D79" t="s">
        <v>776</v>
      </c>
      <c r="E79" s="180">
        <v>14000</v>
      </c>
      <c r="F79" t="s">
        <v>777</v>
      </c>
    </row>
    <row r="80" spans="1:10" x14ac:dyDescent="0.3">
      <c r="D80" t="s">
        <v>778</v>
      </c>
      <c r="E80" s="180">
        <f>E78*E79</f>
        <v>1848000</v>
      </c>
      <c r="F80" t="s">
        <v>779</v>
      </c>
    </row>
    <row r="81" spans="1:10" x14ac:dyDescent="0.3">
      <c r="D81" t="s">
        <v>782</v>
      </c>
      <c r="E81" s="142">
        <f>E76*F81</f>
        <v>20051470.02281291</v>
      </c>
      <c r="F81" s="182">
        <v>0.05</v>
      </c>
    </row>
    <row r="83" spans="1:10" x14ac:dyDescent="0.3">
      <c r="D83" s="159" t="s">
        <v>783</v>
      </c>
      <c r="E83" s="169">
        <f>E81+E80+E76</f>
        <v>422928870.47907108</v>
      </c>
    </row>
    <row r="86" spans="1:10" x14ac:dyDescent="0.3">
      <c r="E86" s="4" t="s">
        <v>857</v>
      </c>
      <c r="F86" s="255">
        <v>1.5</v>
      </c>
      <c r="G86" t="s">
        <v>858</v>
      </c>
    </row>
    <row r="87" spans="1:10" x14ac:dyDescent="0.3">
      <c r="E87" s="4"/>
    </row>
    <row r="88" spans="1:10" x14ac:dyDescent="0.3">
      <c r="E88" s="4"/>
    </row>
    <row r="89" spans="1:10" x14ac:dyDescent="0.3">
      <c r="C89" s="278" t="s">
        <v>860</v>
      </c>
      <c r="D89" s="278"/>
      <c r="E89" s="159"/>
      <c r="F89" s="216" t="s">
        <v>859</v>
      </c>
      <c r="H89" s="278" t="s">
        <v>861</v>
      </c>
      <c r="I89" s="278"/>
    </row>
    <row r="90" spans="1:10" x14ac:dyDescent="0.3">
      <c r="C90" s="4" t="s">
        <v>787</v>
      </c>
      <c r="D90" s="6">
        <v>61.025930892978643</v>
      </c>
      <c r="E90" s="4"/>
      <c r="F90" s="223">
        <f>F86</f>
        <v>1.5</v>
      </c>
      <c r="H90" s="4" t="s">
        <v>787</v>
      </c>
      <c r="I90">
        <f t="shared" ref="I90:I95" si="11">D90*F90</f>
        <v>91.538896339467968</v>
      </c>
    </row>
    <row r="91" spans="1:10" x14ac:dyDescent="0.3">
      <c r="C91" s="4" t="s">
        <v>789</v>
      </c>
      <c r="D91" s="227">
        <f>E49</f>
        <v>1.2653531945313634</v>
      </c>
      <c r="E91" s="4"/>
      <c r="F91" s="218">
        <v>1</v>
      </c>
      <c r="H91" s="4" t="s">
        <v>789</v>
      </c>
      <c r="I91" s="142">
        <f t="shared" si="11"/>
        <v>1.2653531945313634</v>
      </c>
    </row>
    <row r="92" spans="1:10" x14ac:dyDescent="0.3">
      <c r="A92" s="186"/>
      <c r="C92" s="4" t="s">
        <v>788</v>
      </c>
      <c r="D92" s="141">
        <f>I91*(61025930.89)</f>
        <v>77219356.600911707</v>
      </c>
      <c r="E92" s="4"/>
      <c r="F92" s="223">
        <f>F86</f>
        <v>1.5</v>
      </c>
      <c r="H92" s="4" t="s">
        <v>788</v>
      </c>
      <c r="I92" s="142">
        <f t="shared" si="11"/>
        <v>115829034.90136756</v>
      </c>
    </row>
    <row r="93" spans="1:10" x14ac:dyDescent="0.3">
      <c r="A93" s="232"/>
      <c r="C93" s="4" t="s">
        <v>790</v>
      </c>
      <c r="D93" s="141">
        <f>SUM(C52:C55)</f>
        <v>10671856.802999999</v>
      </c>
      <c r="E93" s="4"/>
      <c r="F93" s="216">
        <v>1</v>
      </c>
      <c r="H93" s="4" t="s">
        <v>790</v>
      </c>
      <c r="I93" s="142">
        <f t="shared" si="11"/>
        <v>10671856.802999999</v>
      </c>
    </row>
    <row r="94" spans="1:10" x14ac:dyDescent="0.3">
      <c r="C94" s="4" t="s">
        <v>785</v>
      </c>
      <c r="D94" s="141">
        <f>E76</f>
        <v>401029400.45625818</v>
      </c>
      <c r="E94" s="4"/>
      <c r="F94" s="131">
        <f>(F86)^0.6</f>
        <v>1.2754245006257907</v>
      </c>
      <c r="H94" s="4" t="s">
        <v>785</v>
      </c>
      <c r="I94" s="142">
        <f t="shared" si="11"/>
        <v>511482722.81318331</v>
      </c>
    </row>
    <row r="95" spans="1:10" x14ac:dyDescent="0.3">
      <c r="C95" s="4" t="s">
        <v>786</v>
      </c>
      <c r="D95" s="141">
        <f>E78*E79</f>
        <v>1848000</v>
      </c>
      <c r="E95" s="4"/>
      <c r="F95" s="218">
        <f>1</f>
        <v>1</v>
      </c>
      <c r="H95" s="4" t="s">
        <v>786</v>
      </c>
      <c r="I95" s="142">
        <f t="shared" si="11"/>
        <v>1848000</v>
      </c>
    </row>
    <row r="96" spans="1:10" x14ac:dyDescent="0.3">
      <c r="C96" s="4" t="s">
        <v>782</v>
      </c>
      <c r="D96" s="141">
        <f>E81</f>
        <v>20051470.02281291</v>
      </c>
      <c r="E96" s="4"/>
      <c r="F96" s="131">
        <f>(F86)^0.6</f>
        <v>1.2754245006257907</v>
      </c>
      <c r="H96" s="4" t="s">
        <v>782</v>
      </c>
      <c r="I96" s="141">
        <f>F96*D96</f>
        <v>25574136.140659168</v>
      </c>
      <c r="J96" s="141"/>
    </row>
    <row r="98" spans="3:246" x14ac:dyDescent="0.3">
      <c r="C98" s="4"/>
      <c r="D98" s="141"/>
      <c r="E98" s="4"/>
      <c r="F98" s="216"/>
      <c r="H98" s="4" t="s">
        <v>784</v>
      </c>
      <c r="I98" s="142">
        <f>I93+I92</f>
        <v>126500891.70436756</v>
      </c>
      <c r="J98">
        <f>OPEX/Full_Prod_Rate</f>
        <v>1.3819359503226318</v>
      </c>
    </row>
    <row r="99" spans="3:246" x14ac:dyDescent="0.3">
      <c r="C99" s="4"/>
      <c r="D99" s="141"/>
      <c r="E99" s="4"/>
      <c r="F99" s="216"/>
      <c r="H99" s="4" t="s">
        <v>791</v>
      </c>
      <c r="I99" s="142">
        <f>I94</f>
        <v>511482722.81318331</v>
      </c>
    </row>
    <row r="100" spans="3:246" x14ac:dyDescent="0.3">
      <c r="C100" s="4"/>
      <c r="D100" s="141"/>
      <c r="E100" s="4"/>
      <c r="F100" s="216"/>
      <c r="H100" s="4" t="s">
        <v>968</v>
      </c>
      <c r="I100" s="141">
        <f>F94*Steam_Plant_Cost</f>
        <v>83937123.692355648</v>
      </c>
    </row>
    <row r="101" spans="3:246" x14ac:dyDescent="0.3">
      <c r="C101" s="4"/>
      <c r="D101" s="141"/>
      <c r="E101" s="4"/>
      <c r="F101" s="216"/>
      <c r="H101" s="4" t="s">
        <v>969</v>
      </c>
      <c r="I101" s="141">
        <f>FCI_Restate-I100</f>
        <v>427545599.12082767</v>
      </c>
    </row>
    <row r="102" spans="3:246" x14ac:dyDescent="0.3">
      <c r="C102" s="4"/>
      <c r="E102" s="4"/>
      <c r="F102" s="216"/>
      <c r="H102" s="4" t="s">
        <v>786</v>
      </c>
      <c r="I102" s="142">
        <f>Land_Cap</f>
        <v>1848000</v>
      </c>
    </row>
    <row r="103" spans="3:246" x14ac:dyDescent="0.3">
      <c r="C103" s="278" t="s">
        <v>792</v>
      </c>
      <c r="D103" s="278"/>
      <c r="F103" s="278" t="s">
        <v>806</v>
      </c>
      <c r="G103" s="278"/>
      <c r="H103" s="4" t="s">
        <v>782</v>
      </c>
      <c r="I103" s="142">
        <f>I96</f>
        <v>25574136.140659168</v>
      </c>
    </row>
    <row r="104" spans="3:246" x14ac:dyDescent="0.3">
      <c r="C104" s="4" t="s">
        <v>795</v>
      </c>
      <c r="D104" s="224">
        <v>0.4</v>
      </c>
      <c r="F104" s="4" t="s">
        <v>807</v>
      </c>
      <c r="G104" s="33">
        <v>0.1</v>
      </c>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c r="HF104" s="3"/>
      <c r="HG104" s="3"/>
      <c r="HH104" s="3"/>
      <c r="HI104" s="3"/>
      <c r="HJ104" s="3"/>
      <c r="HK104" s="3"/>
      <c r="HL104" s="3"/>
      <c r="HM104" s="3"/>
      <c r="HN104" s="3"/>
      <c r="HO104" s="3"/>
      <c r="HP104" s="3"/>
      <c r="HQ104" s="3"/>
      <c r="HR104" s="3"/>
      <c r="HS104" s="3"/>
      <c r="HT104" s="3"/>
      <c r="HU104" s="3"/>
      <c r="HV104" s="3"/>
      <c r="HW104" s="3"/>
      <c r="HX104" s="3"/>
      <c r="HY104" s="3"/>
      <c r="HZ104" s="3"/>
      <c r="IA104" s="3"/>
      <c r="IB104" s="3"/>
      <c r="IC104" s="3"/>
      <c r="ID104" s="3"/>
      <c r="IE104" s="3"/>
      <c r="IF104" s="3"/>
      <c r="IG104" s="3"/>
      <c r="IH104" s="3"/>
      <c r="II104" s="3"/>
      <c r="IJ104" s="3"/>
      <c r="IK104" s="3"/>
      <c r="IL104" s="3"/>
    </row>
    <row r="105" spans="3:246" x14ac:dyDescent="0.3">
      <c r="C105" s="4" t="s">
        <v>794</v>
      </c>
      <c r="D105" s="224">
        <v>0.08</v>
      </c>
      <c r="F105" s="4" t="s">
        <v>808</v>
      </c>
      <c r="G105" s="33">
        <v>0.35</v>
      </c>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c r="HF105" s="3"/>
      <c r="HG105" s="3"/>
      <c r="HH105" s="3"/>
      <c r="HI105" s="3"/>
      <c r="HJ105" s="3"/>
      <c r="HK105" s="3"/>
      <c r="HL105" s="3"/>
      <c r="HM105" s="3"/>
      <c r="HN105" s="3"/>
      <c r="HO105" s="3"/>
      <c r="HP105" s="3"/>
      <c r="HQ105" s="3"/>
      <c r="HR105" s="3"/>
      <c r="HS105" s="3"/>
      <c r="HT105" s="3"/>
      <c r="HU105" s="3"/>
      <c r="HV105" s="3"/>
      <c r="HW105" s="3"/>
      <c r="HX105" s="3"/>
      <c r="HY105" s="3"/>
      <c r="HZ105" s="3"/>
      <c r="IA105" s="3"/>
      <c r="IB105" s="3"/>
      <c r="IC105" s="3"/>
      <c r="ID105" s="3"/>
      <c r="IE105" s="3"/>
      <c r="IF105" s="3"/>
      <c r="IG105" s="3"/>
      <c r="IH105" s="3"/>
      <c r="II105" s="3"/>
      <c r="IJ105" s="3"/>
      <c r="IK105" s="3"/>
      <c r="IL105" s="3"/>
    </row>
    <row r="106" spans="3:246" x14ac:dyDescent="0.3">
      <c r="C106" s="4" t="s">
        <v>796</v>
      </c>
      <c r="D106" s="4">
        <v>10</v>
      </c>
      <c r="E106" t="s">
        <v>797</v>
      </c>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c r="HF106" s="3"/>
      <c r="HG106" s="3"/>
      <c r="HH106" s="3"/>
      <c r="HI106" s="3"/>
      <c r="HJ106" s="3"/>
      <c r="HK106" s="3"/>
      <c r="HL106" s="3"/>
      <c r="HM106" s="3"/>
      <c r="HN106" s="3"/>
      <c r="HO106" s="3"/>
      <c r="HP106" s="3"/>
      <c r="HQ106" s="3"/>
      <c r="HR106" s="3"/>
      <c r="HS106" s="3"/>
      <c r="HT106" s="3"/>
      <c r="HU106" s="3"/>
      <c r="HV106" s="3"/>
      <c r="HW106" s="3"/>
      <c r="HX106" s="3"/>
      <c r="HY106" s="3"/>
      <c r="HZ106" s="3"/>
      <c r="IA106" s="3"/>
      <c r="IB106" s="3"/>
      <c r="IC106" s="3"/>
      <c r="ID106" s="3"/>
      <c r="IE106" s="3"/>
      <c r="IF106" s="3"/>
      <c r="IG106" s="3"/>
      <c r="IH106" s="3"/>
      <c r="II106" s="3"/>
      <c r="IJ106" s="3"/>
      <c r="IK106" s="3"/>
      <c r="IL106" s="3"/>
    </row>
    <row r="107" spans="3:246" x14ac:dyDescent="0.3">
      <c r="C107" s="4" t="s">
        <v>793</v>
      </c>
      <c r="D107" s="186">
        <f>-PMT(D105,D106,(I94)*(1-D104))</f>
        <v>45735605.19494199</v>
      </c>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c r="HF107" s="3"/>
      <c r="HG107" s="3"/>
      <c r="HH107" s="3"/>
      <c r="HI107" s="3"/>
      <c r="HJ107" s="3"/>
      <c r="HK107" s="3"/>
      <c r="HL107" s="3"/>
      <c r="HM107" s="3"/>
      <c r="HN107" s="3"/>
      <c r="HO107" s="3"/>
      <c r="HP107" s="3"/>
      <c r="HQ107" s="3"/>
      <c r="HR107" s="3"/>
      <c r="HS107" s="3"/>
      <c r="HT107" s="3"/>
      <c r="HU107" s="3"/>
      <c r="HV107" s="3"/>
      <c r="HW107" s="3"/>
      <c r="HX107" s="3"/>
      <c r="HY107" s="3"/>
      <c r="HZ107" s="3"/>
      <c r="IA107" s="3"/>
      <c r="IB107" s="3"/>
      <c r="IC107" s="3"/>
      <c r="ID107" s="3"/>
      <c r="IE107" s="3"/>
      <c r="IF107" s="3"/>
      <c r="IG107" s="3"/>
      <c r="IH107" s="3"/>
      <c r="II107" s="3"/>
      <c r="IJ107" s="3"/>
      <c r="IK107" s="3"/>
      <c r="IL107" s="3"/>
    </row>
    <row r="108" spans="3:246" x14ac:dyDescent="0.3">
      <c r="C108" s="4"/>
      <c r="E108" s="4"/>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c r="HF108" s="3"/>
      <c r="HG108" s="3"/>
      <c r="HH108" s="3"/>
      <c r="HI108" s="3"/>
      <c r="HJ108" s="3"/>
      <c r="HK108" s="3"/>
      <c r="HL108" s="3"/>
      <c r="HM108" s="3"/>
      <c r="HN108" s="3"/>
      <c r="HO108" s="3"/>
      <c r="HP108" s="3"/>
      <c r="HQ108" s="3"/>
      <c r="HR108" s="3"/>
      <c r="HS108" s="3"/>
      <c r="HT108" s="3"/>
      <c r="HU108" s="3"/>
      <c r="HV108" s="3"/>
      <c r="HW108" s="3"/>
      <c r="HX108" s="3"/>
      <c r="HY108" s="3"/>
      <c r="HZ108" s="3"/>
      <c r="IA108" s="3"/>
      <c r="IB108" s="3"/>
      <c r="IC108" s="3"/>
      <c r="ID108" s="3"/>
      <c r="IE108" s="3"/>
      <c r="IF108" s="3"/>
      <c r="IG108" s="3"/>
      <c r="IH108" s="3"/>
      <c r="II108" s="3"/>
      <c r="IJ108" s="3"/>
      <c r="IK108" s="3"/>
      <c r="IL108" s="3"/>
    </row>
    <row r="109" spans="3:246" x14ac:dyDescent="0.3">
      <c r="C109" s="278" t="s">
        <v>802</v>
      </c>
      <c r="D109" s="278"/>
      <c r="F109" s="278" t="s">
        <v>798</v>
      </c>
      <c r="G109" s="278"/>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c r="HF109" s="3"/>
      <c r="HG109" s="3"/>
      <c r="HH109" s="3"/>
      <c r="HI109" s="3"/>
      <c r="HJ109" s="3"/>
      <c r="HK109" s="3"/>
      <c r="HL109" s="3"/>
      <c r="HM109" s="3"/>
      <c r="HN109" s="3"/>
      <c r="HO109" s="3"/>
      <c r="HP109" s="3"/>
      <c r="HQ109" s="3"/>
      <c r="HR109" s="3"/>
      <c r="HS109" s="3"/>
      <c r="HT109" s="3"/>
      <c r="HU109" s="3"/>
      <c r="HV109" s="3"/>
      <c r="HW109" s="3"/>
      <c r="HX109" s="3"/>
      <c r="HY109" s="3"/>
      <c r="HZ109" s="3"/>
      <c r="IA109" s="3"/>
      <c r="IB109" s="3"/>
      <c r="IC109" s="3"/>
      <c r="ID109" s="3"/>
      <c r="IE109" s="3"/>
      <c r="IF109" s="3"/>
      <c r="IG109" s="3"/>
      <c r="IH109" s="3"/>
      <c r="II109" s="3"/>
      <c r="IJ109" s="3"/>
      <c r="IK109" s="3"/>
      <c r="IL109" s="3"/>
    </row>
    <row r="110" spans="3:246" x14ac:dyDescent="0.3">
      <c r="C110" s="4" t="s">
        <v>803</v>
      </c>
      <c r="D110" s="184">
        <v>0.25</v>
      </c>
      <c r="F110" s="4" t="s">
        <v>799</v>
      </c>
      <c r="G110" s="108">
        <v>0.08</v>
      </c>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c r="HF110" s="3"/>
      <c r="HG110" s="3"/>
      <c r="HH110" s="3"/>
      <c r="HI110" s="3"/>
      <c r="HJ110" s="3"/>
      <c r="HK110" s="3"/>
      <c r="HL110" s="3"/>
      <c r="HM110" s="3"/>
      <c r="HN110" s="3"/>
      <c r="HO110" s="3"/>
      <c r="HP110" s="3"/>
      <c r="HQ110" s="3"/>
      <c r="HR110" s="3"/>
      <c r="HS110" s="3"/>
      <c r="HT110" s="3"/>
      <c r="HU110" s="3"/>
      <c r="HV110" s="3"/>
      <c r="HW110" s="3"/>
      <c r="HX110" s="3"/>
      <c r="HY110" s="3"/>
      <c r="HZ110" s="3"/>
      <c r="IA110" s="3"/>
      <c r="IB110" s="3"/>
      <c r="IC110" s="3"/>
      <c r="ID110" s="3"/>
      <c r="IE110" s="3"/>
      <c r="IF110" s="3"/>
      <c r="IG110" s="3"/>
      <c r="IH110" s="3"/>
      <c r="II110" s="3"/>
      <c r="IJ110" s="3"/>
      <c r="IK110" s="3"/>
      <c r="IL110" s="3"/>
    </row>
    <row r="111" spans="3:246" x14ac:dyDescent="0.3">
      <c r="C111" s="4" t="s">
        <v>804</v>
      </c>
      <c r="D111" s="108">
        <v>0.5</v>
      </c>
      <c r="F111" s="4" t="s">
        <v>800</v>
      </c>
      <c r="G111" s="108">
        <v>0.6</v>
      </c>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c r="HF111" s="3"/>
      <c r="HG111" s="3"/>
      <c r="HH111" s="3"/>
      <c r="HI111" s="3"/>
      <c r="HJ111" s="3"/>
      <c r="HK111" s="3"/>
      <c r="HL111" s="3"/>
      <c r="HM111" s="3"/>
      <c r="HN111" s="3"/>
      <c r="HO111" s="3"/>
      <c r="HP111" s="3"/>
      <c r="HQ111" s="3"/>
      <c r="HR111" s="3"/>
      <c r="HS111" s="3"/>
      <c r="HT111" s="3"/>
      <c r="HU111" s="3"/>
      <c r="HV111" s="3"/>
      <c r="HW111" s="3"/>
      <c r="HX111" s="3"/>
      <c r="HY111" s="3"/>
      <c r="HZ111" s="3"/>
      <c r="IA111" s="3"/>
      <c r="IB111" s="3"/>
      <c r="IC111" s="3"/>
      <c r="ID111" s="3"/>
      <c r="IE111" s="3"/>
      <c r="IF111" s="3"/>
      <c r="IG111" s="3"/>
      <c r="IH111" s="3"/>
      <c r="II111" s="3"/>
      <c r="IJ111" s="3"/>
      <c r="IK111" s="3"/>
      <c r="IL111" s="3"/>
    </row>
    <row r="112" spans="3:246" x14ac:dyDescent="0.3">
      <c r="C112" s="4" t="s">
        <v>805</v>
      </c>
      <c r="D112">
        <f>I90*1000000</f>
        <v>91538896.339467973</v>
      </c>
      <c r="E112" t="s">
        <v>831</v>
      </c>
      <c r="F112" s="4" t="s">
        <v>801</v>
      </c>
      <c r="G112" s="108">
        <v>0.32</v>
      </c>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c r="HF112" s="3"/>
      <c r="HG112" s="3"/>
      <c r="HH112" s="3"/>
      <c r="HI112" s="3"/>
      <c r="HJ112" s="3"/>
      <c r="HK112" s="3"/>
      <c r="HL112" s="3"/>
      <c r="HM112" s="3"/>
      <c r="HN112" s="3"/>
      <c r="HO112" s="3"/>
      <c r="HP112" s="3"/>
      <c r="HQ112" s="3"/>
      <c r="HR112" s="3"/>
      <c r="HS112" s="3"/>
      <c r="HT112" s="3"/>
      <c r="HU112" s="3"/>
      <c r="HV112" s="3"/>
      <c r="HW112" s="3"/>
      <c r="HX112" s="3"/>
      <c r="HY112" s="3"/>
      <c r="HZ112" s="3"/>
      <c r="IA112" s="3"/>
      <c r="IB112" s="3"/>
      <c r="IC112" s="3"/>
      <c r="ID112" s="3"/>
      <c r="IE112" s="3"/>
      <c r="IF112" s="3"/>
      <c r="IG112" s="3"/>
      <c r="IH112" s="3"/>
      <c r="II112" s="3"/>
      <c r="IJ112" s="3"/>
      <c r="IK112" s="3"/>
      <c r="IL112" s="3"/>
    </row>
    <row r="113" spans="1:246" x14ac:dyDescent="0.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c r="HF113" s="3"/>
      <c r="HG113" s="3"/>
      <c r="HH113" s="3"/>
      <c r="HI113" s="3"/>
      <c r="HJ113" s="3"/>
      <c r="HK113" s="3"/>
      <c r="HL113" s="3"/>
      <c r="HM113" s="3"/>
      <c r="HN113" s="3"/>
      <c r="HO113" s="3"/>
      <c r="HP113" s="3"/>
      <c r="HQ113" s="3"/>
      <c r="HR113" s="3"/>
      <c r="HS113" s="3"/>
      <c r="HT113" s="3"/>
      <c r="HU113" s="3"/>
      <c r="HV113" s="3"/>
      <c r="HW113" s="3"/>
      <c r="HX113" s="3"/>
      <c r="HY113" s="3"/>
      <c r="HZ113" s="3"/>
      <c r="IA113" s="3"/>
      <c r="IB113" s="3"/>
      <c r="IC113" s="3"/>
      <c r="ID113" s="3"/>
      <c r="IE113" s="3"/>
      <c r="IF113" s="3"/>
      <c r="IG113" s="3"/>
      <c r="IH113" s="3"/>
      <c r="II113" s="3"/>
      <c r="IJ113" s="3"/>
      <c r="IK113" s="3"/>
      <c r="IL113" s="3"/>
    </row>
    <row r="114" spans="1:246" x14ac:dyDescent="0.3">
      <c r="H114" s="215" t="s">
        <v>832</v>
      </c>
      <c r="J114" t="s">
        <v>838</v>
      </c>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c r="HF114" s="3"/>
      <c r="HG114" s="3"/>
      <c r="HH114" s="3"/>
      <c r="HI114" s="3"/>
      <c r="HJ114" s="3"/>
      <c r="HK114" s="3"/>
      <c r="HL114" s="3"/>
      <c r="HM114" s="3"/>
      <c r="HN114" s="3"/>
      <c r="HO114" s="3"/>
      <c r="HP114" s="3"/>
      <c r="HQ114" s="3"/>
      <c r="HR114" s="3"/>
      <c r="HS114" s="3"/>
      <c r="HT114" s="3"/>
      <c r="HU114" s="3"/>
      <c r="HV114" s="3"/>
      <c r="HW114" s="3"/>
      <c r="HX114" s="3"/>
      <c r="HY114" s="3"/>
      <c r="HZ114" s="3"/>
      <c r="IA114" s="3"/>
      <c r="IB114" s="3"/>
      <c r="IC114" s="3"/>
      <c r="ID114" s="3"/>
      <c r="IE114" s="3"/>
      <c r="IF114" s="3"/>
      <c r="IG114" s="3"/>
      <c r="IH114" s="3"/>
      <c r="II114" s="3"/>
      <c r="IJ114" s="3"/>
      <c r="IK114" s="3"/>
      <c r="IL114" s="3"/>
    </row>
    <row r="115" spans="1:246" x14ac:dyDescent="0.3">
      <c r="H115" s="256">
        <v>1.975659091885628</v>
      </c>
      <c r="I115" t="s">
        <v>833</v>
      </c>
      <c r="J115">
        <f>[1]DCFROR!$B$35</f>
        <v>2.1546604292977896</v>
      </c>
      <c r="K115" t="s">
        <v>839</v>
      </c>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c r="HF115" s="3"/>
      <c r="HG115" s="3"/>
      <c r="HH115" s="3"/>
      <c r="HI115" s="3"/>
      <c r="HJ115" s="3"/>
      <c r="HK115" s="3"/>
      <c r="HL115" s="3"/>
      <c r="HM115" s="3"/>
      <c r="HN115" s="3"/>
      <c r="HO115" s="3"/>
      <c r="HP115" s="3"/>
      <c r="HQ115" s="3"/>
      <c r="HR115" s="3"/>
      <c r="HS115" s="3"/>
      <c r="HT115" s="3"/>
      <c r="HU115" s="3"/>
      <c r="HV115" s="3"/>
      <c r="HW115" s="3"/>
      <c r="HX115" s="3"/>
      <c r="HY115" s="3"/>
      <c r="HZ115" s="3"/>
      <c r="IA115" s="3"/>
      <c r="IB115" s="3"/>
      <c r="IC115" s="3"/>
      <c r="ID115" s="3"/>
      <c r="IE115" s="3"/>
      <c r="IF115" s="3"/>
      <c r="IG115" s="3"/>
      <c r="IH115" s="3"/>
      <c r="II115" s="3"/>
      <c r="IJ115" s="3"/>
      <c r="IK115" s="3"/>
      <c r="IL115" s="3"/>
    </row>
    <row r="116" spans="1:246" x14ac:dyDescent="0.3">
      <c r="H116" s="142">
        <f>E151-SUM(F152:H152)</f>
        <v>0</v>
      </c>
      <c r="I116" t="s">
        <v>837</v>
      </c>
      <c r="J116" s="226">
        <f>MESP/J115</f>
        <v>0.91692364375462232</v>
      </c>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c r="HF116" s="3"/>
      <c r="HG116" s="3"/>
      <c r="HH116" s="3"/>
      <c r="HI116" s="3"/>
      <c r="HJ116" s="3"/>
      <c r="HK116" s="3"/>
      <c r="HL116" s="3"/>
      <c r="HM116" s="3"/>
      <c r="HN116" s="3"/>
      <c r="HO116" s="3"/>
      <c r="HP116" s="3"/>
      <c r="HQ116" s="3"/>
      <c r="HR116" s="3"/>
      <c r="HS116" s="3"/>
      <c r="HT116" s="3"/>
      <c r="HU116" s="3"/>
      <c r="HV116" s="3"/>
      <c r="HW116" s="3"/>
      <c r="HX116" s="3"/>
      <c r="HY116" s="3"/>
      <c r="HZ116" s="3"/>
      <c r="IA116" s="3"/>
      <c r="IB116" s="3"/>
      <c r="IC116" s="3"/>
      <c r="ID116" s="3"/>
      <c r="IE116" s="3"/>
      <c r="IF116" s="3"/>
      <c r="IG116" s="3"/>
      <c r="IH116" s="3"/>
      <c r="II116" s="3"/>
      <c r="IJ116" s="3"/>
      <c r="IK116" s="3"/>
      <c r="IL116" s="3"/>
    </row>
    <row r="117" spans="1:246" x14ac:dyDescent="0.3">
      <c r="J117" s="158">
        <f>MESP-J115</f>
        <v>-0.17900133741216151</v>
      </c>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c r="HF117" s="3"/>
      <c r="HG117" s="3"/>
      <c r="HH117" s="3"/>
      <c r="HI117" s="3"/>
      <c r="HJ117" s="3"/>
      <c r="HK117" s="3"/>
      <c r="HL117" s="3"/>
      <c r="HM117" s="3"/>
      <c r="HN117" s="3"/>
      <c r="HO117" s="3"/>
      <c r="HP117" s="3"/>
      <c r="HQ117" s="3"/>
      <c r="HR117" s="3"/>
      <c r="HS117" s="3"/>
      <c r="HT117" s="3"/>
      <c r="HU117" s="3"/>
      <c r="HV117" s="3"/>
      <c r="HW117" s="3"/>
      <c r="HX117" s="3"/>
      <c r="HY117" s="3"/>
      <c r="HZ117" s="3"/>
      <c r="IA117" s="3"/>
      <c r="IB117" s="3"/>
      <c r="IC117" s="3"/>
      <c r="ID117" s="3"/>
      <c r="IE117" s="3"/>
      <c r="IF117" s="3"/>
      <c r="IG117" s="3"/>
      <c r="IH117" s="3"/>
      <c r="II117" s="3"/>
      <c r="IJ117" s="3"/>
      <c r="IK117" s="3"/>
      <c r="IL117" s="3"/>
    </row>
    <row r="118" spans="1:246" x14ac:dyDescent="0.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c r="HF118" s="3"/>
      <c r="HG118" s="3"/>
      <c r="HH118" s="3"/>
      <c r="HI118" s="3"/>
      <c r="HJ118" s="3"/>
      <c r="HK118" s="3"/>
      <c r="HL118" s="3"/>
      <c r="HM118" s="3"/>
      <c r="HN118" s="3"/>
      <c r="HO118" s="3"/>
      <c r="HP118" s="3"/>
      <c r="HQ118" s="3"/>
      <c r="HR118" s="3"/>
      <c r="HS118" s="3"/>
      <c r="HT118" s="3"/>
      <c r="HU118" s="3"/>
      <c r="HV118" s="3"/>
      <c r="HW118" s="3"/>
      <c r="HX118" s="3"/>
      <c r="HY118" s="3"/>
      <c r="HZ118" s="3"/>
      <c r="IA118" s="3"/>
      <c r="IB118" s="3"/>
      <c r="IC118" s="3"/>
      <c r="ID118" s="3"/>
      <c r="IE118" s="3"/>
      <c r="IF118" s="3"/>
      <c r="IG118" s="3"/>
      <c r="IH118" s="3"/>
      <c r="II118" s="3"/>
      <c r="IJ118" s="3"/>
      <c r="IK118" s="3"/>
      <c r="IL118" s="3"/>
    </row>
    <row r="119" spans="1:246" x14ac:dyDescent="0.3">
      <c r="A119" s="4" t="s">
        <v>809</v>
      </c>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c r="HF119" s="3"/>
      <c r="HG119" s="3"/>
      <c r="HH119" s="3"/>
      <c r="HI119" s="3"/>
      <c r="HJ119" s="3"/>
      <c r="HK119" s="3"/>
      <c r="HL119" s="3"/>
      <c r="HM119" s="3"/>
      <c r="HN119" s="3"/>
      <c r="HO119" s="3"/>
      <c r="HP119" s="3"/>
      <c r="HQ119" s="3"/>
      <c r="HR119" s="3"/>
      <c r="HS119" s="3"/>
      <c r="HT119" s="3"/>
      <c r="HU119" s="3"/>
      <c r="HV119" s="3"/>
      <c r="HW119" s="3"/>
      <c r="HX119" s="3"/>
      <c r="HY119" s="3"/>
      <c r="HZ119" s="3"/>
      <c r="IA119" s="3"/>
      <c r="IB119" s="3"/>
      <c r="IC119" s="3"/>
      <c r="ID119" s="3"/>
      <c r="IE119" s="3"/>
      <c r="IF119" s="3"/>
      <c r="IG119" s="3"/>
      <c r="IH119" s="3"/>
      <c r="II119" s="3"/>
      <c r="IJ119" s="3"/>
      <c r="IK119" s="3"/>
      <c r="IL119" s="3"/>
    </row>
    <row r="120" spans="1:246" ht="15" thickBot="1" x14ac:dyDescent="0.35">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c r="HF120" s="3"/>
      <c r="HG120" s="3"/>
      <c r="HH120" s="3"/>
      <c r="HI120" s="3"/>
      <c r="HJ120" s="3"/>
      <c r="HK120" s="3"/>
      <c r="HL120" s="3"/>
      <c r="HM120" s="3"/>
      <c r="HN120" s="3"/>
      <c r="HO120" s="3"/>
      <c r="HP120" s="3"/>
      <c r="HQ120" s="3"/>
      <c r="HR120" s="3"/>
      <c r="HS120" s="3"/>
      <c r="HT120" s="3"/>
      <c r="HU120" s="3"/>
      <c r="HV120" s="3"/>
      <c r="HW120" s="3"/>
      <c r="HX120" s="3"/>
      <c r="HY120" s="3"/>
      <c r="HZ120" s="3"/>
      <c r="IA120" s="3"/>
      <c r="IB120" s="3"/>
      <c r="IC120" s="3"/>
      <c r="ID120" s="3"/>
      <c r="IE120" s="3"/>
      <c r="IF120" s="3"/>
      <c r="IG120" s="3"/>
      <c r="IH120" s="3"/>
      <c r="II120" s="3"/>
      <c r="IJ120" s="3"/>
      <c r="IK120" s="3"/>
      <c r="IL120" s="3"/>
    </row>
    <row r="121" spans="1:246" x14ac:dyDescent="0.3">
      <c r="A121" s="187" t="s">
        <v>810</v>
      </c>
      <c r="B121" s="188"/>
      <c r="C121" s="188"/>
      <c r="D121" s="188"/>
      <c r="E121" s="188"/>
      <c r="F121" s="188">
        <v>-2</v>
      </c>
      <c r="G121" s="188">
        <v>-1</v>
      </c>
      <c r="H121" s="188">
        <v>0</v>
      </c>
      <c r="I121" s="188">
        <v>1</v>
      </c>
      <c r="J121" s="188">
        <v>2</v>
      </c>
      <c r="K121" s="188">
        <v>3</v>
      </c>
      <c r="L121" s="188">
        <v>4</v>
      </c>
      <c r="M121" s="188">
        <v>5</v>
      </c>
      <c r="N121" s="188">
        <v>6</v>
      </c>
      <c r="O121" s="188">
        <v>7</v>
      </c>
      <c r="P121" s="188">
        <v>8</v>
      </c>
      <c r="Q121" s="188">
        <v>9</v>
      </c>
      <c r="R121" s="188">
        <v>10</v>
      </c>
      <c r="S121" s="188">
        <v>11</v>
      </c>
      <c r="T121" s="188">
        <v>12</v>
      </c>
      <c r="U121" s="188">
        <v>13</v>
      </c>
      <c r="V121" s="188">
        <v>14</v>
      </c>
      <c r="W121" s="188">
        <v>15</v>
      </c>
      <c r="X121" s="188">
        <v>16</v>
      </c>
      <c r="Y121" s="188">
        <v>17</v>
      </c>
      <c r="Z121" s="188">
        <v>18</v>
      </c>
      <c r="AA121" s="188">
        <v>19</v>
      </c>
      <c r="AB121" s="188">
        <v>20</v>
      </c>
      <c r="AC121" s="188">
        <v>21</v>
      </c>
      <c r="AD121" s="188">
        <v>22</v>
      </c>
      <c r="AE121" s="188">
        <v>23</v>
      </c>
      <c r="AF121" s="188">
        <v>24</v>
      </c>
      <c r="AG121" s="188">
        <v>25</v>
      </c>
      <c r="AH121" s="188">
        <v>26</v>
      </c>
      <c r="AI121" s="188">
        <v>27</v>
      </c>
      <c r="AJ121" s="188">
        <v>28</v>
      </c>
      <c r="AK121" s="188">
        <v>29</v>
      </c>
      <c r="AL121" s="189">
        <v>30</v>
      </c>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c r="HF121" s="3"/>
      <c r="HG121" s="3"/>
      <c r="HH121" s="3"/>
      <c r="HI121" s="3"/>
      <c r="HJ121" s="3"/>
      <c r="HK121" s="3"/>
      <c r="HL121" s="3"/>
      <c r="HM121" s="3"/>
      <c r="HN121" s="3"/>
      <c r="HO121" s="3"/>
      <c r="HP121" s="3"/>
      <c r="HQ121" s="3"/>
      <c r="HR121" s="3"/>
      <c r="HS121" s="3"/>
      <c r="HT121" s="3"/>
      <c r="HU121" s="3"/>
      <c r="HV121" s="3"/>
      <c r="HW121" s="3"/>
      <c r="HX121" s="3"/>
      <c r="HY121" s="3"/>
      <c r="HZ121" s="3"/>
      <c r="IA121" s="3"/>
      <c r="IB121" s="3"/>
      <c r="IC121" s="3"/>
      <c r="ID121" s="3"/>
      <c r="IE121" s="3"/>
      <c r="IF121" s="3"/>
      <c r="IG121" s="3"/>
      <c r="IH121" s="3"/>
      <c r="II121" s="3"/>
      <c r="IJ121" s="3"/>
      <c r="IK121" s="3"/>
      <c r="IL121" s="3"/>
    </row>
    <row r="122" spans="1:246" x14ac:dyDescent="0.3">
      <c r="A122" s="190" t="s">
        <v>811</v>
      </c>
      <c r="B122" s="191"/>
      <c r="C122" s="191"/>
      <c r="D122" s="191"/>
      <c r="E122" s="191"/>
      <c r="F122" s="192">
        <f>FCI*Year_Minus_2_Work*Equity</f>
        <v>16367447.130021868</v>
      </c>
      <c r="G122" s="192">
        <f>FCI*Year_Minus_1_Work*Equity</f>
        <v>122755853.475164</v>
      </c>
      <c r="H122" s="192">
        <f>FCI*Year_0_Work*Equity</f>
        <v>65469788.520087473</v>
      </c>
      <c r="I122" s="192"/>
      <c r="J122" s="192"/>
      <c r="K122" s="192"/>
      <c r="L122" s="192"/>
      <c r="M122" s="192"/>
      <c r="N122" s="192"/>
      <c r="O122" s="192"/>
      <c r="P122" s="192"/>
      <c r="Q122" s="192"/>
      <c r="R122" s="192"/>
      <c r="S122" s="192"/>
      <c r="T122" s="192"/>
      <c r="U122" s="192"/>
      <c r="V122" s="192"/>
      <c r="W122" s="192"/>
      <c r="X122" s="192"/>
      <c r="Y122" s="192"/>
      <c r="Z122" s="192"/>
      <c r="AA122" s="192"/>
      <c r="AB122" s="192"/>
      <c r="AC122" s="192"/>
      <c r="AD122" s="192"/>
      <c r="AE122" s="192"/>
      <c r="AF122" s="192"/>
      <c r="AG122" s="192"/>
      <c r="AH122" s="192"/>
      <c r="AI122" s="192"/>
      <c r="AJ122" s="192"/>
      <c r="AK122" s="192"/>
      <c r="AL122" s="193"/>
      <c r="AM122" s="178"/>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c r="HF122" s="3"/>
      <c r="HG122" s="3"/>
      <c r="HH122" s="3"/>
      <c r="HI122" s="3"/>
      <c r="HJ122" s="3"/>
      <c r="HK122" s="3"/>
      <c r="HL122" s="3"/>
      <c r="HM122" s="3"/>
      <c r="HN122" s="3"/>
      <c r="HO122" s="3"/>
      <c r="HP122" s="3"/>
      <c r="HQ122" s="3"/>
      <c r="HR122" s="3"/>
      <c r="HS122" s="3"/>
      <c r="HT122" s="3"/>
      <c r="HU122" s="3"/>
      <c r="HV122" s="3"/>
      <c r="HW122" s="3"/>
      <c r="HX122" s="3"/>
      <c r="HY122" s="3"/>
      <c r="HZ122" s="3"/>
      <c r="IA122" s="3"/>
      <c r="IB122" s="3"/>
      <c r="IC122" s="3"/>
      <c r="ID122" s="3"/>
      <c r="IE122" s="3"/>
      <c r="IF122" s="3"/>
      <c r="IG122" s="3"/>
      <c r="IH122" s="3"/>
      <c r="II122" s="3"/>
      <c r="IJ122" s="3"/>
      <c r="IK122" s="3"/>
      <c r="IL122" s="3"/>
    </row>
    <row r="123" spans="1:246" x14ac:dyDescent="0.3">
      <c r="A123" s="190" t="s">
        <v>812</v>
      </c>
      <c r="B123" s="191"/>
      <c r="C123" s="191"/>
      <c r="D123" s="191"/>
      <c r="E123" s="191"/>
      <c r="F123" s="192">
        <f>Land_Cap</f>
        <v>1848000</v>
      </c>
      <c r="G123" s="192"/>
      <c r="H123" s="192"/>
      <c r="I123" s="192"/>
      <c r="J123" s="192"/>
      <c r="K123" s="192"/>
      <c r="L123" s="192"/>
      <c r="M123" s="192"/>
      <c r="N123" s="192"/>
      <c r="O123" s="192"/>
      <c r="P123" s="192"/>
      <c r="Q123" s="192"/>
      <c r="R123" s="192"/>
      <c r="S123" s="192"/>
      <c r="T123" s="192"/>
      <c r="U123" s="192"/>
      <c r="V123" s="192"/>
      <c r="W123" s="192"/>
      <c r="X123" s="192"/>
      <c r="Y123" s="192"/>
      <c r="Z123" s="192"/>
      <c r="AA123" s="192"/>
      <c r="AB123" s="192"/>
      <c r="AC123" s="192"/>
      <c r="AD123" s="192"/>
      <c r="AE123" s="192"/>
      <c r="AF123" s="192"/>
      <c r="AG123" s="192"/>
      <c r="AH123" s="192"/>
      <c r="AI123" s="192"/>
      <c r="AJ123" s="192"/>
      <c r="AK123" s="192"/>
      <c r="AL123" s="193"/>
      <c r="AM123" s="178"/>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c r="HF123" s="3"/>
      <c r="HG123" s="3"/>
      <c r="HH123" s="3"/>
      <c r="HI123" s="3"/>
      <c r="HJ123" s="3"/>
      <c r="HK123" s="3"/>
      <c r="HL123" s="3"/>
      <c r="HM123" s="3"/>
      <c r="HN123" s="3"/>
      <c r="HO123" s="3"/>
      <c r="HP123" s="3"/>
      <c r="HQ123" s="3"/>
      <c r="HR123" s="3"/>
      <c r="HS123" s="3"/>
      <c r="HT123" s="3"/>
      <c r="HU123" s="3"/>
      <c r="HV123" s="3"/>
      <c r="HW123" s="3"/>
      <c r="HX123" s="3"/>
      <c r="HY123" s="3"/>
      <c r="HZ123" s="3"/>
      <c r="IA123" s="3"/>
      <c r="IB123" s="3"/>
      <c r="IC123" s="3"/>
      <c r="ID123" s="3"/>
      <c r="IE123" s="3"/>
      <c r="IF123" s="3"/>
      <c r="IG123" s="3"/>
      <c r="IH123" s="3"/>
      <c r="II123" s="3"/>
      <c r="IJ123" s="3"/>
      <c r="IK123" s="3"/>
      <c r="IL123" s="3"/>
    </row>
    <row r="124" spans="1:246" x14ac:dyDescent="0.3">
      <c r="A124" s="190" t="s">
        <v>813</v>
      </c>
      <c r="B124" s="191"/>
      <c r="C124" s="191"/>
      <c r="D124" s="191"/>
      <c r="E124" s="191"/>
      <c r="F124" s="192"/>
      <c r="G124" s="192"/>
      <c r="H124" s="192">
        <f>Working_Cap_Restate</f>
        <v>25574136.140659168</v>
      </c>
      <c r="I124" s="192"/>
      <c r="J124" s="192"/>
      <c r="K124" s="192"/>
      <c r="L124" s="192"/>
      <c r="M124" s="192"/>
      <c r="N124" s="192"/>
      <c r="O124" s="192"/>
      <c r="P124" s="192"/>
      <c r="Q124" s="192"/>
      <c r="R124" s="192"/>
      <c r="S124" s="192"/>
      <c r="T124" s="192"/>
      <c r="U124" s="192"/>
      <c r="V124" s="192"/>
      <c r="W124" s="192"/>
      <c r="X124" s="192"/>
      <c r="Y124" s="192"/>
      <c r="Z124" s="192"/>
      <c r="AA124" s="192"/>
      <c r="AB124" s="192"/>
      <c r="AC124" s="192"/>
      <c r="AD124" s="192"/>
      <c r="AE124" s="192"/>
      <c r="AF124" s="192"/>
      <c r="AG124" s="192"/>
      <c r="AH124" s="192"/>
      <c r="AI124" s="192"/>
      <c r="AJ124" s="192"/>
      <c r="AK124" s="192"/>
      <c r="AL124" s="193"/>
      <c r="AM124" s="178"/>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c r="HF124" s="3"/>
      <c r="HG124" s="3"/>
      <c r="HH124" s="3"/>
      <c r="HI124" s="3"/>
      <c r="HJ124" s="3"/>
      <c r="HK124" s="3"/>
      <c r="HL124" s="3"/>
      <c r="HM124" s="3"/>
      <c r="HN124" s="3"/>
      <c r="HO124" s="3"/>
      <c r="HP124" s="3"/>
      <c r="HQ124" s="3"/>
      <c r="HR124" s="3"/>
      <c r="HS124" s="3"/>
      <c r="HT124" s="3"/>
      <c r="HU124" s="3"/>
      <c r="HV124" s="3"/>
      <c r="HW124" s="3"/>
      <c r="HX124" s="3"/>
      <c r="HY124" s="3"/>
      <c r="HZ124" s="3"/>
      <c r="IA124" s="3"/>
      <c r="IB124" s="3"/>
      <c r="IC124" s="3"/>
      <c r="ID124" s="3"/>
      <c r="IE124" s="3"/>
      <c r="IF124" s="3"/>
      <c r="IG124" s="3"/>
      <c r="IH124" s="3"/>
      <c r="II124" s="3"/>
      <c r="IJ124" s="3"/>
      <c r="IK124" s="3"/>
      <c r="IL124" s="3"/>
    </row>
    <row r="125" spans="1:246" s="150" customFormat="1" ht="4.8" customHeight="1" x14ac:dyDescent="0.3">
      <c r="A125" s="207"/>
      <c r="B125" s="208"/>
      <c r="C125" s="208"/>
      <c r="D125" s="208"/>
      <c r="E125" s="208"/>
      <c r="F125" s="209"/>
      <c r="G125" s="209"/>
      <c r="H125" s="209"/>
      <c r="I125" s="209"/>
      <c r="J125" s="209"/>
      <c r="K125" s="209"/>
      <c r="L125" s="209"/>
      <c r="M125" s="209"/>
      <c r="N125" s="209"/>
      <c r="O125" s="209"/>
      <c r="P125" s="209"/>
      <c r="Q125" s="209"/>
      <c r="R125" s="209"/>
      <c r="S125" s="209"/>
      <c r="T125" s="209"/>
      <c r="U125" s="209"/>
      <c r="V125" s="209"/>
      <c r="W125" s="209"/>
      <c r="X125" s="209"/>
      <c r="Y125" s="209"/>
      <c r="Z125" s="209"/>
      <c r="AA125" s="209"/>
      <c r="AB125" s="209"/>
      <c r="AC125" s="209"/>
      <c r="AD125" s="209"/>
      <c r="AE125" s="209"/>
      <c r="AF125" s="209"/>
      <c r="AG125" s="209"/>
      <c r="AH125" s="209"/>
      <c r="AI125" s="209"/>
      <c r="AJ125" s="209"/>
      <c r="AK125" s="209"/>
      <c r="AL125" s="210"/>
      <c r="AM125" s="178"/>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c r="HF125" s="3"/>
      <c r="HG125" s="3"/>
      <c r="HH125" s="3"/>
      <c r="HI125" s="3"/>
      <c r="HJ125" s="3"/>
      <c r="HK125" s="3"/>
      <c r="HL125" s="3"/>
      <c r="HM125" s="3"/>
      <c r="HN125" s="3"/>
      <c r="HO125" s="3"/>
      <c r="HP125" s="3"/>
      <c r="HQ125" s="3"/>
      <c r="HR125" s="3"/>
      <c r="HS125" s="3"/>
      <c r="HT125" s="3"/>
      <c r="HU125" s="3"/>
      <c r="HV125" s="3"/>
      <c r="HW125" s="3"/>
      <c r="HX125" s="3"/>
      <c r="HY125" s="3"/>
      <c r="HZ125" s="3"/>
      <c r="IA125" s="3"/>
      <c r="IB125" s="3"/>
      <c r="IC125" s="3"/>
      <c r="ID125" s="3"/>
      <c r="IE125" s="3"/>
      <c r="IF125" s="3"/>
      <c r="IG125" s="3"/>
      <c r="IH125" s="3"/>
      <c r="II125" s="3"/>
      <c r="IJ125" s="3"/>
      <c r="IK125" s="3"/>
      <c r="IL125" s="3"/>
    </row>
    <row r="126" spans="1:246" x14ac:dyDescent="0.3">
      <c r="A126" s="190" t="s">
        <v>814</v>
      </c>
      <c r="B126" s="191"/>
      <c r="C126" s="191"/>
      <c r="D126" s="191"/>
      <c r="E126" s="212">
        <f>SUM(F160:S160)</f>
        <v>281025495.24033666</v>
      </c>
      <c r="F126" s="192"/>
      <c r="G126" s="192"/>
      <c r="H126" s="192"/>
      <c r="I126" s="192">
        <f t="shared" ref="I126:R126" si="12">Annual_Loan_Payment</f>
        <v>45735605.19494199</v>
      </c>
      <c r="J126" s="192">
        <f t="shared" si="12"/>
        <v>45735605.19494199</v>
      </c>
      <c r="K126" s="192">
        <f t="shared" si="12"/>
        <v>45735605.19494199</v>
      </c>
      <c r="L126" s="192">
        <f t="shared" si="12"/>
        <v>45735605.19494199</v>
      </c>
      <c r="M126" s="192">
        <f t="shared" si="12"/>
        <v>45735605.19494199</v>
      </c>
      <c r="N126" s="192">
        <f t="shared" si="12"/>
        <v>45735605.19494199</v>
      </c>
      <c r="O126" s="192">
        <f t="shared" si="12"/>
        <v>45735605.19494199</v>
      </c>
      <c r="P126" s="192">
        <f t="shared" si="12"/>
        <v>45735605.19494199</v>
      </c>
      <c r="Q126" s="192">
        <f t="shared" si="12"/>
        <v>45735605.19494199</v>
      </c>
      <c r="R126" s="192">
        <f t="shared" si="12"/>
        <v>45735605.19494199</v>
      </c>
      <c r="S126" s="192"/>
      <c r="T126" s="192"/>
      <c r="U126" s="192"/>
      <c r="V126" s="192"/>
      <c r="W126" s="192"/>
      <c r="X126" s="192"/>
      <c r="Y126" s="192"/>
      <c r="Z126" s="192"/>
      <c r="AA126" s="192"/>
      <c r="AB126" s="192"/>
      <c r="AC126" s="192"/>
      <c r="AD126" s="192"/>
      <c r="AE126" s="192"/>
      <c r="AF126" s="192"/>
      <c r="AG126" s="192"/>
      <c r="AH126" s="192"/>
      <c r="AI126" s="192"/>
      <c r="AJ126" s="192"/>
      <c r="AK126" s="192"/>
      <c r="AL126" s="193"/>
      <c r="AM126" s="178"/>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c r="HF126" s="3"/>
      <c r="HG126" s="3"/>
      <c r="HH126" s="3"/>
      <c r="HI126" s="3"/>
      <c r="HJ126" s="3"/>
      <c r="HK126" s="3"/>
      <c r="HL126" s="3"/>
      <c r="HM126" s="3"/>
      <c r="HN126" s="3"/>
      <c r="HO126" s="3"/>
      <c r="HP126" s="3"/>
      <c r="HQ126" s="3"/>
      <c r="HR126" s="3"/>
      <c r="HS126" s="3"/>
      <c r="HT126" s="3"/>
      <c r="HU126" s="3"/>
      <c r="HV126" s="3"/>
      <c r="HW126" s="3"/>
      <c r="HX126" s="3"/>
      <c r="HY126" s="3"/>
      <c r="HZ126" s="3"/>
      <c r="IA126" s="3"/>
      <c r="IB126" s="3"/>
      <c r="IC126" s="3"/>
      <c r="ID126" s="3"/>
      <c r="IE126" s="3"/>
      <c r="IF126" s="3"/>
      <c r="IG126" s="3"/>
      <c r="IH126" s="3"/>
      <c r="II126" s="3"/>
      <c r="IJ126" s="3"/>
      <c r="IK126" s="3"/>
      <c r="IL126" s="3"/>
    </row>
    <row r="127" spans="1:246" x14ac:dyDescent="0.3">
      <c r="A127" s="190"/>
      <c r="B127" s="191" t="s">
        <v>830</v>
      </c>
      <c r="C127" s="191"/>
      <c r="D127" s="191"/>
      <c r="E127" s="191"/>
      <c r="F127" s="192">
        <f>F128*Loan_Interest</f>
        <v>1964093.6556026239</v>
      </c>
      <c r="G127" s="192">
        <f>G128*Loan_Interest</f>
        <v>16694796.072622301</v>
      </c>
      <c r="H127" s="192">
        <f>H128*Loan_Interest</f>
        <v>24551170.695032798</v>
      </c>
      <c r="I127" s="192">
        <f t="shared" ref="I127:AL127" si="13">H128*Loan_Interest</f>
        <v>24551170.695032798</v>
      </c>
      <c r="J127" s="192">
        <f t="shared" si="13"/>
        <v>22856415.93504006</v>
      </c>
      <c r="K127" s="192">
        <f t="shared" si="13"/>
        <v>21026080.794247903</v>
      </c>
      <c r="L127" s="192">
        <f t="shared" si="13"/>
        <v>19049318.842192378</v>
      </c>
      <c r="M127" s="192">
        <f t="shared" si="13"/>
        <v>16914415.933972411</v>
      </c>
      <c r="N127" s="192">
        <f t="shared" si="13"/>
        <v>14608720.793094844</v>
      </c>
      <c r="O127" s="192">
        <f t="shared" si="13"/>
        <v>12118570.04094707</v>
      </c>
      <c r="P127" s="192">
        <f t="shared" si="13"/>
        <v>9429207.2286274768</v>
      </c>
      <c r="Q127" s="192">
        <f t="shared" si="13"/>
        <v>6524695.3913223147</v>
      </c>
      <c r="R127" s="192">
        <f t="shared" si="13"/>
        <v>3387822.607032741</v>
      </c>
      <c r="S127" s="192">
        <f t="shared" si="13"/>
        <v>0</v>
      </c>
      <c r="T127" s="192">
        <f t="shared" si="13"/>
        <v>0</v>
      </c>
      <c r="U127" s="192">
        <f t="shared" si="13"/>
        <v>0</v>
      </c>
      <c r="V127" s="192">
        <f t="shared" si="13"/>
        <v>0</v>
      </c>
      <c r="W127" s="192">
        <f t="shared" si="13"/>
        <v>0</v>
      </c>
      <c r="X127" s="192">
        <f t="shared" si="13"/>
        <v>0</v>
      </c>
      <c r="Y127" s="192">
        <f t="shared" si="13"/>
        <v>0</v>
      </c>
      <c r="Z127" s="192">
        <f t="shared" si="13"/>
        <v>0</v>
      </c>
      <c r="AA127" s="192">
        <f t="shared" si="13"/>
        <v>0</v>
      </c>
      <c r="AB127" s="192">
        <f t="shared" si="13"/>
        <v>0</v>
      </c>
      <c r="AC127" s="192">
        <f t="shared" si="13"/>
        <v>0</v>
      </c>
      <c r="AD127" s="192">
        <f t="shared" si="13"/>
        <v>0</v>
      </c>
      <c r="AE127" s="192">
        <f t="shared" si="13"/>
        <v>0</v>
      </c>
      <c r="AF127" s="192">
        <f t="shared" si="13"/>
        <v>0</v>
      </c>
      <c r="AG127" s="192">
        <f t="shared" si="13"/>
        <v>0</v>
      </c>
      <c r="AH127" s="192">
        <f t="shared" si="13"/>
        <v>0</v>
      </c>
      <c r="AI127" s="192">
        <f t="shared" si="13"/>
        <v>0</v>
      </c>
      <c r="AJ127" s="192">
        <f t="shared" si="13"/>
        <v>0</v>
      </c>
      <c r="AK127" s="192">
        <f t="shared" si="13"/>
        <v>0</v>
      </c>
      <c r="AL127" s="193">
        <f t="shared" si="13"/>
        <v>0</v>
      </c>
      <c r="AM127" s="178"/>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c r="HF127" s="3"/>
      <c r="HG127" s="3"/>
      <c r="HH127" s="3"/>
      <c r="HI127" s="3"/>
      <c r="HJ127" s="3"/>
      <c r="HK127" s="3"/>
      <c r="HL127" s="3"/>
      <c r="HM127" s="3"/>
      <c r="HN127" s="3"/>
      <c r="HO127" s="3"/>
      <c r="HP127" s="3"/>
      <c r="HQ127" s="3"/>
      <c r="HR127" s="3"/>
      <c r="HS127" s="3"/>
      <c r="HT127" s="3"/>
      <c r="HU127" s="3"/>
      <c r="HV127" s="3"/>
      <c r="HW127" s="3"/>
      <c r="HX127" s="3"/>
      <c r="HY127" s="3"/>
      <c r="HZ127" s="3"/>
      <c r="IA127" s="3"/>
      <c r="IB127" s="3"/>
      <c r="IC127" s="3"/>
      <c r="ID127" s="3"/>
      <c r="IE127" s="3"/>
      <c r="IF127" s="3"/>
      <c r="IG127" s="3"/>
      <c r="IH127" s="3"/>
      <c r="II127" s="3"/>
      <c r="IJ127" s="3"/>
      <c r="IK127" s="3"/>
      <c r="IL127" s="3"/>
    </row>
    <row r="128" spans="1:246" x14ac:dyDescent="0.3">
      <c r="A128" s="190"/>
      <c r="B128" s="191" t="s">
        <v>815</v>
      </c>
      <c r="C128" s="191"/>
      <c r="D128" s="191"/>
      <c r="E128" s="191"/>
      <c r="F128" s="192">
        <f>FCI*(1-Equity)*Year_Minus_2_Work</f>
        <v>24551170.695032798</v>
      </c>
      <c r="G128" s="192">
        <f>FCI*(1-Equity)*Year_Minus_1_Work+F128</f>
        <v>208684950.90777877</v>
      </c>
      <c r="H128" s="192">
        <f>FCI*(1-Equity)*Year_0_Work+G128</f>
        <v>306889633.68790996</v>
      </c>
      <c r="I128" s="192">
        <f>H128+I127-I126</f>
        <v>285705199.18800074</v>
      </c>
      <c r="J128" s="192">
        <f>I128+J127-J126</f>
        <v>262826009.9280988</v>
      </c>
      <c r="K128" s="192">
        <f t="shared" ref="K128:AL128" si="14">J128+K127-K126</f>
        <v>238116485.52740473</v>
      </c>
      <c r="L128" s="192">
        <f t="shared" si="14"/>
        <v>211430199.17465511</v>
      </c>
      <c r="M128" s="192">
        <f t="shared" si="14"/>
        <v>182609009.91368553</v>
      </c>
      <c r="N128" s="192">
        <f t="shared" si="14"/>
        <v>151482125.51183838</v>
      </c>
      <c r="O128" s="192">
        <f t="shared" si="14"/>
        <v>117865090.35784346</v>
      </c>
      <c r="P128" s="192">
        <f t="shared" si="14"/>
        <v>81558692.391528934</v>
      </c>
      <c r="Q128" s="192">
        <f t="shared" si="14"/>
        <v>42347782.587909259</v>
      </c>
      <c r="R128" s="192">
        <f t="shared" si="14"/>
        <v>0</v>
      </c>
      <c r="S128" s="192">
        <f t="shared" si="14"/>
        <v>0</v>
      </c>
      <c r="T128" s="192">
        <f t="shared" si="14"/>
        <v>0</v>
      </c>
      <c r="U128" s="192">
        <f t="shared" si="14"/>
        <v>0</v>
      </c>
      <c r="V128" s="192">
        <f t="shared" si="14"/>
        <v>0</v>
      </c>
      <c r="W128" s="192">
        <f t="shared" si="14"/>
        <v>0</v>
      </c>
      <c r="X128" s="192">
        <f t="shared" si="14"/>
        <v>0</v>
      </c>
      <c r="Y128" s="192">
        <f t="shared" si="14"/>
        <v>0</v>
      </c>
      <c r="Z128" s="192">
        <f t="shared" si="14"/>
        <v>0</v>
      </c>
      <c r="AA128" s="192">
        <f t="shared" si="14"/>
        <v>0</v>
      </c>
      <c r="AB128" s="192">
        <f t="shared" si="14"/>
        <v>0</v>
      </c>
      <c r="AC128" s="192">
        <f t="shared" si="14"/>
        <v>0</v>
      </c>
      <c r="AD128" s="192">
        <f t="shared" si="14"/>
        <v>0</v>
      </c>
      <c r="AE128" s="192">
        <f t="shared" si="14"/>
        <v>0</v>
      </c>
      <c r="AF128" s="192">
        <f t="shared" si="14"/>
        <v>0</v>
      </c>
      <c r="AG128" s="192">
        <f t="shared" si="14"/>
        <v>0</v>
      </c>
      <c r="AH128" s="192">
        <f t="shared" si="14"/>
        <v>0</v>
      </c>
      <c r="AI128" s="192">
        <f t="shared" si="14"/>
        <v>0</v>
      </c>
      <c r="AJ128" s="192">
        <f t="shared" si="14"/>
        <v>0</v>
      </c>
      <c r="AK128" s="192">
        <f t="shared" si="14"/>
        <v>0</v>
      </c>
      <c r="AL128" s="193">
        <f t="shared" si="14"/>
        <v>0</v>
      </c>
      <c r="AM128" s="178"/>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c r="HF128" s="3"/>
      <c r="HG128" s="3"/>
      <c r="HH128" s="3"/>
      <c r="HI128" s="3"/>
      <c r="HJ128" s="3"/>
      <c r="HK128" s="3"/>
      <c r="HL128" s="3"/>
      <c r="HM128" s="3"/>
      <c r="HN128" s="3"/>
      <c r="HO128" s="3"/>
      <c r="HP128" s="3"/>
      <c r="HQ128" s="3"/>
      <c r="HR128" s="3"/>
      <c r="HS128" s="3"/>
      <c r="HT128" s="3"/>
      <c r="HU128" s="3"/>
      <c r="HV128" s="3"/>
      <c r="HW128" s="3"/>
      <c r="HX128" s="3"/>
      <c r="HY128" s="3"/>
      <c r="HZ128" s="3"/>
      <c r="IA128" s="3"/>
      <c r="IB128" s="3"/>
      <c r="IC128" s="3"/>
      <c r="ID128" s="3"/>
      <c r="IE128" s="3"/>
      <c r="IF128" s="3"/>
      <c r="IG128" s="3"/>
      <c r="IH128" s="3"/>
      <c r="II128" s="3"/>
      <c r="IJ128" s="3"/>
      <c r="IK128" s="3"/>
      <c r="IL128" s="3"/>
    </row>
    <row r="129" spans="1:246" s="150" customFormat="1" ht="4.8" customHeight="1" x14ac:dyDescent="0.3">
      <c r="A129" s="207"/>
      <c r="B129" s="208"/>
      <c r="C129" s="208"/>
      <c r="D129" s="208"/>
      <c r="E129" s="208"/>
      <c r="F129" s="209"/>
      <c r="G129" s="209"/>
      <c r="H129" s="209"/>
      <c r="I129" s="209"/>
      <c r="J129" s="209"/>
      <c r="K129" s="209"/>
      <c r="L129" s="209"/>
      <c r="M129" s="209"/>
      <c r="N129" s="209"/>
      <c r="O129" s="209"/>
      <c r="P129" s="209"/>
      <c r="Q129" s="209"/>
      <c r="R129" s="209"/>
      <c r="S129" s="209"/>
      <c r="T129" s="209"/>
      <c r="U129" s="209"/>
      <c r="V129" s="209"/>
      <c r="W129" s="209"/>
      <c r="X129" s="209"/>
      <c r="Y129" s="209"/>
      <c r="Z129" s="209"/>
      <c r="AA129" s="209"/>
      <c r="AB129" s="209"/>
      <c r="AC129" s="209"/>
      <c r="AD129" s="209"/>
      <c r="AE129" s="209"/>
      <c r="AF129" s="209"/>
      <c r="AG129" s="209"/>
      <c r="AH129" s="209"/>
      <c r="AI129" s="209"/>
      <c r="AJ129" s="209"/>
      <c r="AK129" s="209"/>
      <c r="AL129" s="210"/>
      <c r="AM129" s="178"/>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c r="HF129" s="3"/>
      <c r="HG129" s="3"/>
      <c r="HH129" s="3"/>
      <c r="HI129" s="3"/>
      <c r="HJ129" s="3"/>
      <c r="HK129" s="3"/>
      <c r="HL129" s="3"/>
      <c r="HM129" s="3"/>
      <c r="HN129" s="3"/>
      <c r="HO129" s="3"/>
      <c r="HP129" s="3"/>
      <c r="HQ129" s="3"/>
      <c r="HR129" s="3"/>
      <c r="HS129" s="3"/>
      <c r="HT129" s="3"/>
      <c r="HU129" s="3"/>
      <c r="HV129" s="3"/>
      <c r="HW129" s="3"/>
      <c r="HX129" s="3"/>
      <c r="HY129" s="3"/>
      <c r="HZ129" s="3"/>
      <c r="IA129" s="3"/>
      <c r="IB129" s="3"/>
      <c r="IC129" s="3"/>
      <c r="ID129" s="3"/>
      <c r="IE129" s="3"/>
      <c r="IF129" s="3"/>
      <c r="IG129" s="3"/>
      <c r="IH129" s="3"/>
      <c r="II129" s="3"/>
      <c r="IJ129" s="3"/>
      <c r="IK129" s="3"/>
      <c r="IL129" s="3"/>
    </row>
    <row r="130" spans="1:246" ht="13.8" customHeight="1" x14ac:dyDescent="0.3">
      <c r="A130" s="190" t="s">
        <v>816</v>
      </c>
      <c r="B130" s="191" t="s">
        <v>817</v>
      </c>
      <c r="C130" s="191"/>
      <c r="D130" s="191"/>
      <c r="E130" s="191"/>
      <c r="F130" s="192">
        <v>0</v>
      </c>
      <c r="G130" s="192">
        <v>0</v>
      </c>
      <c r="H130" s="192">
        <v>0</v>
      </c>
      <c r="I130" s="192">
        <f>((Full_Prod_Rate*H115)*(1-Start_Up_Time))+(Full_Prod_Rate*StartUp_Percentage*Start_Up_Time*H115)</f>
        <v>158243446.2124652</v>
      </c>
      <c r="J130" s="192">
        <f t="shared" ref="J130:AL130" si="15">+Full_Prod_Rate*MESP</f>
        <v>180849652.81424594</v>
      </c>
      <c r="K130" s="192">
        <f t="shared" si="15"/>
        <v>180849652.81424594</v>
      </c>
      <c r="L130" s="192">
        <f t="shared" si="15"/>
        <v>180849652.81424594</v>
      </c>
      <c r="M130" s="192">
        <f t="shared" si="15"/>
        <v>180849652.81424594</v>
      </c>
      <c r="N130" s="192">
        <f t="shared" si="15"/>
        <v>180849652.81424594</v>
      </c>
      <c r="O130" s="192">
        <f t="shared" si="15"/>
        <v>180849652.81424594</v>
      </c>
      <c r="P130" s="192">
        <f t="shared" si="15"/>
        <v>180849652.81424594</v>
      </c>
      <c r="Q130" s="192">
        <f t="shared" si="15"/>
        <v>180849652.81424594</v>
      </c>
      <c r="R130" s="192">
        <f t="shared" si="15"/>
        <v>180849652.81424594</v>
      </c>
      <c r="S130" s="192">
        <f t="shared" si="15"/>
        <v>180849652.81424594</v>
      </c>
      <c r="T130" s="192">
        <f t="shared" si="15"/>
        <v>180849652.81424594</v>
      </c>
      <c r="U130" s="192">
        <f t="shared" si="15"/>
        <v>180849652.81424594</v>
      </c>
      <c r="V130" s="192">
        <f t="shared" si="15"/>
        <v>180849652.81424594</v>
      </c>
      <c r="W130" s="192">
        <f t="shared" si="15"/>
        <v>180849652.81424594</v>
      </c>
      <c r="X130" s="192">
        <f t="shared" si="15"/>
        <v>180849652.81424594</v>
      </c>
      <c r="Y130" s="192">
        <f t="shared" si="15"/>
        <v>180849652.81424594</v>
      </c>
      <c r="Z130" s="192">
        <f t="shared" si="15"/>
        <v>180849652.81424594</v>
      </c>
      <c r="AA130" s="192">
        <f t="shared" si="15"/>
        <v>180849652.81424594</v>
      </c>
      <c r="AB130" s="192">
        <f t="shared" si="15"/>
        <v>180849652.81424594</v>
      </c>
      <c r="AC130" s="192">
        <f t="shared" si="15"/>
        <v>180849652.81424594</v>
      </c>
      <c r="AD130" s="192">
        <f t="shared" si="15"/>
        <v>180849652.81424594</v>
      </c>
      <c r="AE130" s="192">
        <f t="shared" si="15"/>
        <v>180849652.81424594</v>
      </c>
      <c r="AF130" s="192">
        <f t="shared" si="15"/>
        <v>180849652.81424594</v>
      </c>
      <c r="AG130" s="192">
        <f t="shared" si="15"/>
        <v>180849652.81424594</v>
      </c>
      <c r="AH130" s="192">
        <f t="shared" si="15"/>
        <v>180849652.81424594</v>
      </c>
      <c r="AI130" s="192">
        <f t="shared" si="15"/>
        <v>180849652.81424594</v>
      </c>
      <c r="AJ130" s="192">
        <f t="shared" si="15"/>
        <v>180849652.81424594</v>
      </c>
      <c r="AK130" s="192">
        <f t="shared" si="15"/>
        <v>180849652.81424594</v>
      </c>
      <c r="AL130" s="193">
        <f t="shared" si="15"/>
        <v>180849652.81424594</v>
      </c>
      <c r="AM130" s="178"/>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c r="HF130" s="3"/>
      <c r="HG130" s="3"/>
      <c r="HH130" s="3"/>
      <c r="HI130" s="3"/>
      <c r="HJ130" s="3"/>
      <c r="HK130" s="3"/>
      <c r="HL130" s="3"/>
      <c r="HM130" s="3"/>
      <c r="HN130" s="3"/>
      <c r="HO130" s="3"/>
      <c r="HP130" s="3"/>
      <c r="HQ130" s="3"/>
      <c r="HR130" s="3"/>
      <c r="HS130" s="3"/>
      <c r="HT130" s="3"/>
      <c r="HU130" s="3"/>
      <c r="HV130" s="3"/>
      <c r="HW130" s="3"/>
      <c r="HX130" s="3"/>
      <c r="HY130" s="3"/>
      <c r="HZ130" s="3"/>
      <c r="IA130" s="3"/>
      <c r="IB130" s="3"/>
      <c r="IC130" s="3"/>
      <c r="ID130" s="3"/>
      <c r="IE130" s="3"/>
      <c r="IF130" s="3"/>
      <c r="IG130" s="3"/>
      <c r="IH130" s="3"/>
      <c r="II130" s="3"/>
      <c r="IJ130" s="3"/>
      <c r="IK130" s="3"/>
      <c r="IL130" s="3"/>
    </row>
    <row r="131" spans="1:246" ht="13.8" customHeight="1" x14ac:dyDescent="0.3">
      <c r="A131" s="190"/>
      <c r="B131" s="21" t="s">
        <v>475</v>
      </c>
      <c r="C131" s="191"/>
      <c r="D131" s="191"/>
      <c r="E131" s="191"/>
      <c r="F131" s="192"/>
      <c r="G131" s="192"/>
      <c r="H131" s="192"/>
      <c r="I131" s="192">
        <f>(((1000000*$H$47)*(1-Start_Up_Time))+(StartUp_Percentage*Start_Up_Time*1000000*H47))*F86</f>
        <v>8628371.0625</v>
      </c>
      <c r="J131" s="192">
        <f>1000000*$H$47*$F$86</f>
        <v>9860995.5</v>
      </c>
      <c r="K131" s="192">
        <f t="shared" ref="K131:AL131" si="16">1000000*$H$47*$F$86</f>
        <v>9860995.5</v>
      </c>
      <c r="L131" s="192">
        <f t="shared" si="16"/>
        <v>9860995.5</v>
      </c>
      <c r="M131" s="192">
        <f t="shared" si="16"/>
        <v>9860995.5</v>
      </c>
      <c r="N131" s="192">
        <f t="shared" si="16"/>
        <v>9860995.5</v>
      </c>
      <c r="O131" s="192">
        <f t="shared" si="16"/>
        <v>9860995.5</v>
      </c>
      <c r="P131" s="192">
        <f t="shared" si="16"/>
        <v>9860995.5</v>
      </c>
      <c r="Q131" s="192">
        <f t="shared" si="16"/>
        <v>9860995.5</v>
      </c>
      <c r="R131" s="192">
        <f t="shared" si="16"/>
        <v>9860995.5</v>
      </c>
      <c r="S131" s="192">
        <f t="shared" si="16"/>
        <v>9860995.5</v>
      </c>
      <c r="T131" s="192">
        <f t="shared" si="16"/>
        <v>9860995.5</v>
      </c>
      <c r="U131" s="192">
        <f t="shared" si="16"/>
        <v>9860995.5</v>
      </c>
      <c r="V131" s="192">
        <f t="shared" si="16"/>
        <v>9860995.5</v>
      </c>
      <c r="W131" s="192">
        <f t="shared" si="16"/>
        <v>9860995.5</v>
      </c>
      <c r="X131" s="192">
        <f t="shared" si="16"/>
        <v>9860995.5</v>
      </c>
      <c r="Y131" s="192">
        <f t="shared" si="16"/>
        <v>9860995.5</v>
      </c>
      <c r="Z131" s="192">
        <f t="shared" si="16"/>
        <v>9860995.5</v>
      </c>
      <c r="AA131" s="192">
        <f t="shared" si="16"/>
        <v>9860995.5</v>
      </c>
      <c r="AB131" s="192">
        <f t="shared" si="16"/>
        <v>9860995.5</v>
      </c>
      <c r="AC131" s="192">
        <f t="shared" si="16"/>
        <v>9860995.5</v>
      </c>
      <c r="AD131" s="192">
        <f t="shared" si="16"/>
        <v>9860995.5</v>
      </c>
      <c r="AE131" s="192">
        <f t="shared" si="16"/>
        <v>9860995.5</v>
      </c>
      <c r="AF131" s="192">
        <f t="shared" si="16"/>
        <v>9860995.5</v>
      </c>
      <c r="AG131" s="192">
        <f t="shared" si="16"/>
        <v>9860995.5</v>
      </c>
      <c r="AH131" s="192">
        <f t="shared" si="16"/>
        <v>9860995.5</v>
      </c>
      <c r="AI131" s="192">
        <f t="shared" si="16"/>
        <v>9860995.5</v>
      </c>
      <c r="AJ131" s="192">
        <f t="shared" si="16"/>
        <v>9860995.5</v>
      </c>
      <c r="AK131" s="192">
        <f t="shared" si="16"/>
        <v>9860995.5</v>
      </c>
      <c r="AL131" s="192">
        <f t="shared" si="16"/>
        <v>9860995.5</v>
      </c>
      <c r="AM131" s="178"/>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c r="HF131" s="3"/>
      <c r="HG131" s="3"/>
      <c r="HH131" s="3"/>
      <c r="HI131" s="3"/>
      <c r="HJ131" s="3"/>
      <c r="HK131" s="3"/>
      <c r="HL131" s="3"/>
      <c r="HM131" s="3"/>
      <c r="HN131" s="3"/>
      <c r="HO131" s="3"/>
      <c r="HP131" s="3"/>
      <c r="HQ131" s="3"/>
      <c r="HR131" s="3"/>
      <c r="HS131" s="3"/>
      <c r="HT131" s="3"/>
      <c r="HU131" s="3"/>
      <c r="HV131" s="3"/>
      <c r="HW131" s="3"/>
      <c r="HX131" s="3"/>
      <c r="HY131" s="3"/>
      <c r="HZ131" s="3"/>
      <c r="IA131" s="3"/>
      <c r="IB131" s="3"/>
      <c r="IC131" s="3"/>
      <c r="ID131" s="3"/>
      <c r="IE131" s="3"/>
      <c r="IF131" s="3"/>
      <c r="IG131" s="3"/>
      <c r="IH131" s="3"/>
      <c r="II131" s="3"/>
      <c r="IJ131" s="3"/>
      <c r="IK131" s="3"/>
      <c r="IL131" s="3"/>
    </row>
    <row r="132" spans="1:246" ht="13.8" customHeight="1" x14ac:dyDescent="0.3">
      <c r="A132" s="190"/>
      <c r="B132" s="21" t="s">
        <v>853</v>
      </c>
      <c r="C132" s="191"/>
      <c r="D132" s="191"/>
      <c r="E132" s="191"/>
      <c r="F132" s="192">
        <f>F130+F131</f>
        <v>0</v>
      </c>
      <c r="G132" s="192">
        <f t="shared" ref="G132:AL132" si="17">G130+G131</f>
        <v>0</v>
      </c>
      <c r="H132" s="192">
        <f t="shared" si="17"/>
        <v>0</v>
      </c>
      <c r="I132" s="192">
        <f t="shared" si="17"/>
        <v>166871817.2749652</v>
      </c>
      <c r="J132" s="192">
        <f t="shared" si="17"/>
        <v>190710648.31424594</v>
      </c>
      <c r="K132" s="192">
        <f t="shared" si="17"/>
        <v>190710648.31424594</v>
      </c>
      <c r="L132" s="192">
        <f t="shared" si="17"/>
        <v>190710648.31424594</v>
      </c>
      <c r="M132" s="192">
        <f t="shared" si="17"/>
        <v>190710648.31424594</v>
      </c>
      <c r="N132" s="192">
        <f t="shared" si="17"/>
        <v>190710648.31424594</v>
      </c>
      <c r="O132" s="192">
        <f t="shared" si="17"/>
        <v>190710648.31424594</v>
      </c>
      <c r="P132" s="192">
        <f t="shared" si="17"/>
        <v>190710648.31424594</v>
      </c>
      <c r="Q132" s="192">
        <f t="shared" si="17"/>
        <v>190710648.31424594</v>
      </c>
      <c r="R132" s="192">
        <f t="shared" si="17"/>
        <v>190710648.31424594</v>
      </c>
      <c r="S132" s="192">
        <f t="shared" si="17"/>
        <v>190710648.31424594</v>
      </c>
      <c r="T132" s="192">
        <f t="shared" si="17"/>
        <v>190710648.31424594</v>
      </c>
      <c r="U132" s="192">
        <f t="shared" si="17"/>
        <v>190710648.31424594</v>
      </c>
      <c r="V132" s="192">
        <f t="shared" si="17"/>
        <v>190710648.31424594</v>
      </c>
      <c r="W132" s="192">
        <f t="shared" si="17"/>
        <v>190710648.31424594</v>
      </c>
      <c r="X132" s="192">
        <f t="shared" si="17"/>
        <v>190710648.31424594</v>
      </c>
      <c r="Y132" s="192">
        <f t="shared" si="17"/>
        <v>190710648.31424594</v>
      </c>
      <c r="Z132" s="192">
        <f t="shared" si="17"/>
        <v>190710648.31424594</v>
      </c>
      <c r="AA132" s="192">
        <f t="shared" si="17"/>
        <v>190710648.31424594</v>
      </c>
      <c r="AB132" s="192">
        <f t="shared" si="17"/>
        <v>190710648.31424594</v>
      </c>
      <c r="AC132" s="192">
        <f t="shared" si="17"/>
        <v>190710648.31424594</v>
      </c>
      <c r="AD132" s="192">
        <f t="shared" si="17"/>
        <v>190710648.31424594</v>
      </c>
      <c r="AE132" s="192">
        <f t="shared" si="17"/>
        <v>190710648.31424594</v>
      </c>
      <c r="AF132" s="192">
        <f t="shared" si="17"/>
        <v>190710648.31424594</v>
      </c>
      <c r="AG132" s="192">
        <f t="shared" si="17"/>
        <v>190710648.31424594</v>
      </c>
      <c r="AH132" s="192">
        <f t="shared" si="17"/>
        <v>190710648.31424594</v>
      </c>
      <c r="AI132" s="192">
        <f t="shared" si="17"/>
        <v>190710648.31424594</v>
      </c>
      <c r="AJ132" s="192">
        <f t="shared" si="17"/>
        <v>190710648.31424594</v>
      </c>
      <c r="AK132" s="192">
        <f t="shared" si="17"/>
        <v>190710648.31424594</v>
      </c>
      <c r="AL132" s="192">
        <f t="shared" si="17"/>
        <v>190710648.31424594</v>
      </c>
      <c r="AM132" s="178"/>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c r="HF132" s="3"/>
      <c r="HG132" s="3"/>
      <c r="HH132" s="3"/>
      <c r="HI132" s="3"/>
      <c r="HJ132" s="3"/>
      <c r="HK132" s="3"/>
      <c r="HL132" s="3"/>
      <c r="HM132" s="3"/>
      <c r="HN132" s="3"/>
      <c r="HO132" s="3"/>
      <c r="HP132" s="3"/>
      <c r="HQ132" s="3"/>
      <c r="HR132" s="3"/>
      <c r="HS132" s="3"/>
      <c r="HT132" s="3"/>
      <c r="HU132" s="3"/>
      <c r="HV132" s="3"/>
      <c r="HW132" s="3"/>
      <c r="HX132" s="3"/>
      <c r="HY132" s="3"/>
      <c r="HZ132" s="3"/>
      <c r="IA132" s="3"/>
      <c r="IB132" s="3"/>
      <c r="IC132" s="3"/>
      <c r="ID132" s="3"/>
      <c r="IE132" s="3"/>
      <c r="IF132" s="3"/>
      <c r="IG132" s="3"/>
      <c r="IH132" s="3"/>
      <c r="II132" s="3"/>
      <c r="IJ132" s="3"/>
      <c r="IK132" s="3"/>
      <c r="IL132" s="3"/>
    </row>
    <row r="133" spans="1:246" s="150" customFormat="1" ht="4.8" customHeight="1" x14ac:dyDescent="0.3">
      <c r="A133" s="207"/>
      <c r="B133" s="208"/>
      <c r="C133" s="208"/>
      <c r="D133" s="208"/>
      <c r="E133" s="208"/>
      <c r="F133" s="209"/>
      <c r="G133" s="209"/>
      <c r="H133" s="209"/>
      <c r="I133" s="209"/>
      <c r="J133" s="209"/>
      <c r="K133" s="209"/>
      <c r="L133" s="209"/>
      <c r="M133" s="209"/>
      <c r="N133" s="209"/>
      <c r="O133" s="209"/>
      <c r="P133" s="209"/>
      <c r="Q133" s="209"/>
      <c r="R133" s="209"/>
      <c r="S133" s="209"/>
      <c r="T133" s="209"/>
      <c r="U133" s="209"/>
      <c r="V133" s="209"/>
      <c r="W133" s="209"/>
      <c r="X133" s="209"/>
      <c r="Y133" s="209"/>
      <c r="Z133" s="209"/>
      <c r="AA133" s="209"/>
      <c r="AB133" s="209"/>
      <c r="AC133" s="209"/>
      <c r="AD133" s="209"/>
      <c r="AE133" s="209"/>
      <c r="AF133" s="209"/>
      <c r="AG133" s="209"/>
      <c r="AH133" s="209"/>
      <c r="AI133" s="209"/>
      <c r="AJ133" s="209"/>
      <c r="AK133" s="209"/>
      <c r="AL133" s="210"/>
      <c r="AM133" s="211"/>
    </row>
    <row r="134" spans="1:246" x14ac:dyDescent="0.3">
      <c r="A134" s="190" t="s">
        <v>818</v>
      </c>
      <c r="B134" s="191"/>
      <c r="C134" s="191"/>
      <c r="D134" s="191"/>
      <c r="E134" s="191"/>
      <c r="F134" s="192"/>
      <c r="G134" s="192"/>
      <c r="H134" s="192"/>
      <c r="I134" s="192">
        <f>(OPEX*(1-Start_Up_Time))+(OPEX*Start_Up_Time*StartUp_Percentage)</f>
        <v>110688280.24132161</v>
      </c>
      <c r="J134" s="192">
        <f t="shared" ref="J134:AL134" si="18">OPEX</f>
        <v>126500891.70436756</v>
      </c>
      <c r="K134" s="192">
        <f t="shared" si="18"/>
        <v>126500891.70436756</v>
      </c>
      <c r="L134" s="192">
        <f t="shared" si="18"/>
        <v>126500891.70436756</v>
      </c>
      <c r="M134" s="192">
        <f t="shared" si="18"/>
        <v>126500891.70436756</v>
      </c>
      <c r="N134" s="192">
        <f t="shared" si="18"/>
        <v>126500891.70436756</v>
      </c>
      <c r="O134" s="192">
        <f t="shared" si="18"/>
        <v>126500891.70436756</v>
      </c>
      <c r="P134" s="192">
        <f t="shared" si="18"/>
        <v>126500891.70436756</v>
      </c>
      <c r="Q134" s="192">
        <f t="shared" si="18"/>
        <v>126500891.70436756</v>
      </c>
      <c r="R134" s="192">
        <f t="shared" si="18"/>
        <v>126500891.70436756</v>
      </c>
      <c r="S134" s="192">
        <f t="shared" si="18"/>
        <v>126500891.70436756</v>
      </c>
      <c r="T134" s="192">
        <f t="shared" si="18"/>
        <v>126500891.70436756</v>
      </c>
      <c r="U134" s="192">
        <f t="shared" si="18"/>
        <v>126500891.70436756</v>
      </c>
      <c r="V134" s="192">
        <f t="shared" si="18"/>
        <v>126500891.70436756</v>
      </c>
      <c r="W134" s="192">
        <f t="shared" si="18"/>
        <v>126500891.70436756</v>
      </c>
      <c r="X134" s="192">
        <f t="shared" si="18"/>
        <v>126500891.70436756</v>
      </c>
      <c r="Y134" s="192">
        <f t="shared" si="18"/>
        <v>126500891.70436756</v>
      </c>
      <c r="Z134" s="192">
        <f t="shared" si="18"/>
        <v>126500891.70436756</v>
      </c>
      <c r="AA134" s="192">
        <f t="shared" si="18"/>
        <v>126500891.70436756</v>
      </c>
      <c r="AB134" s="192">
        <f t="shared" si="18"/>
        <v>126500891.70436756</v>
      </c>
      <c r="AC134" s="192">
        <f t="shared" si="18"/>
        <v>126500891.70436756</v>
      </c>
      <c r="AD134" s="192">
        <f t="shared" si="18"/>
        <v>126500891.70436756</v>
      </c>
      <c r="AE134" s="192">
        <f t="shared" si="18"/>
        <v>126500891.70436756</v>
      </c>
      <c r="AF134" s="192">
        <f t="shared" si="18"/>
        <v>126500891.70436756</v>
      </c>
      <c r="AG134" s="192">
        <f t="shared" si="18"/>
        <v>126500891.70436756</v>
      </c>
      <c r="AH134" s="192">
        <f t="shared" si="18"/>
        <v>126500891.70436756</v>
      </c>
      <c r="AI134" s="192">
        <f t="shared" si="18"/>
        <v>126500891.70436756</v>
      </c>
      <c r="AJ134" s="192">
        <f t="shared" si="18"/>
        <v>126500891.70436756</v>
      </c>
      <c r="AK134" s="192">
        <f t="shared" si="18"/>
        <v>126500891.70436756</v>
      </c>
      <c r="AL134" s="193">
        <f t="shared" si="18"/>
        <v>126500891.70436756</v>
      </c>
      <c r="AM134" s="178"/>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c r="HF134" s="3"/>
      <c r="HG134" s="3"/>
      <c r="HH134" s="3"/>
      <c r="HI134" s="3"/>
      <c r="HJ134" s="3"/>
      <c r="HK134" s="3"/>
      <c r="HL134" s="3"/>
      <c r="HM134" s="3"/>
      <c r="HN134" s="3"/>
      <c r="HO134" s="3"/>
      <c r="HP134" s="3"/>
      <c r="HQ134" s="3"/>
      <c r="HR134" s="3"/>
      <c r="HS134" s="3"/>
      <c r="HT134" s="3"/>
      <c r="HU134" s="3"/>
      <c r="HV134" s="3"/>
      <c r="HW134" s="3"/>
      <c r="HX134" s="3"/>
      <c r="HY134" s="3"/>
      <c r="HZ134" s="3"/>
      <c r="IA134" s="3"/>
      <c r="IB134" s="3"/>
      <c r="IC134" s="3"/>
      <c r="ID134" s="3"/>
      <c r="IE134" s="3"/>
      <c r="IF134" s="3"/>
      <c r="IG134" s="3"/>
      <c r="IH134" s="3"/>
      <c r="II134" s="3"/>
      <c r="IJ134" s="3"/>
      <c r="IK134" s="3"/>
      <c r="IL134" s="3"/>
    </row>
    <row r="135" spans="1:246" s="150" customFormat="1" ht="4.8" customHeight="1" x14ac:dyDescent="0.3">
      <c r="A135" s="207"/>
      <c r="B135" s="208"/>
      <c r="C135" s="208"/>
      <c r="D135" s="208"/>
      <c r="E135" s="208"/>
      <c r="F135" s="209"/>
      <c r="G135" s="209"/>
      <c r="H135" s="209"/>
      <c r="I135" s="209"/>
      <c r="J135" s="209"/>
      <c r="K135" s="209"/>
      <c r="L135" s="209"/>
      <c r="M135" s="209"/>
      <c r="N135" s="209"/>
      <c r="O135" s="209"/>
      <c r="P135" s="209"/>
      <c r="Q135" s="209"/>
      <c r="R135" s="209"/>
      <c r="S135" s="209"/>
      <c r="T135" s="209"/>
      <c r="U135" s="209"/>
      <c r="V135" s="209"/>
      <c r="W135" s="209"/>
      <c r="X135" s="209"/>
      <c r="Y135" s="209"/>
      <c r="Z135" s="209"/>
      <c r="AA135" s="209"/>
      <c r="AB135" s="209"/>
      <c r="AC135" s="209"/>
      <c r="AD135" s="209"/>
      <c r="AE135" s="209"/>
      <c r="AF135" s="209"/>
      <c r="AG135" s="209"/>
      <c r="AH135" s="209"/>
      <c r="AI135" s="209"/>
      <c r="AJ135" s="209"/>
      <c r="AK135" s="209"/>
      <c r="AL135" s="210"/>
      <c r="AM135" s="178"/>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c r="HF135" s="3"/>
      <c r="HG135" s="3"/>
      <c r="HH135" s="3"/>
      <c r="HI135" s="3"/>
      <c r="HJ135" s="3"/>
      <c r="HK135" s="3"/>
      <c r="HL135" s="3"/>
      <c r="HM135" s="3"/>
      <c r="HN135" s="3"/>
      <c r="HO135" s="3"/>
      <c r="HP135" s="3"/>
      <c r="HQ135" s="3"/>
      <c r="HR135" s="3"/>
      <c r="HS135" s="3"/>
      <c r="HT135" s="3"/>
      <c r="HU135" s="3"/>
      <c r="HV135" s="3"/>
      <c r="HW135" s="3"/>
      <c r="HX135" s="3"/>
      <c r="HY135" s="3"/>
      <c r="HZ135" s="3"/>
      <c r="IA135" s="3"/>
      <c r="IB135" s="3"/>
      <c r="IC135" s="3"/>
      <c r="ID135" s="3"/>
      <c r="IE135" s="3"/>
      <c r="IF135" s="3"/>
      <c r="IG135" s="3"/>
      <c r="IH135" s="3"/>
      <c r="II135" s="3"/>
      <c r="IJ135" s="3"/>
      <c r="IK135" s="3"/>
      <c r="IL135" s="3"/>
    </row>
    <row r="136" spans="1:246" x14ac:dyDescent="0.3">
      <c r="A136" s="190" t="s">
        <v>819</v>
      </c>
      <c r="B136" s="191"/>
      <c r="C136" s="191"/>
      <c r="D136" s="191"/>
      <c r="E136" s="191"/>
      <c r="F136" s="192"/>
      <c r="G136" s="192"/>
      <c r="H136" s="192"/>
      <c r="I136" s="192"/>
      <c r="J136" s="192"/>
      <c r="K136" s="192"/>
      <c r="L136" s="192"/>
      <c r="M136" s="192"/>
      <c r="N136" s="192"/>
      <c r="O136" s="192"/>
      <c r="P136" s="192"/>
      <c r="Q136" s="192"/>
      <c r="R136" s="192"/>
      <c r="S136" s="192"/>
      <c r="T136" s="192"/>
      <c r="U136" s="192"/>
      <c r="V136" s="192"/>
      <c r="W136" s="192"/>
      <c r="X136" s="192"/>
      <c r="Y136" s="192"/>
      <c r="Z136" s="192"/>
      <c r="AA136" s="192"/>
      <c r="AB136" s="192"/>
      <c r="AC136" s="192"/>
      <c r="AD136" s="192"/>
      <c r="AE136" s="192"/>
      <c r="AF136" s="192"/>
      <c r="AG136" s="192"/>
      <c r="AH136" s="192"/>
      <c r="AI136" s="192"/>
      <c r="AJ136" s="192"/>
      <c r="AK136" s="192"/>
      <c r="AL136" s="193"/>
      <c r="AM136" s="178"/>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c r="HF136" s="3"/>
      <c r="HG136" s="3"/>
      <c r="HH136" s="3"/>
      <c r="HI136" s="3"/>
      <c r="HJ136" s="3"/>
      <c r="HK136" s="3"/>
      <c r="HL136" s="3"/>
      <c r="HM136" s="3"/>
      <c r="HN136" s="3"/>
      <c r="HO136" s="3"/>
      <c r="HP136" s="3"/>
      <c r="HQ136" s="3"/>
      <c r="HR136" s="3"/>
      <c r="HS136" s="3"/>
      <c r="HT136" s="3"/>
      <c r="HU136" s="3"/>
      <c r="HV136" s="3"/>
      <c r="HW136" s="3"/>
      <c r="HX136" s="3"/>
      <c r="HY136" s="3"/>
      <c r="HZ136" s="3"/>
      <c r="IA136" s="3"/>
      <c r="IB136" s="3"/>
      <c r="IC136" s="3"/>
      <c r="ID136" s="3"/>
      <c r="IE136" s="3"/>
      <c r="IF136" s="3"/>
      <c r="IG136" s="3"/>
      <c r="IH136" s="3"/>
      <c r="II136" s="3"/>
      <c r="IJ136" s="3"/>
      <c r="IK136" s="3"/>
      <c r="IL136" s="3"/>
    </row>
    <row r="137" spans="1:246" x14ac:dyDescent="0.3">
      <c r="A137" s="190" t="s">
        <v>845</v>
      </c>
      <c r="B137" s="191"/>
      <c r="C137" s="191"/>
      <c r="D137" s="191"/>
      <c r="E137" s="191"/>
      <c r="F137" s="192"/>
      <c r="G137" s="194" t="s">
        <v>834</v>
      </c>
      <c r="H137" s="192"/>
      <c r="I137" s="195">
        <v>0.1429</v>
      </c>
      <c r="J137" s="195">
        <v>0.24490000000000001</v>
      </c>
      <c r="K137" s="195">
        <v>0.1749</v>
      </c>
      <c r="L137" s="195">
        <v>0.1249</v>
      </c>
      <c r="M137" s="195">
        <v>8.9300000000000004E-2</v>
      </c>
      <c r="N137" s="195">
        <v>8.9200000000000002E-2</v>
      </c>
      <c r="O137" s="195">
        <v>8.9300000000000004E-2</v>
      </c>
      <c r="P137" s="195">
        <v>4.4600000000000001E-2</v>
      </c>
      <c r="Q137" s="195">
        <v>0</v>
      </c>
      <c r="R137" s="195">
        <v>0</v>
      </c>
      <c r="S137" s="195">
        <v>0</v>
      </c>
      <c r="T137" s="195">
        <v>0</v>
      </c>
      <c r="U137" s="195">
        <v>0</v>
      </c>
      <c r="V137" s="195">
        <v>0</v>
      </c>
      <c r="W137" s="195">
        <v>0</v>
      </c>
      <c r="X137" s="195">
        <v>0</v>
      </c>
      <c r="Y137" s="195">
        <v>0</v>
      </c>
      <c r="Z137" s="195">
        <v>0</v>
      </c>
      <c r="AA137" s="195">
        <v>0</v>
      </c>
      <c r="AB137" s="195">
        <v>0</v>
      </c>
      <c r="AC137" s="195">
        <v>0</v>
      </c>
      <c r="AD137" s="195">
        <v>0</v>
      </c>
      <c r="AE137" s="195">
        <v>0</v>
      </c>
      <c r="AF137" s="195">
        <v>0</v>
      </c>
      <c r="AG137" s="195">
        <v>0</v>
      </c>
      <c r="AH137" s="195">
        <v>0</v>
      </c>
      <c r="AI137" s="195">
        <v>0</v>
      </c>
      <c r="AJ137" s="195">
        <v>0</v>
      </c>
      <c r="AK137" s="195">
        <v>0</v>
      </c>
      <c r="AL137" s="196">
        <v>0</v>
      </c>
      <c r="AM137" s="178"/>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c r="HF137" s="3"/>
      <c r="HG137" s="3"/>
      <c r="HH137" s="3"/>
      <c r="HI137" s="3"/>
      <c r="HJ137" s="3"/>
      <c r="HK137" s="3"/>
      <c r="HL137" s="3"/>
      <c r="HM137" s="3"/>
      <c r="HN137" s="3"/>
      <c r="HO137" s="3"/>
      <c r="HP137" s="3"/>
      <c r="HQ137" s="3"/>
      <c r="HR137" s="3"/>
      <c r="HS137" s="3"/>
      <c r="HT137" s="3"/>
      <c r="HU137" s="3"/>
      <c r="HV137" s="3"/>
      <c r="HW137" s="3"/>
      <c r="HX137" s="3"/>
      <c r="HY137" s="3"/>
      <c r="HZ137" s="3"/>
      <c r="IA137" s="3"/>
      <c r="IB137" s="3"/>
      <c r="IC137" s="3"/>
      <c r="ID137" s="3"/>
      <c r="IE137" s="3"/>
      <c r="IF137" s="3"/>
      <c r="IG137" s="3"/>
      <c r="IH137" s="3"/>
      <c r="II137" s="3"/>
      <c r="IJ137" s="3"/>
      <c r="IK137" s="3"/>
      <c r="IL137" s="3"/>
    </row>
    <row r="138" spans="1:246" x14ac:dyDescent="0.3">
      <c r="A138" s="190" t="s">
        <v>846</v>
      </c>
      <c r="B138" s="191"/>
      <c r="C138" s="191"/>
      <c r="D138" s="191"/>
      <c r="E138" s="191"/>
      <c r="F138" s="192"/>
      <c r="G138" s="194"/>
      <c r="H138" s="192"/>
      <c r="I138" s="192">
        <f t="shared" ref="I138:P138" si="19">I137*(Scaled_General_Plant)</f>
        <v>61096266.114366278</v>
      </c>
      <c r="J138" s="192">
        <f t="shared" si="19"/>
        <v>104705917.22469071</v>
      </c>
      <c r="K138" s="192">
        <f t="shared" si="19"/>
        <v>74777725.286232755</v>
      </c>
      <c r="L138" s="192">
        <f t="shared" si="19"/>
        <v>53400445.330191374</v>
      </c>
      <c r="M138" s="192">
        <f t="shared" si="19"/>
        <v>38179822.001489915</v>
      </c>
      <c r="N138" s="192">
        <f t="shared" si="19"/>
        <v>38137067.441577829</v>
      </c>
      <c r="O138" s="192">
        <f t="shared" si="19"/>
        <v>38179822.001489915</v>
      </c>
      <c r="P138" s="192">
        <f t="shared" si="19"/>
        <v>19068533.720788915</v>
      </c>
      <c r="Q138" s="192">
        <f t="shared" ref="Q138:AL138" si="20">Q137*General_Plant_Cost</f>
        <v>0</v>
      </c>
      <c r="R138" s="192">
        <f t="shared" si="20"/>
        <v>0</v>
      </c>
      <c r="S138" s="192">
        <f t="shared" si="20"/>
        <v>0</v>
      </c>
      <c r="T138" s="192">
        <f t="shared" si="20"/>
        <v>0</v>
      </c>
      <c r="U138" s="192">
        <f t="shared" si="20"/>
        <v>0</v>
      </c>
      <c r="V138" s="192">
        <f t="shared" si="20"/>
        <v>0</v>
      </c>
      <c r="W138" s="192">
        <f t="shared" si="20"/>
        <v>0</v>
      </c>
      <c r="X138" s="192">
        <f t="shared" si="20"/>
        <v>0</v>
      </c>
      <c r="Y138" s="192">
        <f t="shared" si="20"/>
        <v>0</v>
      </c>
      <c r="Z138" s="192">
        <f t="shared" si="20"/>
        <v>0</v>
      </c>
      <c r="AA138" s="192">
        <f t="shared" si="20"/>
        <v>0</v>
      </c>
      <c r="AB138" s="192">
        <f t="shared" si="20"/>
        <v>0</v>
      </c>
      <c r="AC138" s="192">
        <f t="shared" si="20"/>
        <v>0</v>
      </c>
      <c r="AD138" s="192">
        <f t="shared" si="20"/>
        <v>0</v>
      </c>
      <c r="AE138" s="192">
        <f t="shared" si="20"/>
        <v>0</v>
      </c>
      <c r="AF138" s="192">
        <f t="shared" si="20"/>
        <v>0</v>
      </c>
      <c r="AG138" s="192">
        <f t="shared" si="20"/>
        <v>0</v>
      </c>
      <c r="AH138" s="192">
        <f t="shared" si="20"/>
        <v>0</v>
      </c>
      <c r="AI138" s="192">
        <f t="shared" si="20"/>
        <v>0</v>
      </c>
      <c r="AJ138" s="192">
        <f t="shared" si="20"/>
        <v>0</v>
      </c>
      <c r="AK138" s="192">
        <f t="shared" si="20"/>
        <v>0</v>
      </c>
      <c r="AL138" s="192">
        <f t="shared" si="20"/>
        <v>0</v>
      </c>
      <c r="AM138" s="178"/>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c r="HF138" s="3"/>
      <c r="HG138" s="3"/>
      <c r="HH138" s="3"/>
      <c r="HI138" s="3"/>
      <c r="HJ138" s="3"/>
      <c r="HK138" s="3"/>
      <c r="HL138" s="3"/>
      <c r="HM138" s="3"/>
      <c r="HN138" s="3"/>
      <c r="HO138" s="3"/>
      <c r="HP138" s="3"/>
      <c r="HQ138" s="3"/>
      <c r="HR138" s="3"/>
      <c r="HS138" s="3"/>
      <c r="HT138" s="3"/>
      <c r="HU138" s="3"/>
      <c r="HV138" s="3"/>
      <c r="HW138" s="3"/>
      <c r="HX138" s="3"/>
      <c r="HY138" s="3"/>
      <c r="HZ138" s="3"/>
      <c r="IA138" s="3"/>
      <c r="IB138" s="3"/>
      <c r="IC138" s="3"/>
      <c r="ID138" s="3"/>
      <c r="IE138" s="3"/>
      <c r="IF138" s="3"/>
      <c r="IG138" s="3"/>
      <c r="IH138" s="3"/>
      <c r="II138" s="3"/>
      <c r="IJ138" s="3"/>
      <c r="IK138" s="3"/>
      <c r="IL138" s="3"/>
    </row>
    <row r="139" spans="1:246" x14ac:dyDescent="0.3">
      <c r="A139" s="190" t="s">
        <v>847</v>
      </c>
      <c r="B139" s="191"/>
      <c r="C139" s="191"/>
      <c r="D139" s="191"/>
      <c r="E139" s="191"/>
      <c r="F139" s="192"/>
      <c r="G139" s="194"/>
      <c r="H139" s="192"/>
      <c r="I139" s="214">
        <f>General_Plant_Cost-I138</f>
        <v>298277020.16151106</v>
      </c>
      <c r="J139" s="214">
        <f>I139-J138</f>
        <v>193571102.93682036</v>
      </c>
      <c r="K139" s="214">
        <f t="shared" ref="K139:AL139" si="21">J139-K138</f>
        <v>118793377.6505876</v>
      </c>
      <c r="L139" s="214">
        <f t="shared" si="21"/>
        <v>65392932.32039623</v>
      </c>
      <c r="M139" s="214">
        <f t="shared" si="21"/>
        <v>27213110.318906315</v>
      </c>
      <c r="N139" s="214">
        <f t="shared" si="21"/>
        <v>-10923957.122671515</v>
      </c>
      <c r="O139" s="214">
        <f t="shared" si="21"/>
        <v>-49103779.12416143</v>
      </c>
      <c r="P139" s="214">
        <f t="shared" si="21"/>
        <v>-68172312.844950348</v>
      </c>
      <c r="Q139" s="214">
        <f t="shared" si="21"/>
        <v>-68172312.844950348</v>
      </c>
      <c r="R139" s="214">
        <f t="shared" si="21"/>
        <v>-68172312.844950348</v>
      </c>
      <c r="S139" s="214">
        <f t="shared" si="21"/>
        <v>-68172312.844950348</v>
      </c>
      <c r="T139" s="214">
        <f t="shared" si="21"/>
        <v>-68172312.844950348</v>
      </c>
      <c r="U139" s="214">
        <f t="shared" si="21"/>
        <v>-68172312.844950348</v>
      </c>
      <c r="V139" s="214">
        <f t="shared" si="21"/>
        <v>-68172312.844950348</v>
      </c>
      <c r="W139" s="214">
        <f t="shared" si="21"/>
        <v>-68172312.844950348</v>
      </c>
      <c r="X139" s="214">
        <f t="shared" si="21"/>
        <v>-68172312.844950348</v>
      </c>
      <c r="Y139" s="214">
        <f t="shared" si="21"/>
        <v>-68172312.844950348</v>
      </c>
      <c r="Z139" s="214">
        <f t="shared" si="21"/>
        <v>-68172312.844950348</v>
      </c>
      <c r="AA139" s="214">
        <f t="shared" si="21"/>
        <v>-68172312.844950348</v>
      </c>
      <c r="AB139" s="214">
        <f t="shared" si="21"/>
        <v>-68172312.844950348</v>
      </c>
      <c r="AC139" s="214">
        <f t="shared" si="21"/>
        <v>-68172312.844950348</v>
      </c>
      <c r="AD139" s="214">
        <f t="shared" si="21"/>
        <v>-68172312.844950348</v>
      </c>
      <c r="AE139" s="214">
        <f t="shared" si="21"/>
        <v>-68172312.844950348</v>
      </c>
      <c r="AF139" s="214">
        <f t="shared" si="21"/>
        <v>-68172312.844950348</v>
      </c>
      <c r="AG139" s="214">
        <f t="shared" si="21"/>
        <v>-68172312.844950348</v>
      </c>
      <c r="AH139" s="214">
        <f t="shared" si="21"/>
        <v>-68172312.844950348</v>
      </c>
      <c r="AI139" s="214">
        <f t="shared" si="21"/>
        <v>-68172312.844950348</v>
      </c>
      <c r="AJ139" s="214">
        <f t="shared" si="21"/>
        <v>-68172312.844950348</v>
      </c>
      <c r="AK139" s="214">
        <f t="shared" si="21"/>
        <v>-68172312.844950348</v>
      </c>
      <c r="AL139" s="214">
        <f t="shared" si="21"/>
        <v>-68172312.844950348</v>
      </c>
      <c r="AM139" s="178"/>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c r="HF139" s="3"/>
      <c r="HG139" s="3"/>
      <c r="HH139" s="3"/>
      <c r="HI139" s="3"/>
      <c r="HJ139" s="3"/>
      <c r="HK139" s="3"/>
      <c r="HL139" s="3"/>
      <c r="HM139" s="3"/>
      <c r="HN139" s="3"/>
      <c r="HO139" s="3"/>
      <c r="HP139" s="3"/>
      <c r="HQ139" s="3"/>
      <c r="HR139" s="3"/>
      <c r="HS139" s="3"/>
      <c r="HT139" s="3"/>
      <c r="HU139" s="3"/>
      <c r="HV139" s="3"/>
      <c r="HW139" s="3"/>
      <c r="HX139" s="3"/>
      <c r="HY139" s="3"/>
      <c r="HZ139" s="3"/>
      <c r="IA139" s="3"/>
      <c r="IB139" s="3"/>
      <c r="IC139" s="3"/>
      <c r="ID139" s="3"/>
      <c r="IE139" s="3"/>
      <c r="IF139" s="3"/>
      <c r="IG139" s="3"/>
      <c r="IH139" s="3"/>
      <c r="II139" s="3"/>
      <c r="IJ139" s="3"/>
      <c r="IK139" s="3"/>
      <c r="IL139" s="3"/>
    </row>
    <row r="140" spans="1:246" x14ac:dyDescent="0.3">
      <c r="A140" s="190" t="s">
        <v>848</v>
      </c>
      <c r="B140" s="191"/>
      <c r="C140" s="191"/>
      <c r="D140" s="191"/>
      <c r="E140" s="191"/>
      <c r="F140" s="192"/>
      <c r="G140" s="194"/>
      <c r="H140" s="192"/>
      <c r="I140" s="112">
        <v>3.7499999999999999E-2</v>
      </c>
      <c r="J140" s="112">
        <v>7.2190000000000004E-2</v>
      </c>
      <c r="K140" s="112">
        <v>6.6769999999999996E-2</v>
      </c>
      <c r="L140" s="112">
        <v>6.1769999999999999E-2</v>
      </c>
      <c r="M140" s="112">
        <v>5.713E-2</v>
      </c>
      <c r="N140" s="112">
        <v>5.2850000000000001E-2</v>
      </c>
      <c r="O140" s="112">
        <v>4.888E-2</v>
      </c>
      <c r="P140" s="112">
        <v>4.5220000000000003E-2</v>
      </c>
      <c r="Q140" s="112">
        <v>4.462E-2</v>
      </c>
      <c r="R140" s="112">
        <v>4.4609999999999997E-2</v>
      </c>
      <c r="S140" s="112">
        <v>4.462E-2</v>
      </c>
      <c r="T140" s="112">
        <v>4.4609999999999997E-2</v>
      </c>
      <c r="U140" s="112">
        <v>4.462E-2</v>
      </c>
      <c r="V140" s="112">
        <v>4.4609999999999997E-2</v>
      </c>
      <c r="W140" s="112">
        <v>4.462E-2</v>
      </c>
      <c r="X140" s="112">
        <v>4.4609999999999997E-2</v>
      </c>
      <c r="Y140" s="112">
        <v>4.462E-2</v>
      </c>
      <c r="Z140" s="112">
        <v>4.4609999999999997E-2</v>
      </c>
      <c r="AA140" s="112">
        <v>4.462E-2</v>
      </c>
      <c r="AB140" s="112">
        <v>4.4609999999999997E-2</v>
      </c>
      <c r="AC140" s="112">
        <v>2.231E-2</v>
      </c>
      <c r="AM140" s="178"/>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c r="HF140" s="3"/>
      <c r="HG140" s="3"/>
      <c r="HH140" s="3"/>
      <c r="HI140" s="3"/>
      <c r="HJ140" s="3"/>
      <c r="HK140" s="3"/>
      <c r="HL140" s="3"/>
      <c r="HM140" s="3"/>
      <c r="HN140" s="3"/>
      <c r="HO140" s="3"/>
      <c r="HP140" s="3"/>
      <c r="HQ140" s="3"/>
      <c r="HR140" s="3"/>
      <c r="HS140" s="3"/>
      <c r="HT140" s="3"/>
      <c r="HU140" s="3"/>
      <c r="HV140" s="3"/>
      <c r="HW140" s="3"/>
      <c r="HX140" s="3"/>
      <c r="HY140" s="3"/>
      <c r="HZ140" s="3"/>
      <c r="IA140" s="3"/>
      <c r="IB140" s="3"/>
      <c r="IC140" s="3"/>
      <c r="ID140" s="3"/>
      <c r="IE140" s="3"/>
      <c r="IF140" s="3"/>
      <c r="IG140" s="3"/>
      <c r="IH140" s="3"/>
      <c r="II140" s="3"/>
      <c r="IJ140" s="3"/>
      <c r="IK140" s="3"/>
      <c r="IL140" s="3"/>
    </row>
    <row r="141" spans="1:246" x14ac:dyDescent="0.3">
      <c r="A141" s="190" t="s">
        <v>846</v>
      </c>
      <c r="B141" s="191"/>
      <c r="C141" s="191"/>
      <c r="D141" s="191"/>
      <c r="E141" s="191"/>
      <c r="F141" s="192"/>
      <c r="G141" s="194"/>
      <c r="H141" s="192"/>
      <c r="I141" s="192">
        <f t="shared" ref="I141:AD141" si="22">I140*Scaled_Steam_Plant</f>
        <v>3147642.1384633365</v>
      </c>
      <c r="J141" s="192">
        <f t="shared" si="22"/>
        <v>6059420.959351155</v>
      </c>
      <c r="K141" s="192">
        <f t="shared" si="22"/>
        <v>5604481.7489385866</v>
      </c>
      <c r="L141" s="192">
        <f t="shared" si="22"/>
        <v>5184796.1304768082</v>
      </c>
      <c r="M141" s="192">
        <f t="shared" si="22"/>
        <v>4795327.8765442781</v>
      </c>
      <c r="N141" s="192">
        <f t="shared" si="22"/>
        <v>4436076.9871409964</v>
      </c>
      <c r="O141" s="192">
        <f t="shared" si="22"/>
        <v>4102846.606082344</v>
      </c>
      <c r="P141" s="192">
        <f t="shared" si="22"/>
        <v>3795636.7333683227</v>
      </c>
      <c r="Q141" s="192">
        <f t="shared" si="22"/>
        <v>3745274.459152909</v>
      </c>
      <c r="R141" s="192">
        <f t="shared" si="22"/>
        <v>3744435.0879159854</v>
      </c>
      <c r="S141" s="192">
        <f t="shared" si="22"/>
        <v>3745274.459152909</v>
      </c>
      <c r="T141" s="192">
        <f t="shared" si="22"/>
        <v>3744435.0879159854</v>
      </c>
      <c r="U141" s="192">
        <f t="shared" si="22"/>
        <v>3745274.459152909</v>
      </c>
      <c r="V141" s="192">
        <f t="shared" si="22"/>
        <v>3744435.0879159854</v>
      </c>
      <c r="W141" s="192">
        <f t="shared" si="22"/>
        <v>3745274.459152909</v>
      </c>
      <c r="X141" s="192">
        <f t="shared" si="22"/>
        <v>3744435.0879159854</v>
      </c>
      <c r="Y141" s="192">
        <f t="shared" si="22"/>
        <v>3745274.459152909</v>
      </c>
      <c r="Z141" s="192">
        <f t="shared" si="22"/>
        <v>3744435.0879159854</v>
      </c>
      <c r="AA141" s="192">
        <f t="shared" si="22"/>
        <v>3745274.459152909</v>
      </c>
      <c r="AB141" s="192">
        <f t="shared" si="22"/>
        <v>3744435.0879159854</v>
      </c>
      <c r="AC141" s="192">
        <f t="shared" si="22"/>
        <v>1872637.2295764545</v>
      </c>
      <c r="AD141" s="192">
        <f t="shared" si="22"/>
        <v>0</v>
      </c>
      <c r="AE141" s="192">
        <f t="shared" ref="AE141:AL141" si="23">AE140*Steam_Plant_Cost</f>
        <v>0</v>
      </c>
      <c r="AF141" s="192">
        <f t="shared" si="23"/>
        <v>0</v>
      </c>
      <c r="AG141" s="192">
        <f t="shared" si="23"/>
        <v>0</v>
      </c>
      <c r="AH141" s="192">
        <f t="shared" si="23"/>
        <v>0</v>
      </c>
      <c r="AI141" s="192">
        <f t="shared" si="23"/>
        <v>0</v>
      </c>
      <c r="AJ141" s="192">
        <f t="shared" si="23"/>
        <v>0</v>
      </c>
      <c r="AK141" s="192">
        <f t="shared" si="23"/>
        <v>0</v>
      </c>
      <c r="AL141" s="192">
        <f t="shared" si="23"/>
        <v>0</v>
      </c>
      <c r="AM141" s="178"/>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c r="HF141" s="3"/>
      <c r="HG141" s="3"/>
      <c r="HH141" s="3"/>
      <c r="HI141" s="3"/>
      <c r="HJ141" s="3"/>
      <c r="HK141" s="3"/>
      <c r="HL141" s="3"/>
      <c r="HM141" s="3"/>
      <c r="HN141" s="3"/>
      <c r="HO141" s="3"/>
      <c r="HP141" s="3"/>
      <c r="HQ141" s="3"/>
      <c r="HR141" s="3"/>
      <c r="HS141" s="3"/>
      <c r="HT141" s="3"/>
      <c r="HU141" s="3"/>
      <c r="HV141" s="3"/>
      <c r="HW141" s="3"/>
      <c r="HX141" s="3"/>
      <c r="HY141" s="3"/>
      <c r="HZ141" s="3"/>
      <c r="IA141" s="3"/>
      <c r="IB141" s="3"/>
      <c r="IC141" s="3"/>
      <c r="ID141" s="3"/>
      <c r="IE141" s="3"/>
      <c r="IF141" s="3"/>
      <c r="IG141" s="3"/>
      <c r="IH141" s="3"/>
      <c r="II141" s="3"/>
      <c r="IJ141" s="3"/>
      <c r="IK141" s="3"/>
      <c r="IL141" s="3"/>
    </row>
    <row r="142" spans="1:246" x14ac:dyDescent="0.3">
      <c r="A142" s="190" t="s">
        <v>847</v>
      </c>
      <c r="B142" s="191"/>
      <c r="C142" s="191"/>
      <c r="D142" s="191"/>
      <c r="E142" s="191"/>
      <c r="F142" s="192"/>
      <c r="G142" s="192"/>
      <c r="H142" s="192"/>
      <c r="I142" s="142">
        <f>Steam_Plant_Cost-I141</f>
        <v>62663484.785295501</v>
      </c>
      <c r="J142" s="142">
        <f>I142-J141</f>
        <v>56604063.825944349</v>
      </c>
      <c r="K142" s="142">
        <f t="shared" ref="K142:AL142" si="24">J142-K141</f>
        <v>50999582.077005759</v>
      </c>
      <c r="L142" s="142">
        <f t="shared" si="24"/>
        <v>45814785.946528949</v>
      </c>
      <c r="M142" s="142">
        <f t="shared" si="24"/>
        <v>41019458.069984674</v>
      </c>
      <c r="N142" s="142">
        <f t="shared" si="24"/>
        <v>36583381.082843676</v>
      </c>
      <c r="O142" s="142">
        <f t="shared" si="24"/>
        <v>32480534.476761334</v>
      </c>
      <c r="P142" s="142">
        <f t="shared" si="24"/>
        <v>28684897.743393011</v>
      </c>
      <c r="Q142" s="142">
        <f t="shared" si="24"/>
        <v>24939623.284240104</v>
      </c>
      <c r="R142" s="142">
        <f t="shared" si="24"/>
        <v>21195188.196324117</v>
      </c>
      <c r="S142" s="142">
        <f t="shared" si="24"/>
        <v>17449913.73717121</v>
      </c>
      <c r="T142" s="142">
        <f t="shared" si="24"/>
        <v>13705478.649255225</v>
      </c>
      <c r="U142" s="142">
        <f t="shared" si="24"/>
        <v>9960204.1901023164</v>
      </c>
      <c r="V142" s="142">
        <f t="shared" si="24"/>
        <v>6215769.1021863315</v>
      </c>
      <c r="W142" s="142">
        <f t="shared" si="24"/>
        <v>2470494.6430334225</v>
      </c>
      <c r="X142" s="142">
        <f t="shared" si="24"/>
        <v>-1273940.4448825628</v>
      </c>
      <c r="Y142" s="142">
        <f t="shared" si="24"/>
        <v>-5019214.9040354714</v>
      </c>
      <c r="Z142" s="142">
        <f t="shared" si="24"/>
        <v>-8763649.9919514563</v>
      </c>
      <c r="AA142" s="142">
        <f t="shared" si="24"/>
        <v>-12508924.451104365</v>
      </c>
      <c r="AB142" s="142">
        <f t="shared" si="24"/>
        <v>-16253359.53902035</v>
      </c>
      <c r="AC142" s="142">
        <f t="shared" si="24"/>
        <v>-18125996.768596806</v>
      </c>
      <c r="AD142" s="142">
        <f t="shared" si="24"/>
        <v>-18125996.768596806</v>
      </c>
      <c r="AE142" s="142">
        <f t="shared" si="24"/>
        <v>-18125996.768596806</v>
      </c>
      <c r="AF142" s="142">
        <f t="shared" si="24"/>
        <v>-18125996.768596806</v>
      </c>
      <c r="AG142" s="142">
        <f t="shared" si="24"/>
        <v>-18125996.768596806</v>
      </c>
      <c r="AH142" s="142">
        <f t="shared" si="24"/>
        <v>-18125996.768596806</v>
      </c>
      <c r="AI142" s="142">
        <f t="shared" si="24"/>
        <v>-18125996.768596806</v>
      </c>
      <c r="AJ142" s="142">
        <f t="shared" si="24"/>
        <v>-18125996.768596806</v>
      </c>
      <c r="AK142" s="142">
        <f t="shared" si="24"/>
        <v>-18125996.768596806</v>
      </c>
      <c r="AL142" s="142">
        <f t="shared" si="24"/>
        <v>-18125996.768596806</v>
      </c>
      <c r="AM142" s="178"/>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c r="HF142" s="3"/>
      <c r="HG142" s="3"/>
      <c r="HH142" s="3"/>
      <c r="HI142" s="3"/>
      <c r="HJ142" s="3"/>
      <c r="HK142" s="3"/>
      <c r="HL142" s="3"/>
      <c r="HM142" s="3"/>
      <c r="HN142" s="3"/>
      <c r="HO142" s="3"/>
      <c r="HP142" s="3"/>
      <c r="HQ142" s="3"/>
      <c r="HR142" s="3"/>
      <c r="HS142" s="3"/>
      <c r="HT142" s="3"/>
      <c r="HU142" s="3"/>
      <c r="HV142" s="3"/>
      <c r="HW142" s="3"/>
      <c r="HX142" s="3"/>
      <c r="HY142" s="3"/>
      <c r="HZ142" s="3"/>
      <c r="IA142" s="3"/>
      <c r="IB142" s="3"/>
      <c r="IC142" s="3"/>
      <c r="ID142" s="3"/>
      <c r="IE142" s="3"/>
      <c r="IF142" s="3"/>
      <c r="IG142" s="3"/>
      <c r="IH142" s="3"/>
      <c r="II142" s="3"/>
      <c r="IJ142" s="3"/>
      <c r="IK142" s="3"/>
      <c r="IL142" s="3"/>
    </row>
    <row r="143" spans="1:246" s="150" customFormat="1" ht="4.8" customHeight="1" x14ac:dyDescent="0.3">
      <c r="A143" s="207"/>
      <c r="B143" s="208"/>
      <c r="C143" s="208"/>
      <c r="D143" s="208"/>
      <c r="E143" s="208"/>
      <c r="F143" s="209"/>
      <c r="G143" s="209"/>
      <c r="H143" s="209"/>
      <c r="I143" s="209"/>
      <c r="J143" s="209"/>
      <c r="K143" s="209"/>
      <c r="L143" s="209"/>
      <c r="M143" s="209"/>
      <c r="N143" s="209"/>
      <c r="O143" s="209"/>
      <c r="P143" s="209"/>
      <c r="Q143" s="209"/>
      <c r="R143" s="209"/>
      <c r="S143" s="209"/>
      <c r="T143" s="209"/>
      <c r="U143" s="209"/>
      <c r="V143" s="209"/>
      <c r="W143" s="209"/>
      <c r="X143" s="209"/>
      <c r="Y143" s="209"/>
      <c r="Z143" s="209"/>
      <c r="AA143" s="209"/>
      <c r="AB143" s="209"/>
      <c r="AC143" s="209"/>
      <c r="AD143" s="209"/>
      <c r="AE143" s="209"/>
      <c r="AF143" s="209"/>
      <c r="AG143" s="209"/>
      <c r="AH143" s="209"/>
      <c r="AI143" s="209"/>
      <c r="AJ143" s="209"/>
      <c r="AK143" s="209"/>
      <c r="AL143" s="210"/>
      <c r="AM143" s="178"/>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c r="HF143" s="3"/>
      <c r="HG143" s="3"/>
      <c r="HH143" s="3"/>
      <c r="HI143" s="3"/>
      <c r="HJ143" s="3"/>
      <c r="HK143" s="3"/>
      <c r="HL143" s="3"/>
      <c r="HM143" s="3"/>
      <c r="HN143" s="3"/>
      <c r="HO143" s="3"/>
      <c r="HP143" s="3"/>
      <c r="HQ143" s="3"/>
      <c r="HR143" s="3"/>
      <c r="HS143" s="3"/>
      <c r="HT143" s="3"/>
      <c r="HU143" s="3"/>
      <c r="HV143" s="3"/>
      <c r="HW143" s="3"/>
      <c r="HX143" s="3"/>
      <c r="HY143" s="3"/>
      <c r="HZ143" s="3"/>
      <c r="IA143" s="3"/>
      <c r="IB143" s="3"/>
      <c r="IC143" s="3"/>
      <c r="ID143" s="3"/>
      <c r="IE143" s="3"/>
      <c r="IF143" s="3"/>
      <c r="IG143" s="3"/>
      <c r="IH143" s="3"/>
      <c r="II143" s="3"/>
      <c r="IJ143" s="3"/>
      <c r="IK143" s="3"/>
      <c r="IL143" s="3"/>
    </row>
    <row r="144" spans="1:246" x14ac:dyDescent="0.3">
      <c r="A144" s="190" t="s">
        <v>820</v>
      </c>
      <c r="B144" s="191"/>
      <c r="C144" s="191"/>
      <c r="D144" s="191"/>
      <c r="E144" s="191"/>
      <c r="F144" s="192"/>
      <c r="G144" s="192"/>
      <c r="H144" s="192"/>
      <c r="I144" s="192">
        <f>I130-I126-I134-I138-I141</f>
        <v>-62424347.47662802</v>
      </c>
      <c r="J144" s="192">
        <f t="shared" ref="J144:AL144" si="25">J130-J126-J134-J138-J141</f>
        <v>-102152182.26910548</v>
      </c>
      <c r="K144" s="192">
        <f t="shared" si="25"/>
        <v>-71769051.120234966</v>
      </c>
      <c r="L144" s="192">
        <f t="shared" si="25"/>
        <v>-49972085.545731805</v>
      </c>
      <c r="M144" s="192">
        <f t="shared" si="25"/>
        <v>-34361993.963097811</v>
      </c>
      <c r="N144" s="192">
        <f t="shared" si="25"/>
        <v>-33959988.513782449</v>
      </c>
      <c r="O144" s="192">
        <f t="shared" si="25"/>
        <v>-33669512.692635879</v>
      </c>
      <c r="P144" s="192">
        <f t="shared" si="25"/>
        <v>-14251014.539220858</v>
      </c>
      <c r="Q144" s="192">
        <f t="shared" si="25"/>
        <v>4867881.4557834696</v>
      </c>
      <c r="R144" s="192">
        <f t="shared" si="25"/>
        <v>4868720.8270203937</v>
      </c>
      <c r="S144" s="192">
        <f t="shared" si="25"/>
        <v>50603486.650725469</v>
      </c>
      <c r="T144" s="192">
        <f t="shared" si="25"/>
        <v>50604326.021962389</v>
      </c>
      <c r="U144" s="192">
        <f t="shared" si="25"/>
        <v>50603486.650725469</v>
      </c>
      <c r="V144" s="192">
        <f t="shared" si="25"/>
        <v>50604326.021962389</v>
      </c>
      <c r="W144" s="192">
        <f t="shared" si="25"/>
        <v>50603486.650725469</v>
      </c>
      <c r="X144" s="192">
        <f t="shared" si="25"/>
        <v>50604326.021962389</v>
      </c>
      <c r="Y144" s="192">
        <f t="shared" si="25"/>
        <v>50603486.650725469</v>
      </c>
      <c r="Z144" s="192">
        <f t="shared" si="25"/>
        <v>50604326.021962389</v>
      </c>
      <c r="AA144" s="192">
        <f t="shared" si="25"/>
        <v>50603486.650725469</v>
      </c>
      <c r="AB144" s="192">
        <f t="shared" si="25"/>
        <v>50604326.021962389</v>
      </c>
      <c r="AC144" s="192">
        <f t="shared" si="25"/>
        <v>52476123.880301923</v>
      </c>
      <c r="AD144" s="192">
        <f t="shared" si="25"/>
        <v>54348761.109878376</v>
      </c>
      <c r="AE144" s="192">
        <f t="shared" si="25"/>
        <v>54348761.109878376</v>
      </c>
      <c r="AF144" s="192">
        <f t="shared" si="25"/>
        <v>54348761.109878376</v>
      </c>
      <c r="AG144" s="192">
        <f t="shared" si="25"/>
        <v>54348761.109878376</v>
      </c>
      <c r="AH144" s="192">
        <f t="shared" si="25"/>
        <v>54348761.109878376</v>
      </c>
      <c r="AI144" s="192">
        <f t="shared" si="25"/>
        <v>54348761.109878376</v>
      </c>
      <c r="AJ144" s="192">
        <f t="shared" si="25"/>
        <v>54348761.109878376</v>
      </c>
      <c r="AK144" s="192">
        <f t="shared" si="25"/>
        <v>54348761.109878376</v>
      </c>
      <c r="AL144" s="192">
        <f t="shared" si="25"/>
        <v>54348761.109878376</v>
      </c>
      <c r="AM144" s="178"/>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c r="HF144" s="3"/>
      <c r="HG144" s="3"/>
      <c r="HH144" s="3"/>
      <c r="HI144" s="3"/>
      <c r="HJ144" s="3"/>
      <c r="HK144" s="3"/>
      <c r="HL144" s="3"/>
      <c r="HM144" s="3"/>
      <c r="HN144" s="3"/>
      <c r="HO144" s="3"/>
      <c r="HP144" s="3"/>
      <c r="HQ144" s="3"/>
      <c r="HR144" s="3"/>
      <c r="HS144" s="3"/>
      <c r="HT144" s="3"/>
      <c r="HU144" s="3"/>
      <c r="HV144" s="3"/>
      <c r="HW144" s="3"/>
      <c r="HX144" s="3"/>
      <c r="HY144" s="3"/>
      <c r="HZ144" s="3"/>
      <c r="IA144" s="3"/>
      <c r="IB144" s="3"/>
      <c r="IC144" s="3"/>
      <c r="ID144" s="3"/>
      <c r="IE144" s="3"/>
      <c r="IF144" s="3"/>
      <c r="IG144" s="3"/>
      <c r="IH144" s="3"/>
      <c r="II144" s="3"/>
      <c r="IJ144" s="3"/>
      <c r="IK144" s="3"/>
      <c r="IL144" s="3"/>
    </row>
    <row r="145" spans="1:246" x14ac:dyDescent="0.3">
      <c r="A145" s="190" t="s">
        <v>821</v>
      </c>
      <c r="B145" s="191"/>
      <c r="C145" s="191"/>
      <c r="D145" s="191"/>
      <c r="E145" s="191"/>
      <c r="F145" s="192"/>
      <c r="G145" s="192"/>
      <c r="H145" s="192"/>
      <c r="I145" s="192">
        <v>0</v>
      </c>
      <c r="J145" s="192">
        <f>IF(I146&lt;0,I146,0)</f>
        <v>-62424347.47662802</v>
      </c>
      <c r="K145" s="192">
        <f t="shared" ref="K145:AL145" si="26">IF(J146&lt;0,J146,0)</f>
        <v>-164576529.7457335</v>
      </c>
      <c r="L145" s="192">
        <f t="shared" si="26"/>
        <v>-236345580.86596847</v>
      </c>
      <c r="M145" s="192">
        <f t="shared" si="26"/>
        <v>-286317666.41170025</v>
      </c>
      <c r="N145" s="192">
        <f t="shared" si="26"/>
        <v>-320679660.37479806</v>
      </c>
      <c r="O145" s="192">
        <f t="shared" si="26"/>
        <v>-354639648.8885805</v>
      </c>
      <c r="P145" s="192">
        <f t="shared" si="26"/>
        <v>-388309161.58121639</v>
      </c>
      <c r="Q145" s="192">
        <f t="shared" si="26"/>
        <v>-402560176.12043726</v>
      </c>
      <c r="R145" s="192">
        <f t="shared" si="26"/>
        <v>-397692294.66465378</v>
      </c>
      <c r="S145" s="192">
        <f t="shared" si="26"/>
        <v>-392823573.83763337</v>
      </c>
      <c r="T145" s="192">
        <f t="shared" si="26"/>
        <v>-342220087.18690789</v>
      </c>
      <c r="U145" s="192">
        <f t="shared" si="26"/>
        <v>-291615761.16494548</v>
      </c>
      <c r="V145" s="192">
        <f t="shared" si="26"/>
        <v>-241012274.51422</v>
      </c>
      <c r="W145" s="192">
        <f t="shared" si="26"/>
        <v>-190407948.4922576</v>
      </c>
      <c r="X145" s="192">
        <f t="shared" si="26"/>
        <v>-139804461.84153211</v>
      </c>
      <c r="Y145" s="192">
        <f t="shared" si="26"/>
        <v>-89200135.819569722</v>
      </c>
      <c r="Z145" s="192">
        <f t="shared" si="26"/>
        <v>-38596649.168844253</v>
      </c>
      <c r="AA145" s="192">
        <f t="shared" si="26"/>
        <v>0</v>
      </c>
      <c r="AB145" s="192">
        <f t="shared" si="26"/>
        <v>0</v>
      </c>
      <c r="AC145" s="192">
        <f t="shared" si="26"/>
        <v>0</v>
      </c>
      <c r="AD145" s="192">
        <f t="shared" si="26"/>
        <v>0</v>
      </c>
      <c r="AE145" s="192">
        <f t="shared" si="26"/>
        <v>0</v>
      </c>
      <c r="AF145" s="192">
        <f t="shared" si="26"/>
        <v>0</v>
      </c>
      <c r="AG145" s="192">
        <f t="shared" si="26"/>
        <v>0</v>
      </c>
      <c r="AH145" s="192">
        <f t="shared" si="26"/>
        <v>0</v>
      </c>
      <c r="AI145" s="192">
        <f t="shared" si="26"/>
        <v>0</v>
      </c>
      <c r="AJ145" s="192">
        <f t="shared" si="26"/>
        <v>0</v>
      </c>
      <c r="AK145" s="192">
        <f t="shared" si="26"/>
        <v>0</v>
      </c>
      <c r="AL145" s="193">
        <f t="shared" si="26"/>
        <v>0</v>
      </c>
      <c r="AM145" s="178"/>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c r="HF145" s="3"/>
      <c r="HG145" s="3"/>
      <c r="HH145" s="3"/>
      <c r="HI145" s="3"/>
      <c r="HJ145" s="3"/>
      <c r="HK145" s="3"/>
      <c r="HL145" s="3"/>
      <c r="HM145" s="3"/>
      <c r="HN145" s="3"/>
      <c r="HO145" s="3"/>
      <c r="HP145" s="3"/>
      <c r="HQ145" s="3"/>
      <c r="HR145" s="3"/>
      <c r="HS145" s="3"/>
      <c r="HT145" s="3"/>
      <c r="HU145" s="3"/>
      <c r="HV145" s="3"/>
      <c r="HW145" s="3"/>
      <c r="HX145" s="3"/>
      <c r="HY145" s="3"/>
      <c r="HZ145" s="3"/>
      <c r="IA145" s="3"/>
      <c r="IB145" s="3"/>
      <c r="IC145" s="3"/>
      <c r="ID145" s="3"/>
      <c r="IE145" s="3"/>
      <c r="IF145" s="3"/>
      <c r="IG145" s="3"/>
      <c r="IH145" s="3"/>
      <c r="II145" s="3"/>
      <c r="IJ145" s="3"/>
      <c r="IK145" s="3"/>
      <c r="IL145" s="3"/>
    </row>
    <row r="146" spans="1:246" x14ac:dyDescent="0.3">
      <c r="A146" s="190" t="s">
        <v>822</v>
      </c>
      <c r="B146" s="191"/>
      <c r="C146" s="191"/>
      <c r="D146" s="191"/>
      <c r="E146" s="191"/>
      <c r="F146" s="192"/>
      <c r="G146" s="192"/>
      <c r="H146" s="192"/>
      <c r="I146" s="192">
        <f>I144+I145</f>
        <v>-62424347.47662802</v>
      </c>
      <c r="J146" s="192">
        <f t="shared" ref="J146:AL146" si="27">J144+J145</f>
        <v>-164576529.7457335</v>
      </c>
      <c r="K146" s="192">
        <f t="shared" si="27"/>
        <v>-236345580.86596847</v>
      </c>
      <c r="L146" s="192">
        <f t="shared" si="27"/>
        <v>-286317666.41170025</v>
      </c>
      <c r="M146" s="192">
        <f t="shared" si="27"/>
        <v>-320679660.37479806</v>
      </c>
      <c r="N146" s="192">
        <f t="shared" si="27"/>
        <v>-354639648.8885805</v>
      </c>
      <c r="O146" s="192">
        <f t="shared" si="27"/>
        <v>-388309161.58121639</v>
      </c>
      <c r="P146" s="192">
        <f t="shared" si="27"/>
        <v>-402560176.12043726</v>
      </c>
      <c r="Q146" s="192">
        <f t="shared" si="27"/>
        <v>-397692294.66465378</v>
      </c>
      <c r="R146" s="192">
        <f t="shared" si="27"/>
        <v>-392823573.83763337</v>
      </c>
      <c r="S146" s="192">
        <f t="shared" si="27"/>
        <v>-342220087.18690789</v>
      </c>
      <c r="T146" s="192">
        <f t="shared" si="27"/>
        <v>-291615761.16494548</v>
      </c>
      <c r="U146" s="192">
        <f t="shared" si="27"/>
        <v>-241012274.51422</v>
      </c>
      <c r="V146" s="192">
        <f t="shared" si="27"/>
        <v>-190407948.4922576</v>
      </c>
      <c r="W146" s="192">
        <f t="shared" si="27"/>
        <v>-139804461.84153211</v>
      </c>
      <c r="X146" s="192">
        <f t="shared" si="27"/>
        <v>-89200135.819569722</v>
      </c>
      <c r="Y146" s="192">
        <f t="shared" si="27"/>
        <v>-38596649.168844253</v>
      </c>
      <c r="Z146" s="192">
        <f t="shared" si="27"/>
        <v>12007676.853118137</v>
      </c>
      <c r="AA146" s="192">
        <f t="shared" si="27"/>
        <v>50603486.650725469</v>
      </c>
      <c r="AB146" s="192">
        <f t="shared" si="27"/>
        <v>50604326.021962389</v>
      </c>
      <c r="AC146" s="192">
        <f t="shared" si="27"/>
        <v>52476123.880301923</v>
      </c>
      <c r="AD146" s="192">
        <f t="shared" si="27"/>
        <v>54348761.109878376</v>
      </c>
      <c r="AE146" s="192">
        <f t="shared" si="27"/>
        <v>54348761.109878376</v>
      </c>
      <c r="AF146" s="192">
        <f t="shared" si="27"/>
        <v>54348761.109878376</v>
      </c>
      <c r="AG146" s="192">
        <f t="shared" si="27"/>
        <v>54348761.109878376</v>
      </c>
      <c r="AH146" s="192">
        <f t="shared" si="27"/>
        <v>54348761.109878376</v>
      </c>
      <c r="AI146" s="192">
        <f t="shared" si="27"/>
        <v>54348761.109878376</v>
      </c>
      <c r="AJ146" s="192">
        <f t="shared" si="27"/>
        <v>54348761.109878376</v>
      </c>
      <c r="AK146" s="192">
        <f t="shared" si="27"/>
        <v>54348761.109878376</v>
      </c>
      <c r="AL146" s="193">
        <f t="shared" si="27"/>
        <v>54348761.109878376</v>
      </c>
      <c r="AM146" s="178"/>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c r="HF146" s="3"/>
      <c r="HG146" s="3"/>
      <c r="HH146" s="3"/>
      <c r="HI146" s="3"/>
      <c r="HJ146" s="3"/>
      <c r="HK146" s="3"/>
      <c r="HL146" s="3"/>
      <c r="HM146" s="3"/>
      <c r="HN146" s="3"/>
      <c r="HO146" s="3"/>
      <c r="HP146" s="3"/>
      <c r="HQ146" s="3"/>
      <c r="HR146" s="3"/>
      <c r="HS146" s="3"/>
      <c r="HT146" s="3"/>
      <c r="HU146" s="3"/>
      <c r="HV146" s="3"/>
      <c r="HW146" s="3"/>
      <c r="HX146" s="3"/>
      <c r="HY146" s="3"/>
      <c r="HZ146" s="3"/>
      <c r="IA146" s="3"/>
      <c r="IB146" s="3"/>
      <c r="IC146" s="3"/>
      <c r="ID146" s="3"/>
      <c r="IE146" s="3"/>
      <c r="IF146" s="3"/>
      <c r="IG146" s="3"/>
      <c r="IH146" s="3"/>
      <c r="II146" s="3"/>
      <c r="IJ146" s="3"/>
      <c r="IK146" s="3"/>
      <c r="IL146" s="3"/>
    </row>
    <row r="147" spans="1:246" x14ac:dyDescent="0.3">
      <c r="A147" s="190" t="s">
        <v>823</v>
      </c>
      <c r="B147" s="191"/>
      <c r="C147" s="191"/>
      <c r="D147" s="191"/>
      <c r="E147" s="191"/>
      <c r="F147" s="192"/>
      <c r="G147" s="192"/>
      <c r="H147" s="192"/>
      <c r="I147" s="192">
        <f t="shared" ref="I147:AL147" si="28">IF(I146&lt;0,0,I146*Tax_Rate)</f>
        <v>0</v>
      </c>
      <c r="J147" s="192">
        <f t="shared" si="28"/>
        <v>0</v>
      </c>
      <c r="K147" s="192">
        <f t="shared" si="28"/>
        <v>0</v>
      </c>
      <c r="L147" s="192">
        <f t="shared" si="28"/>
        <v>0</v>
      </c>
      <c r="M147" s="192">
        <f t="shared" si="28"/>
        <v>0</v>
      </c>
      <c r="N147" s="192">
        <f t="shared" si="28"/>
        <v>0</v>
      </c>
      <c r="O147" s="192">
        <f t="shared" si="28"/>
        <v>0</v>
      </c>
      <c r="P147" s="192">
        <f t="shared" si="28"/>
        <v>0</v>
      </c>
      <c r="Q147" s="192">
        <f t="shared" si="28"/>
        <v>0</v>
      </c>
      <c r="R147" s="192">
        <f t="shared" si="28"/>
        <v>0</v>
      </c>
      <c r="S147" s="192">
        <f t="shared" si="28"/>
        <v>0</v>
      </c>
      <c r="T147" s="192">
        <f t="shared" si="28"/>
        <v>0</v>
      </c>
      <c r="U147" s="192">
        <f t="shared" si="28"/>
        <v>0</v>
      </c>
      <c r="V147" s="192">
        <f t="shared" si="28"/>
        <v>0</v>
      </c>
      <c r="W147" s="192">
        <f t="shared" si="28"/>
        <v>0</v>
      </c>
      <c r="X147" s="192">
        <f t="shared" si="28"/>
        <v>0</v>
      </c>
      <c r="Y147" s="192">
        <f t="shared" si="28"/>
        <v>0</v>
      </c>
      <c r="Z147" s="192">
        <f t="shared" si="28"/>
        <v>4202686.898591348</v>
      </c>
      <c r="AA147" s="192">
        <f t="shared" si="28"/>
        <v>17711220.327753913</v>
      </c>
      <c r="AB147" s="192">
        <f t="shared" si="28"/>
        <v>17711514.107686836</v>
      </c>
      <c r="AC147" s="192">
        <f t="shared" si="28"/>
        <v>18366643.358105671</v>
      </c>
      <c r="AD147" s="192">
        <f t="shared" si="28"/>
        <v>19022066.388457429</v>
      </c>
      <c r="AE147" s="192">
        <f t="shared" si="28"/>
        <v>19022066.388457429</v>
      </c>
      <c r="AF147" s="192">
        <f t="shared" si="28"/>
        <v>19022066.388457429</v>
      </c>
      <c r="AG147" s="192">
        <f t="shared" si="28"/>
        <v>19022066.388457429</v>
      </c>
      <c r="AH147" s="192">
        <f t="shared" si="28"/>
        <v>19022066.388457429</v>
      </c>
      <c r="AI147" s="192">
        <f t="shared" si="28"/>
        <v>19022066.388457429</v>
      </c>
      <c r="AJ147" s="192">
        <f t="shared" si="28"/>
        <v>19022066.388457429</v>
      </c>
      <c r="AK147" s="192">
        <f t="shared" si="28"/>
        <v>19022066.388457429</v>
      </c>
      <c r="AL147" s="193">
        <f t="shared" si="28"/>
        <v>19022066.388457429</v>
      </c>
      <c r="AM147" s="178"/>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c r="HF147" s="3"/>
      <c r="HG147" s="3"/>
      <c r="HH147" s="3"/>
      <c r="HI147" s="3"/>
      <c r="HJ147" s="3"/>
      <c r="HK147" s="3"/>
      <c r="HL147" s="3"/>
      <c r="HM147" s="3"/>
      <c r="HN147" s="3"/>
      <c r="HO147" s="3"/>
      <c r="HP147" s="3"/>
      <c r="HQ147" s="3"/>
      <c r="HR147" s="3"/>
      <c r="HS147" s="3"/>
      <c r="HT147" s="3"/>
      <c r="HU147" s="3"/>
      <c r="HV147" s="3"/>
      <c r="HW147" s="3"/>
      <c r="HX147" s="3"/>
      <c r="HY147" s="3"/>
      <c r="HZ147" s="3"/>
      <c r="IA147" s="3"/>
      <c r="IB147" s="3"/>
      <c r="IC147" s="3"/>
      <c r="ID147" s="3"/>
      <c r="IE147" s="3"/>
      <c r="IF147" s="3"/>
      <c r="IG147" s="3"/>
      <c r="IH147" s="3"/>
      <c r="II147" s="3"/>
      <c r="IJ147" s="3"/>
      <c r="IK147" s="3"/>
      <c r="IL147" s="3"/>
    </row>
    <row r="148" spans="1:246" s="150" customFormat="1" ht="4.8" customHeight="1" x14ac:dyDescent="0.3">
      <c r="A148" s="207"/>
      <c r="B148" s="208"/>
      <c r="C148" s="208"/>
      <c r="D148" s="208"/>
      <c r="E148" s="208"/>
      <c r="F148" s="209"/>
      <c r="G148" s="209"/>
      <c r="H148" s="209"/>
      <c r="I148" s="209"/>
      <c r="J148" s="209"/>
      <c r="K148" s="209"/>
      <c r="L148" s="209"/>
      <c r="M148" s="209"/>
      <c r="N148" s="209"/>
      <c r="O148" s="209"/>
      <c r="P148" s="209"/>
      <c r="Q148" s="209"/>
      <c r="R148" s="209"/>
      <c r="S148" s="209"/>
      <c r="T148" s="209"/>
      <c r="U148" s="209"/>
      <c r="V148" s="209"/>
      <c r="W148" s="209"/>
      <c r="X148" s="209"/>
      <c r="Y148" s="209"/>
      <c r="Z148" s="209"/>
      <c r="AA148" s="209"/>
      <c r="AB148" s="209"/>
      <c r="AC148" s="209"/>
      <c r="AD148" s="209"/>
      <c r="AE148" s="209"/>
      <c r="AF148" s="209"/>
      <c r="AG148" s="209"/>
      <c r="AH148" s="209"/>
      <c r="AI148" s="209"/>
      <c r="AJ148" s="209"/>
      <c r="AK148" s="209"/>
      <c r="AL148" s="210"/>
      <c r="AM148" s="178"/>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c r="HF148" s="3"/>
      <c r="HG148" s="3"/>
      <c r="HH148" s="3"/>
      <c r="HI148" s="3"/>
      <c r="HJ148" s="3"/>
      <c r="HK148" s="3"/>
      <c r="HL148" s="3"/>
      <c r="HM148" s="3"/>
      <c r="HN148" s="3"/>
      <c r="HO148" s="3"/>
      <c r="HP148" s="3"/>
      <c r="HQ148" s="3"/>
      <c r="HR148" s="3"/>
      <c r="HS148" s="3"/>
      <c r="HT148" s="3"/>
      <c r="HU148" s="3"/>
      <c r="HV148" s="3"/>
      <c r="HW148" s="3"/>
      <c r="HX148" s="3"/>
      <c r="HY148" s="3"/>
      <c r="HZ148" s="3"/>
      <c r="IA148" s="3"/>
      <c r="IB148" s="3"/>
      <c r="IC148" s="3"/>
      <c r="ID148" s="3"/>
      <c r="IE148" s="3"/>
      <c r="IF148" s="3"/>
      <c r="IG148" s="3"/>
      <c r="IH148" s="3"/>
      <c r="II148" s="3"/>
      <c r="IJ148" s="3"/>
      <c r="IK148" s="3"/>
      <c r="IL148" s="3"/>
    </row>
    <row r="149" spans="1:246" x14ac:dyDescent="0.3">
      <c r="A149" s="190" t="s">
        <v>824</v>
      </c>
      <c r="B149" s="191"/>
      <c r="C149" s="191"/>
      <c r="D149" s="191"/>
      <c r="E149" s="191"/>
      <c r="F149" s="192"/>
      <c r="G149" s="192"/>
      <c r="H149" s="192"/>
      <c r="I149" s="192">
        <f>I132-I126-I134-I147</f>
        <v>10447931.838701591</v>
      </c>
      <c r="J149" s="192">
        <f t="shared" ref="J149:AL149" si="29">J132-J126-J134-J147</f>
        <v>18474151.414936379</v>
      </c>
      <c r="K149" s="192">
        <f t="shared" si="29"/>
        <v>18474151.414936379</v>
      </c>
      <c r="L149" s="192">
        <f t="shared" si="29"/>
        <v>18474151.414936379</v>
      </c>
      <c r="M149" s="192">
        <f t="shared" si="29"/>
        <v>18474151.414936379</v>
      </c>
      <c r="N149" s="192">
        <f t="shared" si="29"/>
        <v>18474151.414936379</v>
      </c>
      <c r="O149" s="192">
        <f t="shared" si="29"/>
        <v>18474151.414936379</v>
      </c>
      <c r="P149" s="192">
        <f t="shared" si="29"/>
        <v>18474151.414936379</v>
      </c>
      <c r="Q149" s="192">
        <f t="shared" si="29"/>
        <v>18474151.414936379</v>
      </c>
      <c r="R149" s="192">
        <f t="shared" si="29"/>
        <v>18474151.414936379</v>
      </c>
      <c r="S149" s="192">
        <f t="shared" si="29"/>
        <v>64209756.609878376</v>
      </c>
      <c r="T149" s="192">
        <f t="shared" si="29"/>
        <v>64209756.609878376</v>
      </c>
      <c r="U149" s="192">
        <f t="shared" si="29"/>
        <v>64209756.609878376</v>
      </c>
      <c r="V149" s="192">
        <f t="shared" si="29"/>
        <v>64209756.609878376</v>
      </c>
      <c r="W149" s="192">
        <f t="shared" si="29"/>
        <v>64209756.609878376</v>
      </c>
      <c r="X149" s="192">
        <f t="shared" si="29"/>
        <v>64209756.609878376</v>
      </c>
      <c r="Y149" s="192">
        <f t="shared" si="29"/>
        <v>64209756.609878376</v>
      </c>
      <c r="Z149" s="192">
        <f t="shared" si="29"/>
        <v>60007069.711287029</v>
      </c>
      <c r="AA149" s="192">
        <f t="shared" si="29"/>
        <v>46498536.28212446</v>
      </c>
      <c r="AB149" s="192">
        <f t="shared" si="29"/>
        <v>46498242.502191544</v>
      </c>
      <c r="AC149" s="192">
        <f t="shared" si="29"/>
        <v>45843113.251772702</v>
      </c>
      <c r="AD149" s="192">
        <f t="shared" si="29"/>
        <v>45187690.221420944</v>
      </c>
      <c r="AE149" s="192">
        <f t="shared" si="29"/>
        <v>45187690.221420944</v>
      </c>
      <c r="AF149" s="192">
        <f t="shared" si="29"/>
        <v>45187690.221420944</v>
      </c>
      <c r="AG149" s="192">
        <f t="shared" si="29"/>
        <v>45187690.221420944</v>
      </c>
      <c r="AH149" s="192">
        <f t="shared" si="29"/>
        <v>45187690.221420944</v>
      </c>
      <c r="AI149" s="192">
        <f t="shared" si="29"/>
        <v>45187690.221420944</v>
      </c>
      <c r="AJ149" s="192">
        <f t="shared" si="29"/>
        <v>45187690.221420944</v>
      </c>
      <c r="AK149" s="192">
        <f t="shared" si="29"/>
        <v>45187690.221420944</v>
      </c>
      <c r="AL149" s="192">
        <f t="shared" si="29"/>
        <v>45187690.221420944</v>
      </c>
      <c r="AM149" s="178"/>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c r="HF149" s="3"/>
      <c r="HG149" s="3"/>
      <c r="HH149" s="3"/>
      <c r="HI149" s="3"/>
      <c r="HJ149" s="3"/>
      <c r="HK149" s="3"/>
      <c r="HL149" s="3"/>
      <c r="HM149" s="3"/>
      <c r="HN149" s="3"/>
      <c r="HO149" s="3"/>
      <c r="HP149" s="3"/>
      <c r="HQ149" s="3"/>
      <c r="HR149" s="3"/>
      <c r="HS149" s="3"/>
      <c r="HT149" s="3"/>
      <c r="HU149" s="3"/>
      <c r="HV149" s="3"/>
      <c r="HW149" s="3"/>
      <c r="HX149" s="3"/>
      <c r="HY149" s="3"/>
      <c r="HZ149" s="3"/>
      <c r="IA149" s="3"/>
      <c r="IB149" s="3"/>
      <c r="IC149" s="3"/>
      <c r="ID149" s="3"/>
      <c r="IE149" s="3"/>
      <c r="IF149" s="3"/>
      <c r="IG149" s="3"/>
      <c r="IH149" s="3"/>
      <c r="II149" s="3"/>
      <c r="IJ149" s="3"/>
      <c r="IK149" s="3"/>
      <c r="IL149" s="3"/>
    </row>
    <row r="150" spans="1:246" s="74" customFormat="1" x14ac:dyDescent="0.3">
      <c r="A150" s="197" t="s">
        <v>825</v>
      </c>
      <c r="B150" s="198"/>
      <c r="C150" s="198"/>
      <c r="D150" s="198"/>
      <c r="E150" s="198"/>
      <c r="F150" s="199">
        <f t="shared" ref="F150:AL150" si="30">(1/(1+IRR)^F121)</f>
        <v>1.2100000000000002</v>
      </c>
      <c r="G150" s="199">
        <f t="shared" si="30"/>
        <v>1.1000000000000001</v>
      </c>
      <c r="H150" s="199">
        <f t="shared" si="30"/>
        <v>1</v>
      </c>
      <c r="I150" s="199">
        <f t="shared" si="30"/>
        <v>0.90909090909090906</v>
      </c>
      <c r="J150" s="199">
        <f t="shared" si="30"/>
        <v>0.82644628099173545</v>
      </c>
      <c r="K150" s="199">
        <f t="shared" si="30"/>
        <v>0.75131480090157754</v>
      </c>
      <c r="L150" s="199">
        <f t="shared" si="30"/>
        <v>0.68301345536507052</v>
      </c>
      <c r="M150" s="199">
        <f t="shared" si="30"/>
        <v>0.62092132305915493</v>
      </c>
      <c r="N150" s="199">
        <f t="shared" si="30"/>
        <v>0.56447393005377722</v>
      </c>
      <c r="O150" s="199">
        <f t="shared" si="30"/>
        <v>0.51315811823070645</v>
      </c>
      <c r="P150" s="199">
        <f t="shared" si="30"/>
        <v>0.46650738020973315</v>
      </c>
      <c r="Q150" s="199">
        <f t="shared" si="30"/>
        <v>0.42409761837248466</v>
      </c>
      <c r="R150" s="199">
        <f t="shared" si="30"/>
        <v>0.38554328942953148</v>
      </c>
      <c r="S150" s="199">
        <f t="shared" si="30"/>
        <v>0.3504938994813922</v>
      </c>
      <c r="T150" s="199">
        <f t="shared" si="30"/>
        <v>0.31863081771035656</v>
      </c>
      <c r="U150" s="199">
        <f t="shared" si="30"/>
        <v>0.28966437973668779</v>
      </c>
      <c r="V150" s="199">
        <f t="shared" si="30"/>
        <v>0.26333125430607973</v>
      </c>
      <c r="W150" s="199">
        <f t="shared" si="30"/>
        <v>0.23939204936916339</v>
      </c>
      <c r="X150" s="199">
        <f t="shared" si="30"/>
        <v>0.21762913579014853</v>
      </c>
      <c r="Y150" s="199">
        <f t="shared" si="30"/>
        <v>0.19784466890013502</v>
      </c>
      <c r="Z150" s="199">
        <f t="shared" si="30"/>
        <v>0.17985878990921364</v>
      </c>
      <c r="AA150" s="199">
        <f t="shared" si="30"/>
        <v>0.16350799082655781</v>
      </c>
      <c r="AB150" s="199">
        <f t="shared" si="30"/>
        <v>0.14864362802414349</v>
      </c>
      <c r="AC150" s="199">
        <f t="shared" si="30"/>
        <v>0.13513057093103953</v>
      </c>
      <c r="AD150" s="199">
        <f t="shared" si="30"/>
        <v>0.12284597357367227</v>
      </c>
      <c r="AE150" s="199">
        <f t="shared" si="30"/>
        <v>0.11167815779424752</v>
      </c>
      <c r="AF150" s="199">
        <f t="shared" si="30"/>
        <v>0.10152559799477048</v>
      </c>
      <c r="AG150" s="199">
        <f t="shared" si="30"/>
        <v>9.2295998177064048E-2</v>
      </c>
      <c r="AH150" s="199">
        <f t="shared" si="30"/>
        <v>8.3905452888240042E-2</v>
      </c>
      <c r="AI150" s="199">
        <f t="shared" si="30"/>
        <v>7.6277684443854576E-2</v>
      </c>
      <c r="AJ150" s="199">
        <f t="shared" si="30"/>
        <v>6.9343349494413245E-2</v>
      </c>
      <c r="AK150" s="199">
        <f t="shared" si="30"/>
        <v>6.3039408631284766E-2</v>
      </c>
      <c r="AL150" s="200">
        <f t="shared" si="30"/>
        <v>5.7308553301167964E-2</v>
      </c>
      <c r="AM150" s="185"/>
      <c r="AN150" s="105"/>
      <c r="AO150" s="105"/>
      <c r="AP150" s="105"/>
      <c r="AQ150" s="105"/>
      <c r="AR150" s="105"/>
      <c r="AS150" s="105"/>
      <c r="AT150" s="105"/>
      <c r="AU150" s="105"/>
      <c r="AV150" s="105"/>
      <c r="AW150" s="105"/>
      <c r="AX150" s="105"/>
      <c r="AY150" s="105"/>
      <c r="AZ150" s="105"/>
      <c r="BA150" s="105"/>
      <c r="BB150" s="105"/>
      <c r="BC150" s="105"/>
      <c r="BD150" s="105"/>
      <c r="BE150" s="105"/>
      <c r="BF150" s="105"/>
      <c r="BG150" s="105"/>
      <c r="BH150" s="105"/>
      <c r="BI150" s="105"/>
      <c r="BJ150" s="105"/>
      <c r="BK150" s="105"/>
      <c r="BL150" s="105"/>
      <c r="BM150" s="105"/>
      <c r="BN150" s="105"/>
      <c r="BO150" s="105"/>
      <c r="BP150" s="105"/>
      <c r="BQ150" s="105"/>
      <c r="BR150" s="105"/>
      <c r="BS150" s="105"/>
      <c r="BT150" s="105"/>
      <c r="BU150" s="105"/>
      <c r="BV150" s="105"/>
      <c r="BW150" s="105"/>
      <c r="BX150" s="105"/>
      <c r="BY150" s="105"/>
      <c r="BZ150" s="105"/>
      <c r="CA150" s="105"/>
      <c r="CB150" s="105"/>
      <c r="CC150" s="105"/>
      <c r="CD150" s="105"/>
      <c r="CE150" s="105"/>
      <c r="CF150" s="105"/>
      <c r="CG150" s="105"/>
      <c r="CH150" s="105"/>
      <c r="CI150" s="105"/>
      <c r="CJ150" s="105"/>
      <c r="CK150" s="105"/>
      <c r="CL150" s="105"/>
      <c r="CM150" s="105"/>
      <c r="CN150" s="105"/>
      <c r="CO150" s="105"/>
      <c r="CP150" s="105"/>
      <c r="CQ150" s="105"/>
      <c r="CR150" s="105"/>
      <c r="CS150" s="105"/>
      <c r="CT150" s="105"/>
      <c r="CU150" s="105"/>
      <c r="CV150" s="105"/>
      <c r="CW150" s="105"/>
      <c r="CX150" s="105"/>
      <c r="CY150" s="105"/>
      <c r="CZ150" s="105"/>
      <c r="DA150" s="105"/>
      <c r="DB150" s="105"/>
      <c r="DC150" s="105"/>
      <c r="DD150" s="105"/>
      <c r="DE150" s="105"/>
      <c r="DF150" s="105"/>
      <c r="DG150" s="105"/>
      <c r="DH150" s="105"/>
      <c r="DI150" s="105"/>
      <c r="DJ150" s="105"/>
      <c r="DK150" s="105"/>
      <c r="DL150" s="105"/>
      <c r="DM150" s="105"/>
      <c r="DN150" s="105"/>
      <c r="DO150" s="105"/>
      <c r="DP150" s="105"/>
      <c r="DQ150" s="105"/>
      <c r="DR150" s="105"/>
      <c r="DS150" s="105"/>
      <c r="DT150" s="105"/>
      <c r="DU150" s="105"/>
      <c r="DV150" s="105"/>
      <c r="DW150" s="105"/>
      <c r="DX150" s="105"/>
      <c r="DY150" s="105"/>
      <c r="DZ150" s="105"/>
      <c r="EA150" s="105"/>
      <c r="EB150" s="105"/>
      <c r="EC150" s="105"/>
      <c r="ED150" s="105"/>
      <c r="EE150" s="105"/>
      <c r="EF150" s="105"/>
      <c r="EG150" s="105"/>
      <c r="EH150" s="105"/>
      <c r="EI150" s="105"/>
      <c r="EJ150" s="105"/>
      <c r="EK150" s="105"/>
      <c r="EL150" s="105"/>
      <c r="EM150" s="105"/>
      <c r="EN150" s="105"/>
      <c r="EO150" s="105"/>
      <c r="EP150" s="105"/>
      <c r="EQ150" s="105"/>
      <c r="ER150" s="105"/>
      <c r="ES150" s="105"/>
      <c r="ET150" s="105"/>
      <c r="EU150" s="105"/>
      <c r="EV150" s="105"/>
      <c r="EW150" s="105"/>
      <c r="EX150" s="105"/>
      <c r="EY150" s="105"/>
      <c r="EZ150" s="105"/>
      <c r="FA150" s="105"/>
      <c r="FB150" s="105"/>
      <c r="FC150" s="105"/>
      <c r="FD150" s="105"/>
      <c r="FE150" s="105"/>
      <c r="FF150" s="105"/>
      <c r="FG150" s="105"/>
      <c r="FH150" s="105"/>
      <c r="FI150" s="105"/>
      <c r="FJ150" s="105"/>
      <c r="FK150" s="105"/>
      <c r="FL150" s="105"/>
      <c r="FM150" s="105"/>
      <c r="FN150" s="105"/>
      <c r="FO150" s="105"/>
      <c r="FP150" s="105"/>
      <c r="FQ150" s="105"/>
      <c r="FR150" s="105"/>
      <c r="FS150" s="105"/>
      <c r="FT150" s="105"/>
      <c r="FU150" s="105"/>
      <c r="FV150" s="105"/>
      <c r="FW150" s="105"/>
      <c r="FX150" s="105"/>
      <c r="FY150" s="105"/>
      <c r="FZ150" s="105"/>
      <c r="GA150" s="105"/>
      <c r="GB150" s="105"/>
      <c r="GC150" s="105"/>
      <c r="GD150" s="105"/>
      <c r="GE150" s="105"/>
      <c r="GF150" s="105"/>
      <c r="GG150" s="105"/>
      <c r="GH150" s="105"/>
      <c r="GI150" s="105"/>
      <c r="GJ150" s="105"/>
      <c r="GK150" s="105"/>
      <c r="GL150" s="105"/>
      <c r="GM150" s="105"/>
      <c r="GN150" s="105"/>
      <c r="GO150" s="105"/>
      <c r="GP150" s="105"/>
      <c r="GQ150" s="105"/>
      <c r="GR150" s="105"/>
      <c r="GS150" s="105"/>
      <c r="GT150" s="105"/>
      <c r="GU150" s="105"/>
      <c r="GV150" s="105"/>
      <c r="GW150" s="105"/>
      <c r="GX150" s="105"/>
      <c r="GY150" s="105"/>
      <c r="GZ150" s="105"/>
      <c r="HA150" s="105"/>
      <c r="HB150" s="105"/>
      <c r="HC150" s="105"/>
      <c r="HD150" s="105"/>
      <c r="HE150" s="105"/>
      <c r="HF150" s="105"/>
      <c r="HG150" s="105"/>
      <c r="HH150" s="105"/>
      <c r="HI150" s="105"/>
      <c r="HJ150" s="105"/>
      <c r="HK150" s="105"/>
      <c r="HL150" s="105"/>
      <c r="HM150" s="105"/>
      <c r="HN150" s="105"/>
      <c r="HO150" s="105"/>
      <c r="HP150" s="105"/>
      <c r="HQ150" s="105"/>
      <c r="HR150" s="105"/>
      <c r="HS150" s="105"/>
      <c r="HT150" s="105"/>
      <c r="HU150" s="105"/>
      <c r="HV150" s="105"/>
      <c r="HW150" s="105"/>
      <c r="HX150" s="105"/>
      <c r="HY150" s="105"/>
      <c r="HZ150" s="105"/>
      <c r="IA150" s="105"/>
      <c r="IB150" s="105"/>
      <c r="IC150" s="105"/>
      <c r="ID150" s="105"/>
      <c r="IE150" s="105"/>
      <c r="IF150" s="105"/>
      <c r="IG150" s="105"/>
      <c r="IH150" s="105"/>
      <c r="II150" s="105"/>
      <c r="IJ150" s="105"/>
      <c r="IK150" s="105"/>
      <c r="IL150" s="105"/>
    </row>
    <row r="151" spans="1:246" x14ac:dyDescent="0.3">
      <c r="A151" s="190" t="s">
        <v>851</v>
      </c>
      <c r="B151" s="191"/>
      <c r="C151" s="191"/>
      <c r="D151" s="191"/>
      <c r="E151" s="201">
        <f>SUM(I151:AL151)</f>
        <v>293408054.20894998</v>
      </c>
      <c r="F151" s="192"/>
      <c r="G151" s="192"/>
      <c r="H151" s="192"/>
      <c r="I151" s="192">
        <f>I149*I150</f>
        <v>9498119.8533650823</v>
      </c>
      <c r="J151" s="192">
        <f t="shared" ref="J151:AL151" si="31">J149*J150</f>
        <v>15267893.731352378</v>
      </c>
      <c r="K151" s="192">
        <f t="shared" si="31"/>
        <v>13879903.392138522</v>
      </c>
      <c r="L151" s="192">
        <f t="shared" si="31"/>
        <v>12618093.992853202</v>
      </c>
      <c r="M151" s="192">
        <f t="shared" si="31"/>
        <v>11470994.538957456</v>
      </c>
      <c r="N151" s="192">
        <f t="shared" si="31"/>
        <v>10428176.853597688</v>
      </c>
      <c r="O151" s="192">
        <f t="shared" si="31"/>
        <v>9480160.7759978957</v>
      </c>
      <c r="P151" s="192">
        <f t="shared" si="31"/>
        <v>8618327.9781799056</v>
      </c>
      <c r="Q151" s="192">
        <f t="shared" si="31"/>
        <v>7834843.6165271858</v>
      </c>
      <c r="R151" s="192">
        <f t="shared" si="31"/>
        <v>7122585.105933805</v>
      </c>
      <c r="S151" s="192">
        <f t="shared" si="31"/>
        <v>22505127.978947371</v>
      </c>
      <c r="T151" s="192">
        <f t="shared" si="31"/>
        <v>20459207.25358852</v>
      </c>
      <c r="U151" s="192">
        <f t="shared" si="31"/>
        <v>18599279.321444109</v>
      </c>
      <c r="V151" s="192">
        <f t="shared" si="31"/>
        <v>16908435.746767368</v>
      </c>
      <c r="W151" s="192">
        <f t="shared" si="31"/>
        <v>15371305.22433397</v>
      </c>
      <c r="X151" s="192">
        <f t="shared" si="31"/>
        <v>13973913.840303609</v>
      </c>
      <c r="Y151" s="192">
        <f t="shared" si="31"/>
        <v>12703558.036639644</v>
      </c>
      <c r="Z151" s="192">
        <f t="shared" si="31"/>
        <v>10792798.94426991</v>
      </c>
      <c r="AA151" s="192">
        <f t="shared" si="31"/>
        <v>7602882.2438659715</v>
      </c>
      <c r="AB151" s="192">
        <f t="shared" si="31"/>
        <v>6911667.4622721793</v>
      </c>
      <c r="AC151" s="192">
        <f t="shared" si="31"/>
        <v>6194806.0669683488</v>
      </c>
      <c r="AD151" s="192">
        <f t="shared" si="31"/>
        <v>5551125.7987959664</v>
      </c>
      <c r="AE151" s="192">
        <f t="shared" si="31"/>
        <v>5046477.998905424</v>
      </c>
      <c r="AF151" s="192">
        <f t="shared" si="31"/>
        <v>4587707.2717322037</v>
      </c>
      <c r="AG151" s="192">
        <f t="shared" si="31"/>
        <v>4170642.9743020022</v>
      </c>
      <c r="AH151" s="192">
        <f t="shared" si="31"/>
        <v>3791493.6130018202</v>
      </c>
      <c r="AI151" s="192">
        <f t="shared" si="31"/>
        <v>3446812.3754562</v>
      </c>
      <c r="AJ151" s="192">
        <f t="shared" si="31"/>
        <v>3133465.7958692722</v>
      </c>
      <c r="AK151" s="192">
        <f t="shared" si="31"/>
        <v>2848605.2689720658</v>
      </c>
      <c r="AL151" s="193">
        <f t="shared" si="31"/>
        <v>2589641.1536109685</v>
      </c>
      <c r="AM151" s="178"/>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c r="HF151" s="3"/>
      <c r="HG151" s="3"/>
      <c r="HH151" s="3"/>
      <c r="HI151" s="3"/>
      <c r="HJ151" s="3"/>
      <c r="HK151" s="3"/>
      <c r="HL151" s="3"/>
      <c r="HM151" s="3"/>
      <c r="HN151" s="3"/>
      <c r="HO151" s="3"/>
      <c r="HP151" s="3"/>
      <c r="HQ151" s="3"/>
      <c r="HR151" s="3"/>
      <c r="HS151" s="3"/>
      <c r="HT151" s="3"/>
      <c r="HU151" s="3"/>
      <c r="HV151" s="3"/>
      <c r="HW151" s="3"/>
      <c r="HX151" s="3"/>
      <c r="HY151" s="3"/>
      <c r="HZ151" s="3"/>
      <c r="IA151" s="3"/>
      <c r="IB151" s="3"/>
      <c r="IC151" s="3"/>
      <c r="ID151" s="3"/>
      <c r="IE151" s="3"/>
      <c r="IF151" s="3"/>
      <c r="IG151" s="3"/>
      <c r="IH151" s="3"/>
      <c r="II151" s="3"/>
      <c r="IJ151" s="3"/>
      <c r="IK151" s="3"/>
      <c r="IL151" s="3"/>
    </row>
    <row r="152" spans="1:246" ht="13.8" customHeight="1" x14ac:dyDescent="0.3">
      <c r="A152" s="190" t="s">
        <v>826</v>
      </c>
      <c r="B152" s="191"/>
      <c r="C152" s="191"/>
      <c r="D152" s="191"/>
      <c r="E152" s="191"/>
      <c r="F152" s="192">
        <f>SUM(F123,F122,F127)*F150</f>
        <v>24417244.350605641</v>
      </c>
      <c r="G152" s="192">
        <f>(G127+G122)*G150</f>
        <v>153395714.50256494</v>
      </c>
      <c r="H152" s="192">
        <f>(H122+H127+H124)*H150</f>
        <v>115595095.35577944</v>
      </c>
      <c r="I152" s="192"/>
      <c r="J152" s="192"/>
      <c r="K152" s="192"/>
      <c r="L152" s="192"/>
      <c r="M152" s="192"/>
      <c r="N152" s="192"/>
      <c r="O152" s="192"/>
      <c r="P152" s="192"/>
      <c r="Q152" s="192"/>
      <c r="R152" s="192"/>
      <c r="S152" s="192"/>
      <c r="T152" s="192"/>
      <c r="U152" s="192"/>
      <c r="V152" s="192"/>
      <c r="W152" s="192"/>
      <c r="X152" s="192"/>
      <c r="Y152" s="192"/>
      <c r="Z152" s="192"/>
      <c r="AA152" s="192"/>
      <c r="AB152" s="192"/>
      <c r="AC152" s="192"/>
      <c r="AD152" s="192"/>
      <c r="AE152" s="192"/>
      <c r="AF152" s="192"/>
      <c r="AG152" s="192"/>
      <c r="AH152" s="192"/>
      <c r="AI152" s="192"/>
      <c r="AJ152" s="192"/>
      <c r="AK152" s="192"/>
      <c r="AL152" s="193"/>
      <c r="AM152" s="178"/>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c r="HF152" s="3"/>
      <c r="HG152" s="3"/>
      <c r="HH152" s="3"/>
      <c r="HI152" s="3"/>
      <c r="HJ152" s="3"/>
      <c r="HK152" s="3"/>
      <c r="HL152" s="3"/>
      <c r="HM152" s="3"/>
      <c r="HN152" s="3"/>
      <c r="HO152" s="3"/>
      <c r="HP152" s="3"/>
      <c r="HQ152" s="3"/>
      <c r="HR152" s="3"/>
      <c r="HS152" s="3"/>
      <c r="HT152" s="3"/>
      <c r="HU152" s="3"/>
      <c r="HV152" s="3"/>
      <c r="HW152" s="3"/>
      <c r="HX152" s="3"/>
      <c r="HY152" s="3"/>
      <c r="HZ152" s="3"/>
      <c r="IA152" s="3"/>
      <c r="IB152" s="3"/>
      <c r="IC152" s="3"/>
      <c r="ID152" s="3"/>
      <c r="IE152" s="3"/>
      <c r="IF152" s="3"/>
      <c r="IG152" s="3"/>
      <c r="IH152" s="3"/>
      <c r="II152" s="3"/>
      <c r="IJ152" s="3"/>
      <c r="IK152" s="3"/>
      <c r="IL152" s="3"/>
    </row>
    <row r="153" spans="1:246" s="150" customFormat="1" ht="4.8" customHeight="1" x14ac:dyDescent="0.3">
      <c r="A153" s="207"/>
      <c r="B153" s="208"/>
      <c r="C153" s="208"/>
      <c r="D153" s="208"/>
      <c r="E153" s="208"/>
      <c r="F153" s="209"/>
      <c r="G153" s="209"/>
      <c r="H153" s="209"/>
      <c r="I153" s="209"/>
      <c r="J153" s="209"/>
      <c r="K153" s="209"/>
      <c r="L153" s="209"/>
      <c r="M153" s="209"/>
      <c r="N153" s="209"/>
      <c r="O153" s="209"/>
      <c r="P153" s="209"/>
      <c r="Q153" s="209"/>
      <c r="R153" s="209"/>
      <c r="S153" s="209"/>
      <c r="T153" s="209"/>
      <c r="U153" s="209"/>
      <c r="V153" s="209"/>
      <c r="W153" s="209"/>
      <c r="X153" s="209"/>
      <c r="Y153" s="209"/>
      <c r="Z153" s="209"/>
      <c r="AA153" s="209"/>
      <c r="AB153" s="209"/>
      <c r="AC153" s="209"/>
      <c r="AD153" s="209"/>
      <c r="AE153" s="209"/>
      <c r="AF153" s="209"/>
      <c r="AG153" s="209"/>
      <c r="AH153" s="209"/>
      <c r="AI153" s="209"/>
      <c r="AJ153" s="209"/>
      <c r="AK153" s="209"/>
      <c r="AL153" s="210"/>
      <c r="AM153" s="178"/>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c r="HF153" s="3"/>
      <c r="HG153" s="3"/>
      <c r="HH153" s="3"/>
      <c r="HI153" s="3"/>
      <c r="HJ153" s="3"/>
      <c r="HK153" s="3"/>
      <c r="HL153" s="3"/>
      <c r="HM153" s="3"/>
      <c r="HN153" s="3"/>
      <c r="HO153" s="3"/>
      <c r="HP153" s="3"/>
      <c r="HQ153" s="3"/>
      <c r="HR153" s="3"/>
      <c r="HS153" s="3"/>
      <c r="HT153" s="3"/>
      <c r="HU153" s="3"/>
      <c r="HV153" s="3"/>
      <c r="HW153" s="3"/>
      <c r="HX153" s="3"/>
      <c r="HY153" s="3"/>
      <c r="HZ153" s="3"/>
      <c r="IA153" s="3"/>
      <c r="IB153" s="3"/>
      <c r="IC153" s="3"/>
      <c r="ID153" s="3"/>
      <c r="IE153" s="3"/>
      <c r="IF153" s="3"/>
      <c r="IG153" s="3"/>
      <c r="IH153" s="3"/>
      <c r="II153" s="3"/>
      <c r="IJ153" s="3"/>
      <c r="IK153" s="3"/>
      <c r="IL153" s="3"/>
    </row>
    <row r="154" spans="1:246" x14ac:dyDescent="0.3">
      <c r="A154" s="190" t="s">
        <v>827</v>
      </c>
      <c r="B154" s="191"/>
      <c r="C154" s="191"/>
      <c r="D154" s="191"/>
      <c r="E154" s="201">
        <f>SUM(I154:AL154)</f>
        <v>23569770.807051651</v>
      </c>
      <c r="F154" s="192"/>
      <c r="G154" s="192"/>
      <c r="H154" s="192"/>
      <c r="I154" s="192">
        <f>I150*I147</f>
        <v>0</v>
      </c>
      <c r="J154" s="192">
        <f t="shared" ref="J154:AL154" si="32">J150*J147</f>
        <v>0</v>
      </c>
      <c r="K154" s="192">
        <f t="shared" si="32"/>
        <v>0</v>
      </c>
      <c r="L154" s="192">
        <f t="shared" si="32"/>
        <v>0</v>
      </c>
      <c r="M154" s="192">
        <f t="shared" si="32"/>
        <v>0</v>
      </c>
      <c r="N154" s="192">
        <f t="shared" si="32"/>
        <v>0</v>
      </c>
      <c r="O154" s="192">
        <f t="shared" si="32"/>
        <v>0</v>
      </c>
      <c r="P154" s="192">
        <f t="shared" si="32"/>
        <v>0</v>
      </c>
      <c r="Q154" s="192">
        <f t="shared" si="32"/>
        <v>0</v>
      </c>
      <c r="R154" s="192">
        <f t="shared" si="32"/>
        <v>0</v>
      </c>
      <c r="S154" s="192">
        <f t="shared" si="32"/>
        <v>0</v>
      </c>
      <c r="T154" s="192">
        <f t="shared" si="32"/>
        <v>0</v>
      </c>
      <c r="U154" s="192">
        <f t="shared" si="32"/>
        <v>0</v>
      </c>
      <c r="V154" s="192">
        <f t="shared" si="32"/>
        <v>0</v>
      </c>
      <c r="W154" s="192">
        <f t="shared" si="32"/>
        <v>0</v>
      </c>
      <c r="X154" s="192">
        <f t="shared" si="32"/>
        <v>0</v>
      </c>
      <c r="Y154" s="192">
        <f t="shared" si="32"/>
        <v>0</v>
      </c>
      <c r="Z154" s="192">
        <f t="shared" si="32"/>
        <v>755890.17994794587</v>
      </c>
      <c r="AA154" s="192">
        <f t="shared" si="32"/>
        <v>2895926.0508775311</v>
      </c>
      <c r="AB154" s="192">
        <f t="shared" si="32"/>
        <v>2632703.7147673718</v>
      </c>
      <c r="AC154" s="192">
        <f t="shared" si="32"/>
        <v>2481895.0030676043</v>
      </c>
      <c r="AD154" s="192">
        <f t="shared" si="32"/>
        <v>2336784.2648730809</v>
      </c>
      <c r="AE154" s="192">
        <f t="shared" si="32"/>
        <v>2124349.3317028005</v>
      </c>
      <c r="AF154" s="192">
        <f t="shared" si="32"/>
        <v>1931226.6651843644</v>
      </c>
      <c r="AG154" s="192">
        <f t="shared" si="32"/>
        <v>1755660.6047130581</v>
      </c>
      <c r="AH154" s="192">
        <f t="shared" si="32"/>
        <v>1596055.0951936892</v>
      </c>
      <c r="AI154" s="192">
        <f t="shared" si="32"/>
        <v>1450959.1774488082</v>
      </c>
      <c r="AJ154" s="192">
        <f t="shared" si="32"/>
        <v>1319053.7976807347</v>
      </c>
      <c r="AK154" s="192">
        <f t="shared" si="32"/>
        <v>1199139.8160733951</v>
      </c>
      <c r="AL154" s="193">
        <f t="shared" si="32"/>
        <v>1090127.1055212682</v>
      </c>
      <c r="AM154" s="178"/>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c r="HF154" s="3"/>
      <c r="HG154" s="3"/>
      <c r="HH154" s="3"/>
      <c r="HI154" s="3"/>
      <c r="HJ154" s="3"/>
      <c r="HK154" s="3"/>
      <c r="HL154" s="3"/>
      <c r="HM154" s="3"/>
      <c r="HN154" s="3"/>
      <c r="HO154" s="3"/>
      <c r="HP154" s="3"/>
      <c r="HQ154" s="3"/>
      <c r="HR154" s="3"/>
      <c r="HS154" s="3"/>
      <c r="HT154" s="3"/>
      <c r="HU154" s="3"/>
      <c r="HV154" s="3"/>
      <c r="HW154" s="3"/>
      <c r="HX154" s="3"/>
      <c r="HY154" s="3"/>
      <c r="HZ154" s="3"/>
      <c r="IA154" s="3"/>
      <c r="IB154" s="3"/>
      <c r="IC154" s="3"/>
      <c r="ID154" s="3"/>
      <c r="IE154" s="3"/>
      <c r="IF154" s="3"/>
      <c r="IG154" s="3"/>
      <c r="IH154" s="3"/>
      <c r="II154" s="3"/>
      <c r="IJ154" s="3"/>
      <c r="IK154" s="3"/>
      <c r="IL154" s="3"/>
    </row>
    <row r="155" spans="1:246" x14ac:dyDescent="0.3">
      <c r="A155" s="190" t="s">
        <v>828</v>
      </c>
      <c r="B155" s="191"/>
      <c r="C155" s="191"/>
      <c r="D155" s="191"/>
      <c r="E155" s="201">
        <f t="shared" ref="E155:E156" si="33">SUM(I155:AL155)</f>
        <v>1776141305.0211213</v>
      </c>
      <c r="F155" s="192"/>
      <c r="G155" s="192"/>
      <c r="H155" s="192"/>
      <c r="I155" s="192">
        <f>I150*I132</f>
        <v>151701652.06815016</v>
      </c>
      <c r="J155" s="192">
        <f t="shared" ref="J155:AL155" si="34">J150*J132</f>
        <v>157612106.04483134</v>
      </c>
      <c r="K155" s="192">
        <f t="shared" si="34"/>
        <v>143283732.76802847</v>
      </c>
      <c r="L155" s="192">
        <f t="shared" si="34"/>
        <v>130257938.88002588</v>
      </c>
      <c r="M155" s="192">
        <f t="shared" si="34"/>
        <v>118416308.07275078</v>
      </c>
      <c r="N155" s="192">
        <f t="shared" si="34"/>
        <v>107651189.15704617</v>
      </c>
      <c r="O155" s="192">
        <f t="shared" si="34"/>
        <v>97864717.415496498</v>
      </c>
      <c r="P155" s="192">
        <f t="shared" si="34"/>
        <v>88967924.923178628</v>
      </c>
      <c r="Q155" s="192">
        <f t="shared" si="34"/>
        <v>80879931.748344213</v>
      </c>
      <c r="R155" s="192">
        <f t="shared" si="34"/>
        <v>73527210.680312917</v>
      </c>
      <c r="S155" s="192">
        <f t="shared" si="34"/>
        <v>66842918.800284453</v>
      </c>
      <c r="T155" s="192">
        <f t="shared" si="34"/>
        <v>60766289.818440415</v>
      </c>
      <c r="U155" s="192">
        <f t="shared" si="34"/>
        <v>55242081.653127655</v>
      </c>
      <c r="V155" s="192">
        <f t="shared" si="34"/>
        <v>50220074.230116032</v>
      </c>
      <c r="W155" s="192">
        <f t="shared" si="34"/>
        <v>45654612.936469123</v>
      </c>
      <c r="X155" s="192">
        <f t="shared" si="34"/>
        <v>41504193.578608289</v>
      </c>
      <c r="Y155" s="192">
        <f t="shared" si="34"/>
        <v>37731085.07146208</v>
      </c>
      <c r="Z155" s="192">
        <f t="shared" si="34"/>
        <v>34300986.428601891</v>
      </c>
      <c r="AA155" s="192">
        <f t="shared" si="34"/>
        <v>31182714.935092617</v>
      </c>
      <c r="AB155" s="192">
        <f t="shared" si="34"/>
        <v>28347922.668266021</v>
      </c>
      <c r="AC155" s="192">
        <f t="shared" si="34"/>
        <v>25770838.789332744</v>
      </c>
      <c r="AD155" s="192">
        <f t="shared" si="34"/>
        <v>23428035.263029762</v>
      </c>
      <c r="AE155" s="192">
        <f t="shared" si="34"/>
        <v>21298213.875481602</v>
      </c>
      <c r="AF155" s="192">
        <f t="shared" si="34"/>
        <v>19362012.614074185</v>
      </c>
      <c r="AG155" s="192">
        <f t="shared" si="34"/>
        <v>17601829.649158347</v>
      </c>
      <c r="AH155" s="192">
        <f t="shared" si="34"/>
        <v>16001663.317416677</v>
      </c>
      <c r="AI155" s="192">
        <f t="shared" si="34"/>
        <v>14546966.652196979</v>
      </c>
      <c r="AJ155" s="192">
        <f t="shared" si="34"/>
        <v>13224515.138360888</v>
      </c>
      <c r="AK155" s="192">
        <f t="shared" si="34"/>
        <v>12022286.489418989</v>
      </c>
      <c r="AL155" s="192">
        <f t="shared" si="34"/>
        <v>10929351.354017261</v>
      </c>
      <c r="AM155" s="178"/>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c r="HF155" s="3"/>
      <c r="HG155" s="3"/>
      <c r="HH155" s="3"/>
      <c r="HI155" s="3"/>
      <c r="HJ155" s="3"/>
      <c r="HK155" s="3"/>
      <c r="HL155" s="3"/>
      <c r="HM155" s="3"/>
      <c r="HN155" s="3"/>
      <c r="HO155" s="3"/>
      <c r="HP155" s="3"/>
      <c r="HQ155" s="3"/>
      <c r="HR155" s="3"/>
      <c r="HS155" s="3"/>
      <c r="HT155" s="3"/>
      <c r="HU155" s="3"/>
      <c r="HV155" s="3"/>
      <c r="HW155" s="3"/>
      <c r="HX155" s="3"/>
      <c r="HY155" s="3"/>
      <c r="HZ155" s="3"/>
      <c r="IA155" s="3"/>
      <c r="IB155" s="3"/>
      <c r="IC155" s="3"/>
      <c r="ID155" s="3"/>
      <c r="IE155" s="3"/>
      <c r="IF155" s="3"/>
      <c r="IG155" s="3"/>
      <c r="IH155" s="3"/>
      <c r="II155" s="3"/>
      <c r="IJ155" s="3"/>
      <c r="IK155" s="3"/>
      <c r="IL155" s="3"/>
    </row>
    <row r="156" spans="1:246" x14ac:dyDescent="0.3">
      <c r="A156" s="190" t="s">
        <v>829</v>
      </c>
      <c r="B156" s="191"/>
      <c r="C156" s="191"/>
      <c r="D156" s="191"/>
      <c r="E156" s="201">
        <f t="shared" si="33"/>
        <v>1178137984.7647829</v>
      </c>
      <c r="F156" s="192"/>
      <c r="G156" s="192"/>
      <c r="H156" s="192"/>
      <c r="I156" s="192">
        <f>I150*I134</f>
        <v>100625709.31029236</v>
      </c>
      <c r="J156" s="192">
        <f t="shared" ref="J156:AL156" si="35">J150*J134</f>
        <v>104546191.49121284</v>
      </c>
      <c r="K156" s="192">
        <f t="shared" si="35"/>
        <v>95041992.264738932</v>
      </c>
      <c r="L156" s="192">
        <f t="shared" si="35"/>
        <v>86401811.149762675</v>
      </c>
      <c r="M156" s="192">
        <f t="shared" si="35"/>
        <v>78547101.045238778</v>
      </c>
      <c r="N156" s="192">
        <f t="shared" si="35"/>
        <v>71406455.49567163</v>
      </c>
      <c r="O156" s="192">
        <f t="shared" si="35"/>
        <v>64914959.541519642</v>
      </c>
      <c r="P156" s="192">
        <f t="shared" si="35"/>
        <v>59013599.58319968</v>
      </c>
      <c r="Q156" s="192">
        <f t="shared" si="35"/>
        <v>53648726.893817887</v>
      </c>
      <c r="R156" s="192">
        <f t="shared" si="35"/>
        <v>48771569.903470799</v>
      </c>
      <c r="S156" s="192">
        <f t="shared" si="35"/>
        <v>44337790.821337089</v>
      </c>
      <c r="T156" s="192">
        <f t="shared" si="35"/>
        <v>40307082.564851895</v>
      </c>
      <c r="U156" s="192">
        <f t="shared" si="35"/>
        <v>36642802.331683546</v>
      </c>
      <c r="V156" s="192">
        <f t="shared" si="35"/>
        <v>33311638.483348668</v>
      </c>
      <c r="W156" s="192">
        <f t="shared" si="35"/>
        <v>30283307.712135151</v>
      </c>
      <c r="X156" s="192">
        <f t="shared" si="35"/>
        <v>27530279.738304682</v>
      </c>
      <c r="Y156" s="192">
        <f t="shared" si="35"/>
        <v>25027527.034822438</v>
      </c>
      <c r="Z156" s="192">
        <f t="shared" si="35"/>
        <v>22752297.30438403</v>
      </c>
      <c r="AA156" s="192">
        <f t="shared" si="35"/>
        <v>20683906.640349116</v>
      </c>
      <c r="AB156" s="192">
        <f t="shared" si="35"/>
        <v>18803551.491226472</v>
      </c>
      <c r="AC156" s="192">
        <f t="shared" si="35"/>
        <v>17094137.719296791</v>
      </c>
      <c r="AD156" s="192">
        <f t="shared" si="35"/>
        <v>15540125.199360715</v>
      </c>
      <c r="AE156" s="192">
        <f t="shared" si="35"/>
        <v>14127386.544873377</v>
      </c>
      <c r="AF156" s="192">
        <f t="shared" si="35"/>
        <v>12843078.677157618</v>
      </c>
      <c r="AG156" s="192">
        <f t="shared" si="35"/>
        <v>11675526.070143284</v>
      </c>
      <c r="AH156" s="192">
        <f t="shared" si="35"/>
        <v>10614114.609221168</v>
      </c>
      <c r="AI156" s="192">
        <f t="shared" si="35"/>
        <v>9649195.099291971</v>
      </c>
      <c r="AJ156" s="192">
        <f t="shared" si="35"/>
        <v>8771995.5448108818</v>
      </c>
      <c r="AK156" s="192">
        <f t="shared" si="35"/>
        <v>7974541.4043735284</v>
      </c>
      <c r="AL156" s="193">
        <f t="shared" si="35"/>
        <v>7249583.0948850252</v>
      </c>
      <c r="AM156" s="178"/>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c r="HF156" s="3"/>
      <c r="HG156" s="3"/>
      <c r="HH156" s="3"/>
      <c r="HI156" s="3"/>
      <c r="HJ156" s="3"/>
      <c r="HK156" s="3"/>
      <c r="HL156" s="3"/>
      <c r="HM156" s="3"/>
      <c r="HN156" s="3"/>
      <c r="HO156" s="3"/>
      <c r="HP156" s="3"/>
      <c r="HQ156" s="3"/>
      <c r="HR156" s="3"/>
      <c r="HS156" s="3"/>
      <c r="HT156" s="3"/>
      <c r="HU156" s="3"/>
      <c r="HV156" s="3"/>
      <c r="HW156" s="3"/>
      <c r="HX156" s="3"/>
      <c r="HY156" s="3"/>
      <c r="HZ156" s="3"/>
      <c r="IA156" s="3"/>
      <c r="IB156" s="3"/>
      <c r="IC156" s="3"/>
      <c r="ID156" s="3"/>
      <c r="IE156" s="3"/>
      <c r="IF156" s="3"/>
      <c r="IG156" s="3"/>
      <c r="IH156" s="3"/>
      <c r="II156" s="3"/>
      <c r="IJ156" s="3"/>
      <c r="IK156" s="3"/>
      <c r="IL156" s="3"/>
    </row>
    <row r="157" spans="1:246" x14ac:dyDescent="0.3">
      <c r="A157" s="190" t="s">
        <v>835</v>
      </c>
      <c r="B157" s="191"/>
      <c r="C157" s="191"/>
      <c r="D157" s="191"/>
      <c r="E157" s="213">
        <f>SUM(F157:H157)</f>
        <v>220305838.37009436</v>
      </c>
      <c r="F157" s="212">
        <f>F150*F122</f>
        <v>19804611.027326465</v>
      </c>
      <c r="G157" s="212">
        <f>G150*G122</f>
        <v>135031438.82268041</v>
      </c>
      <c r="H157" s="212">
        <f>H150*H122</f>
        <v>65469788.520087473</v>
      </c>
      <c r="I157" s="191"/>
      <c r="J157" s="191"/>
      <c r="K157" s="191"/>
      <c r="L157" s="191"/>
      <c r="M157" s="191"/>
      <c r="N157" s="191"/>
      <c r="O157" s="191"/>
      <c r="P157" s="191"/>
      <c r="Q157" s="191"/>
      <c r="R157" s="191"/>
      <c r="S157" s="191"/>
      <c r="T157" s="191"/>
      <c r="U157" s="191"/>
      <c r="V157" s="191"/>
      <c r="W157" s="191"/>
      <c r="X157" s="191"/>
      <c r="Y157" s="191"/>
      <c r="Z157" s="191"/>
      <c r="AA157" s="191"/>
      <c r="AB157" s="191"/>
      <c r="AC157" s="191"/>
      <c r="AD157" s="191"/>
      <c r="AE157" s="191"/>
      <c r="AF157" s="191"/>
      <c r="AG157" s="191"/>
      <c r="AH157" s="191"/>
      <c r="AI157" s="191"/>
      <c r="AJ157" s="191"/>
      <c r="AK157" s="191"/>
      <c r="AL157" s="206"/>
      <c r="AM157" s="178"/>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c r="HF157" s="3"/>
      <c r="HG157" s="3"/>
      <c r="HH157" s="3"/>
      <c r="HI157" s="3"/>
      <c r="HJ157" s="3"/>
      <c r="HK157" s="3"/>
      <c r="HL157" s="3"/>
      <c r="HM157" s="3"/>
      <c r="HN157" s="3"/>
      <c r="HO157" s="3"/>
      <c r="HP157" s="3"/>
      <c r="HQ157" s="3"/>
      <c r="HR157" s="3"/>
      <c r="HS157" s="3"/>
      <c r="HT157" s="3"/>
      <c r="HU157" s="3"/>
      <c r="HV157" s="3"/>
      <c r="HW157" s="3"/>
      <c r="HX157" s="3"/>
      <c r="HY157" s="3"/>
      <c r="HZ157" s="3"/>
      <c r="IA157" s="3"/>
      <c r="IB157" s="3"/>
      <c r="IC157" s="3"/>
      <c r="ID157" s="3"/>
      <c r="IE157" s="3"/>
      <c r="IF157" s="3"/>
      <c r="IG157" s="3"/>
      <c r="IH157" s="3"/>
      <c r="II157" s="3"/>
      <c r="IJ157" s="3"/>
      <c r="IK157" s="3"/>
      <c r="IL157" s="3"/>
    </row>
    <row r="158" spans="1:246" ht="15" thickBot="1" x14ac:dyDescent="0.35">
      <c r="A158" s="202" t="s">
        <v>836</v>
      </c>
      <c r="B158" s="203"/>
      <c r="C158" s="203"/>
      <c r="D158" s="203"/>
      <c r="E158" s="229">
        <f>F158</f>
        <v>2236080.0000000005</v>
      </c>
      <c r="F158" s="204">
        <f>F150*F123</f>
        <v>2236080.0000000005</v>
      </c>
      <c r="G158" s="204"/>
      <c r="H158" s="204"/>
      <c r="I158" s="204"/>
      <c r="J158" s="204"/>
      <c r="K158" s="204"/>
      <c r="L158" s="204"/>
      <c r="M158" s="204"/>
      <c r="N158" s="204"/>
      <c r="O158" s="204"/>
      <c r="P158" s="204"/>
      <c r="Q158" s="204"/>
      <c r="R158" s="204"/>
      <c r="S158" s="204"/>
      <c r="T158" s="204"/>
      <c r="U158" s="204"/>
      <c r="V158" s="204"/>
      <c r="W158" s="204"/>
      <c r="X158" s="204"/>
      <c r="Y158" s="204"/>
      <c r="Z158" s="204"/>
      <c r="AA158" s="204"/>
      <c r="AB158" s="204"/>
      <c r="AC158" s="204"/>
      <c r="AD158" s="204"/>
      <c r="AE158" s="204"/>
      <c r="AF158" s="204"/>
      <c r="AG158" s="204"/>
      <c r="AH158" s="204"/>
      <c r="AI158" s="204"/>
      <c r="AJ158" s="204"/>
      <c r="AK158" s="204"/>
      <c r="AL158" s="205"/>
      <c r="AM158" s="178"/>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c r="HF158" s="3"/>
      <c r="HG158" s="3"/>
      <c r="HH158" s="3"/>
      <c r="HI158" s="3"/>
      <c r="HJ158" s="3"/>
      <c r="HK158" s="3"/>
      <c r="HL158" s="3"/>
      <c r="HM158" s="3"/>
      <c r="HN158" s="3"/>
      <c r="HO158" s="3"/>
      <c r="HP158" s="3"/>
      <c r="HQ158" s="3"/>
      <c r="HR158" s="3"/>
      <c r="HS158" s="3"/>
      <c r="HT158" s="3"/>
      <c r="HU158" s="3"/>
      <c r="HV158" s="3"/>
      <c r="HW158" s="3"/>
      <c r="HX158" s="3"/>
      <c r="HY158" s="3"/>
      <c r="HZ158" s="3"/>
      <c r="IA158" s="3"/>
      <c r="IB158" s="3"/>
      <c r="IC158" s="3"/>
      <c r="ID158" s="3"/>
      <c r="IE158" s="3"/>
      <c r="IF158" s="3"/>
      <c r="IG158" s="3"/>
      <c r="IH158" s="3"/>
      <c r="II158" s="3"/>
      <c r="IJ158" s="3"/>
      <c r="IK158" s="3"/>
      <c r="IL158" s="3"/>
    </row>
    <row r="159" spans="1:246" x14ac:dyDescent="0.3">
      <c r="F159" s="141"/>
      <c r="G159" s="141"/>
      <c r="H159" s="141"/>
      <c r="I159" s="141"/>
      <c r="J159" s="141"/>
      <c r="K159" s="141"/>
      <c r="L159" s="141"/>
      <c r="M159" s="141"/>
      <c r="N159" s="141"/>
      <c r="O159" s="141"/>
      <c r="P159" s="141"/>
      <c r="Q159" s="141"/>
      <c r="R159" s="141"/>
      <c r="S159" s="141"/>
      <c r="T159" s="141"/>
      <c r="U159" s="141"/>
      <c r="V159" s="141"/>
      <c r="W159" s="141"/>
      <c r="X159" s="141"/>
      <c r="Y159" s="141"/>
      <c r="Z159" s="141"/>
      <c r="AA159" s="141"/>
      <c r="AB159" s="141"/>
      <c r="AC159" s="141"/>
      <c r="AD159" s="141"/>
      <c r="AE159" s="141"/>
      <c r="AF159" s="141"/>
      <c r="AG159" s="141"/>
      <c r="AH159" s="141"/>
      <c r="AI159" s="141"/>
      <c r="AJ159" s="141"/>
      <c r="AK159" s="141"/>
      <c r="AL159" s="141"/>
      <c r="AM159" s="178"/>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c r="HF159" s="3"/>
      <c r="HG159" s="3"/>
      <c r="HH159" s="3"/>
      <c r="HI159" s="3"/>
      <c r="HJ159" s="3"/>
      <c r="HK159" s="3"/>
      <c r="HL159" s="3"/>
      <c r="HM159" s="3"/>
      <c r="HN159" s="3"/>
      <c r="HO159" s="3"/>
      <c r="HP159" s="3"/>
      <c r="HQ159" s="3"/>
      <c r="HR159" s="3"/>
      <c r="HS159" s="3"/>
      <c r="HT159" s="3"/>
      <c r="HU159" s="3"/>
      <c r="HV159" s="3"/>
      <c r="HW159" s="3"/>
      <c r="HX159" s="3"/>
      <c r="HY159" s="3"/>
      <c r="HZ159" s="3"/>
      <c r="IA159" s="3"/>
      <c r="IB159" s="3"/>
      <c r="IC159" s="3"/>
      <c r="ID159" s="3"/>
      <c r="IE159" s="3"/>
      <c r="IF159" s="3"/>
      <c r="IG159" s="3"/>
      <c r="IH159" s="3"/>
      <c r="II159" s="3"/>
      <c r="IJ159" s="3"/>
      <c r="IK159" s="3"/>
      <c r="IL159" s="3"/>
    </row>
    <row r="160" spans="1:246" x14ac:dyDescent="0.3">
      <c r="F160" s="141">
        <f>F126*F150</f>
        <v>0</v>
      </c>
      <c r="G160" s="141">
        <f t="shared" ref="G160:S160" si="36">G126*G150</f>
        <v>0</v>
      </c>
      <c r="H160" s="141">
        <f t="shared" si="36"/>
        <v>0</v>
      </c>
      <c r="I160" s="141">
        <f t="shared" si="36"/>
        <v>41577822.904492714</v>
      </c>
      <c r="J160" s="141">
        <f t="shared" si="36"/>
        <v>37798020.822266102</v>
      </c>
      <c r="K160" s="141">
        <f t="shared" si="36"/>
        <v>34361837.111150995</v>
      </c>
      <c r="L160" s="141">
        <f t="shared" si="36"/>
        <v>31238033.737409998</v>
      </c>
      <c r="M160" s="141">
        <f t="shared" si="36"/>
        <v>28398212.488554541</v>
      </c>
      <c r="N160" s="141">
        <f t="shared" si="36"/>
        <v>25816556.807776853</v>
      </c>
      <c r="O160" s="141">
        <f t="shared" si="36"/>
        <v>23469597.097978953</v>
      </c>
      <c r="P160" s="141">
        <f t="shared" si="36"/>
        <v>21335997.36179905</v>
      </c>
      <c r="Q160" s="141">
        <f t="shared" si="36"/>
        <v>19396361.237999134</v>
      </c>
      <c r="R160" s="141">
        <f t="shared" si="36"/>
        <v>17633055.670908302</v>
      </c>
      <c r="S160" s="141">
        <f t="shared" si="36"/>
        <v>0</v>
      </c>
      <c r="T160" s="141"/>
      <c r="U160" s="141"/>
      <c r="V160" s="141"/>
      <c r="W160" s="141"/>
      <c r="X160" s="141"/>
      <c r="Y160" s="141"/>
      <c r="Z160" s="141"/>
      <c r="AA160" s="141"/>
      <c r="AB160" s="141"/>
      <c r="AC160" s="141"/>
      <c r="AD160" s="141"/>
      <c r="AE160" s="141"/>
      <c r="AF160" s="141"/>
      <c r="AG160" s="141"/>
      <c r="AH160" s="141"/>
      <c r="AI160" s="141"/>
      <c r="AJ160" s="141"/>
      <c r="AK160" s="141"/>
      <c r="AL160" s="141"/>
      <c r="AM160" s="178"/>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c r="HF160" s="3"/>
      <c r="HG160" s="3"/>
      <c r="HH160" s="3"/>
      <c r="HI160" s="3"/>
      <c r="HJ160" s="3"/>
      <c r="HK160" s="3"/>
      <c r="HL160" s="3"/>
      <c r="HM160" s="3"/>
      <c r="HN160" s="3"/>
      <c r="HO160" s="3"/>
      <c r="HP160" s="3"/>
      <c r="HQ160" s="3"/>
      <c r="HR160" s="3"/>
      <c r="HS160" s="3"/>
      <c r="HT160" s="3"/>
      <c r="HU160" s="3"/>
      <c r="HV160" s="3"/>
      <c r="HW160" s="3"/>
      <c r="HX160" s="3"/>
      <c r="HY160" s="3"/>
      <c r="HZ160" s="3"/>
      <c r="IA160" s="3"/>
      <c r="IB160" s="3"/>
      <c r="IC160" s="3"/>
      <c r="ID160" s="3"/>
      <c r="IE160" s="3"/>
      <c r="IF160" s="3"/>
      <c r="IG160" s="3"/>
      <c r="IH160" s="3"/>
      <c r="II160" s="3"/>
      <c r="IJ160" s="3"/>
      <c r="IK160" s="3"/>
      <c r="IL160" s="3"/>
    </row>
    <row r="161" spans="1:246" x14ac:dyDescent="0.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c r="HF161" s="3"/>
      <c r="HG161" s="3"/>
      <c r="HH161" s="3"/>
      <c r="HI161" s="3"/>
      <c r="HJ161" s="3"/>
      <c r="HK161" s="3"/>
      <c r="HL161" s="3"/>
      <c r="HM161" s="3"/>
      <c r="HN161" s="3"/>
      <c r="HO161" s="3"/>
      <c r="HP161" s="3"/>
      <c r="HQ161" s="3"/>
      <c r="HR161" s="3"/>
      <c r="HS161" s="3"/>
      <c r="HT161" s="3"/>
      <c r="HU161" s="3"/>
      <c r="HV161" s="3"/>
      <c r="HW161" s="3"/>
      <c r="HX161" s="3"/>
      <c r="HY161" s="3"/>
      <c r="HZ161" s="3"/>
      <c r="IA161" s="3"/>
      <c r="IB161" s="3"/>
      <c r="IC161" s="3"/>
      <c r="ID161" s="3"/>
      <c r="IE161" s="3"/>
      <c r="IF161" s="3"/>
      <c r="IG161" s="3"/>
      <c r="IH161" s="3"/>
      <c r="II161" s="3"/>
      <c r="IJ161" s="3"/>
      <c r="IK161" s="3"/>
      <c r="IL161" s="3"/>
    </row>
    <row r="162" spans="1:246" x14ac:dyDescent="0.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c r="HF162" s="3"/>
      <c r="HG162" s="3"/>
      <c r="HH162" s="3"/>
      <c r="HI162" s="3"/>
      <c r="HJ162" s="3"/>
      <c r="HK162" s="3"/>
      <c r="HL162" s="3"/>
      <c r="HM162" s="3"/>
      <c r="HN162" s="3"/>
      <c r="HO162" s="3"/>
      <c r="HP162" s="3"/>
      <c r="HQ162" s="3"/>
      <c r="HR162" s="3"/>
      <c r="HS162" s="3"/>
      <c r="HT162" s="3"/>
      <c r="HU162" s="3"/>
      <c r="HV162" s="3"/>
      <c r="HW162" s="3"/>
      <c r="HX162" s="3"/>
      <c r="HY162" s="3"/>
      <c r="HZ162" s="3"/>
      <c r="IA162" s="3"/>
      <c r="IB162" s="3"/>
      <c r="IC162" s="3"/>
      <c r="ID162" s="3"/>
      <c r="IE162" s="3"/>
      <c r="IF162" s="3"/>
      <c r="IG162" s="3"/>
      <c r="IH162" s="3"/>
      <c r="II162" s="3"/>
      <c r="IJ162" s="3"/>
      <c r="IK162" s="3"/>
      <c r="IL162" s="3"/>
    </row>
    <row r="163" spans="1:246" x14ac:dyDescent="0.3">
      <c r="A163" s="4" t="s">
        <v>840</v>
      </c>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c r="HF163" s="3"/>
      <c r="HG163" s="3"/>
      <c r="HH163" s="3"/>
      <c r="HI163" s="3"/>
      <c r="HJ163" s="3"/>
      <c r="HK163" s="3"/>
      <c r="HL163" s="3"/>
      <c r="HM163" s="3"/>
      <c r="HN163" s="3"/>
      <c r="HO163" s="3"/>
      <c r="HP163" s="3"/>
      <c r="HQ163" s="3"/>
      <c r="HR163" s="3"/>
      <c r="HS163" s="3"/>
      <c r="HT163" s="3"/>
      <c r="HU163" s="3"/>
      <c r="HV163" s="3"/>
      <c r="HW163" s="3"/>
      <c r="HX163" s="3"/>
      <c r="HY163" s="3"/>
      <c r="HZ163" s="3"/>
      <c r="IA163" s="3"/>
      <c r="IB163" s="3"/>
      <c r="IC163" s="3"/>
      <c r="ID163" s="3"/>
      <c r="IE163" s="3"/>
      <c r="IF163" s="3"/>
      <c r="IG163" s="3"/>
      <c r="IH163" s="3"/>
      <c r="II163" s="3"/>
      <c r="IJ163" s="3"/>
      <c r="IK163" s="3"/>
      <c r="IL163" s="3"/>
    </row>
    <row r="164" spans="1:246" ht="15" thickBot="1" x14ac:dyDescent="0.35">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c r="HF164" s="3"/>
      <c r="HG164" s="3"/>
      <c r="HH164" s="3"/>
      <c r="HI164" s="3"/>
      <c r="HJ164" s="3"/>
      <c r="HK164" s="3"/>
      <c r="HL164" s="3"/>
      <c r="HM164" s="3"/>
      <c r="HN164" s="3"/>
      <c r="HO164" s="3"/>
      <c r="HP164" s="3"/>
      <c r="HQ164" s="3"/>
      <c r="HR164" s="3"/>
      <c r="HS164" s="3"/>
      <c r="HT164" s="3"/>
      <c r="HU164" s="3"/>
      <c r="HV164" s="3"/>
      <c r="HW164" s="3"/>
      <c r="HX164" s="3"/>
      <c r="HY164" s="3"/>
      <c r="HZ164" s="3"/>
      <c r="IA164" s="3"/>
      <c r="IB164" s="3"/>
      <c r="IC164" s="3"/>
      <c r="ID164" s="3"/>
      <c r="IE164" s="3"/>
      <c r="IF164" s="3"/>
      <c r="IG164" s="3"/>
      <c r="IH164" s="3"/>
      <c r="II164" s="3"/>
      <c r="IJ164" s="3"/>
      <c r="IK164" s="3"/>
      <c r="IL164" s="3"/>
    </row>
    <row r="165" spans="1:246" x14ac:dyDescent="0.3">
      <c r="A165" s="4" t="s">
        <v>810</v>
      </c>
      <c r="B165" s="188">
        <v>-2</v>
      </c>
      <c r="C165" s="188">
        <v>-1</v>
      </c>
      <c r="D165" s="188">
        <v>0</v>
      </c>
      <c r="E165" s="188">
        <v>1</v>
      </c>
      <c r="F165" s="188">
        <v>2</v>
      </c>
      <c r="G165" s="188">
        <v>3</v>
      </c>
      <c r="H165" s="188">
        <v>4</v>
      </c>
      <c r="I165" s="188">
        <v>5</v>
      </c>
      <c r="J165" s="188">
        <v>6</v>
      </c>
      <c r="K165" s="188">
        <v>7</v>
      </c>
      <c r="L165" s="188">
        <v>8</v>
      </c>
      <c r="M165" s="188">
        <v>9</v>
      </c>
      <c r="N165" s="188">
        <v>10</v>
      </c>
      <c r="O165" s="188">
        <v>11</v>
      </c>
      <c r="P165" s="188">
        <v>12</v>
      </c>
      <c r="Q165" s="188">
        <v>13</v>
      </c>
      <c r="R165" s="188">
        <v>14</v>
      </c>
      <c r="S165" s="188">
        <v>15</v>
      </c>
      <c r="T165" s="188">
        <v>16</v>
      </c>
      <c r="U165" s="188">
        <v>17</v>
      </c>
      <c r="V165" s="188">
        <v>18</v>
      </c>
      <c r="W165" s="188">
        <v>19</v>
      </c>
      <c r="X165" s="188">
        <v>20</v>
      </c>
      <c r="Y165" s="188">
        <v>21</v>
      </c>
      <c r="Z165" s="188">
        <v>22</v>
      </c>
      <c r="AA165" s="188">
        <v>23</v>
      </c>
      <c r="AB165" s="188">
        <v>24</v>
      </c>
      <c r="AC165" s="188">
        <v>25</v>
      </c>
      <c r="AD165" s="188">
        <v>26</v>
      </c>
      <c r="AE165" s="188">
        <v>27</v>
      </c>
      <c r="AF165" s="188">
        <v>28</v>
      </c>
      <c r="AG165" s="188">
        <v>29</v>
      </c>
      <c r="AH165" s="189">
        <v>30</v>
      </c>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c r="HF165" s="3"/>
      <c r="HG165" s="3"/>
      <c r="HH165" s="3"/>
      <c r="HI165" s="3"/>
      <c r="HJ165" s="3"/>
      <c r="HK165" s="3"/>
      <c r="HL165" s="3"/>
      <c r="HM165" s="3"/>
      <c r="HN165" s="3"/>
      <c r="HO165" s="3"/>
      <c r="HP165" s="3"/>
      <c r="HQ165" s="3"/>
      <c r="HR165" s="3"/>
      <c r="HS165" s="3"/>
      <c r="HT165" s="3"/>
      <c r="HU165" s="3"/>
      <c r="HV165" s="3"/>
      <c r="HW165" s="3"/>
      <c r="HX165" s="3"/>
      <c r="HY165" s="3"/>
      <c r="HZ165" s="3"/>
      <c r="IA165" s="3"/>
      <c r="IB165" s="3"/>
      <c r="IC165" s="3"/>
      <c r="ID165" s="3"/>
      <c r="IE165" s="3"/>
      <c r="IF165" s="3"/>
      <c r="IG165" s="3"/>
      <c r="IH165" s="3"/>
      <c r="II165" s="3"/>
      <c r="IJ165" s="3"/>
      <c r="IK165" s="3"/>
      <c r="IL165" s="3"/>
    </row>
    <row r="166" spans="1:246" x14ac:dyDescent="0.3">
      <c r="A166" s="190" t="s">
        <v>811</v>
      </c>
      <c r="B166" s="142">
        <f>-F157</f>
        <v>-19804611.027326465</v>
      </c>
      <c r="C166" s="142">
        <f t="shared" ref="C166:D166" si="37">-G157</f>
        <v>-135031438.82268041</v>
      </c>
      <c r="D166" s="142">
        <f t="shared" si="37"/>
        <v>-65469788.520087473</v>
      </c>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c r="HF166" s="3"/>
      <c r="HG166" s="3"/>
      <c r="HH166" s="3"/>
      <c r="HI166" s="3"/>
      <c r="HJ166" s="3"/>
      <c r="HK166" s="3"/>
      <c r="HL166" s="3"/>
      <c r="HM166" s="3"/>
      <c r="HN166" s="3"/>
      <c r="HO166" s="3"/>
      <c r="HP166" s="3"/>
      <c r="HQ166" s="3"/>
      <c r="HR166" s="3"/>
      <c r="HS166" s="3"/>
      <c r="HT166" s="3"/>
      <c r="HU166" s="3"/>
      <c r="HV166" s="3"/>
      <c r="HW166" s="3"/>
      <c r="HX166" s="3"/>
      <c r="HY166" s="3"/>
      <c r="HZ166" s="3"/>
      <c r="IA166" s="3"/>
      <c r="IB166" s="3"/>
      <c r="IC166" s="3"/>
      <c r="ID166" s="3"/>
      <c r="IE166" s="3"/>
      <c r="IF166" s="3"/>
      <c r="IG166" s="3"/>
      <c r="IH166" s="3"/>
      <c r="II166" s="3"/>
      <c r="IJ166" s="3"/>
      <c r="IK166" s="3"/>
      <c r="IL166" s="3"/>
    </row>
    <row r="167" spans="1:246" x14ac:dyDescent="0.3">
      <c r="A167" s="190" t="s">
        <v>812</v>
      </c>
      <c r="B167" s="142">
        <f>-F158</f>
        <v>-2236080.0000000005</v>
      </c>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c r="HF167" s="3"/>
      <c r="HG167" s="3"/>
      <c r="HH167" s="3"/>
      <c r="HI167" s="3"/>
      <c r="HJ167" s="3"/>
      <c r="HK167" s="3"/>
      <c r="HL167" s="3"/>
      <c r="HM167" s="3"/>
      <c r="HN167" s="3"/>
      <c r="HO167" s="3"/>
      <c r="HP167" s="3"/>
      <c r="HQ167" s="3"/>
      <c r="HR167" s="3"/>
      <c r="HS167" s="3"/>
      <c r="HT167" s="3"/>
      <c r="HU167" s="3"/>
      <c r="HV167" s="3"/>
      <c r="HW167" s="3"/>
      <c r="HX167" s="3"/>
      <c r="HY167" s="3"/>
      <c r="HZ167" s="3"/>
      <c r="IA167" s="3"/>
      <c r="IB167" s="3"/>
      <c r="IC167" s="3"/>
      <c r="ID167" s="3"/>
      <c r="IE167" s="3"/>
      <c r="IF167" s="3"/>
      <c r="IG167" s="3"/>
      <c r="IH167" s="3"/>
      <c r="II167" s="3"/>
      <c r="IJ167" s="3"/>
      <c r="IK167" s="3"/>
      <c r="IL167" s="3"/>
    </row>
    <row r="168" spans="1:246" x14ac:dyDescent="0.3">
      <c r="A168" s="190" t="s">
        <v>813</v>
      </c>
      <c r="D168" s="142">
        <f>-H124</f>
        <v>-25574136.140659168</v>
      </c>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c r="HF168" s="3"/>
      <c r="HG168" s="3"/>
      <c r="HH168" s="3"/>
      <c r="HI168" s="3"/>
      <c r="HJ168" s="3"/>
      <c r="HK168" s="3"/>
      <c r="HL168" s="3"/>
      <c r="HM168" s="3"/>
      <c r="HN168" s="3"/>
      <c r="HO168" s="3"/>
      <c r="HP168" s="3"/>
      <c r="HQ168" s="3"/>
      <c r="HR168" s="3"/>
      <c r="HS168" s="3"/>
      <c r="HT168" s="3"/>
      <c r="HU168" s="3"/>
      <c r="HV168" s="3"/>
      <c r="HW168" s="3"/>
      <c r="HX168" s="3"/>
      <c r="HY168" s="3"/>
      <c r="HZ168" s="3"/>
      <c r="IA168" s="3"/>
      <c r="IB168" s="3"/>
      <c r="IC168" s="3"/>
      <c r="ID168" s="3"/>
      <c r="IE168" s="3"/>
      <c r="IF168" s="3"/>
      <c r="IG168" s="3"/>
      <c r="IH168" s="3"/>
      <c r="II168" s="3"/>
      <c r="IJ168" s="3"/>
      <c r="IK168" s="3"/>
      <c r="IL168" s="3"/>
    </row>
    <row r="169" spans="1:246" x14ac:dyDescent="0.3">
      <c r="A169" s="4" t="s">
        <v>814</v>
      </c>
      <c r="B169" s="142">
        <f t="shared" ref="B169:D169" si="38">-F126*F150</f>
        <v>0</v>
      </c>
      <c r="C169" s="142">
        <f t="shared" si="38"/>
        <v>0</v>
      </c>
      <c r="D169" s="142">
        <f t="shared" si="38"/>
        <v>0</v>
      </c>
      <c r="E169" s="142">
        <f>-I126*I150</f>
        <v>-41577822.904492714</v>
      </c>
      <c r="F169" s="142">
        <f t="shared" ref="F169:AH169" si="39">-J126*J150</f>
        <v>-37798020.822266102</v>
      </c>
      <c r="G169" s="142">
        <f t="shared" si="39"/>
        <v>-34361837.111150995</v>
      </c>
      <c r="H169" s="142">
        <f t="shared" si="39"/>
        <v>-31238033.737409998</v>
      </c>
      <c r="I169" s="142">
        <f t="shared" si="39"/>
        <v>-28398212.488554541</v>
      </c>
      <c r="J169" s="142">
        <f t="shared" si="39"/>
        <v>-25816556.807776853</v>
      </c>
      <c r="K169" s="142">
        <f t="shared" si="39"/>
        <v>-23469597.097978953</v>
      </c>
      <c r="L169" s="142">
        <f t="shared" si="39"/>
        <v>-21335997.36179905</v>
      </c>
      <c r="M169" s="142">
        <f t="shared" si="39"/>
        <v>-19396361.237999134</v>
      </c>
      <c r="N169" s="142">
        <f t="shared" si="39"/>
        <v>-17633055.670908302</v>
      </c>
      <c r="O169" s="142">
        <f t="shared" si="39"/>
        <v>0</v>
      </c>
      <c r="P169" s="142">
        <f t="shared" si="39"/>
        <v>0</v>
      </c>
      <c r="Q169" s="142">
        <f t="shared" si="39"/>
        <v>0</v>
      </c>
      <c r="R169" s="142">
        <f t="shared" si="39"/>
        <v>0</v>
      </c>
      <c r="S169" s="142">
        <f t="shared" si="39"/>
        <v>0</v>
      </c>
      <c r="T169" s="142">
        <f t="shared" si="39"/>
        <v>0</v>
      </c>
      <c r="U169" s="142">
        <f t="shared" si="39"/>
        <v>0</v>
      </c>
      <c r="V169" s="142">
        <f t="shared" si="39"/>
        <v>0</v>
      </c>
      <c r="W169" s="142">
        <f t="shared" si="39"/>
        <v>0</v>
      </c>
      <c r="X169" s="142">
        <f t="shared" si="39"/>
        <v>0</v>
      </c>
      <c r="Y169" s="142">
        <f t="shared" si="39"/>
        <v>0</v>
      </c>
      <c r="Z169" s="142">
        <f t="shared" si="39"/>
        <v>0</v>
      </c>
      <c r="AA169" s="142">
        <f t="shared" si="39"/>
        <v>0</v>
      </c>
      <c r="AB169" s="142">
        <f t="shared" si="39"/>
        <v>0</v>
      </c>
      <c r="AC169" s="142">
        <f t="shared" si="39"/>
        <v>0</v>
      </c>
      <c r="AD169" s="142">
        <f t="shared" si="39"/>
        <v>0</v>
      </c>
      <c r="AE169" s="142">
        <f t="shared" si="39"/>
        <v>0</v>
      </c>
      <c r="AF169" s="142">
        <f t="shared" si="39"/>
        <v>0</v>
      </c>
      <c r="AG169" s="142">
        <f t="shared" si="39"/>
        <v>0</v>
      </c>
      <c r="AH169" s="142">
        <f t="shared" si="39"/>
        <v>0</v>
      </c>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c r="HF169" s="3"/>
      <c r="HG169" s="3"/>
      <c r="HH169" s="3"/>
      <c r="HI169" s="3"/>
      <c r="HJ169" s="3"/>
      <c r="HK169" s="3"/>
      <c r="HL169" s="3"/>
      <c r="HM169" s="3"/>
      <c r="HN169" s="3"/>
      <c r="HO169" s="3"/>
      <c r="HP169" s="3"/>
      <c r="HQ169" s="3"/>
      <c r="HR169" s="3"/>
      <c r="HS169" s="3"/>
      <c r="HT169" s="3"/>
      <c r="HU169" s="3"/>
      <c r="HV169" s="3"/>
      <c r="HW169" s="3"/>
      <c r="HX169" s="3"/>
      <c r="HY169" s="3"/>
      <c r="HZ169" s="3"/>
      <c r="IA169" s="3"/>
      <c r="IB169" s="3"/>
      <c r="IC169" s="3"/>
      <c r="ID169" s="3"/>
      <c r="IE169" s="3"/>
      <c r="IF169" s="3"/>
      <c r="IG169" s="3"/>
      <c r="IH169" s="3"/>
      <c r="II169" s="3"/>
      <c r="IJ169" s="3"/>
      <c r="IK169" s="3"/>
      <c r="IL169" s="3"/>
    </row>
    <row r="170" spans="1:246" x14ac:dyDescent="0.3">
      <c r="A170" s="4" t="s">
        <v>966</v>
      </c>
      <c r="B170" s="142">
        <f t="shared" ref="B170:D170" si="40">F155</f>
        <v>0</v>
      </c>
      <c r="C170" s="142">
        <f t="shared" si="40"/>
        <v>0</v>
      </c>
      <c r="D170" s="142">
        <f t="shared" si="40"/>
        <v>0</v>
      </c>
      <c r="E170" s="142">
        <f>I155</f>
        <v>151701652.06815016</v>
      </c>
      <c r="F170" s="142">
        <f t="shared" ref="F170:AH170" si="41">J155</f>
        <v>157612106.04483134</v>
      </c>
      <c r="G170" s="142">
        <f t="shared" si="41"/>
        <v>143283732.76802847</v>
      </c>
      <c r="H170" s="142">
        <f t="shared" si="41"/>
        <v>130257938.88002588</v>
      </c>
      <c r="I170" s="142">
        <f t="shared" si="41"/>
        <v>118416308.07275078</v>
      </c>
      <c r="J170" s="142">
        <f t="shared" si="41"/>
        <v>107651189.15704617</v>
      </c>
      <c r="K170" s="142">
        <f t="shared" si="41"/>
        <v>97864717.415496498</v>
      </c>
      <c r="L170" s="142">
        <f t="shared" si="41"/>
        <v>88967924.923178628</v>
      </c>
      <c r="M170" s="142">
        <f t="shared" si="41"/>
        <v>80879931.748344213</v>
      </c>
      <c r="N170" s="142">
        <f t="shared" si="41"/>
        <v>73527210.680312917</v>
      </c>
      <c r="O170" s="142">
        <f t="shared" si="41"/>
        <v>66842918.800284453</v>
      </c>
      <c r="P170" s="142">
        <f t="shared" si="41"/>
        <v>60766289.818440415</v>
      </c>
      <c r="Q170" s="142">
        <f t="shared" si="41"/>
        <v>55242081.653127655</v>
      </c>
      <c r="R170" s="142">
        <f t="shared" si="41"/>
        <v>50220074.230116032</v>
      </c>
      <c r="S170" s="142">
        <f t="shared" si="41"/>
        <v>45654612.936469123</v>
      </c>
      <c r="T170" s="142">
        <f t="shared" si="41"/>
        <v>41504193.578608289</v>
      </c>
      <c r="U170" s="142">
        <f t="shared" si="41"/>
        <v>37731085.07146208</v>
      </c>
      <c r="V170" s="142">
        <f t="shared" si="41"/>
        <v>34300986.428601891</v>
      </c>
      <c r="W170" s="142">
        <f t="shared" si="41"/>
        <v>31182714.935092617</v>
      </c>
      <c r="X170" s="142">
        <f t="shared" si="41"/>
        <v>28347922.668266021</v>
      </c>
      <c r="Y170" s="142">
        <f t="shared" si="41"/>
        <v>25770838.789332744</v>
      </c>
      <c r="Z170" s="142">
        <f t="shared" si="41"/>
        <v>23428035.263029762</v>
      </c>
      <c r="AA170" s="142">
        <f t="shared" si="41"/>
        <v>21298213.875481602</v>
      </c>
      <c r="AB170" s="142">
        <f t="shared" si="41"/>
        <v>19362012.614074185</v>
      </c>
      <c r="AC170" s="142">
        <f t="shared" si="41"/>
        <v>17601829.649158347</v>
      </c>
      <c r="AD170" s="142">
        <f t="shared" si="41"/>
        <v>16001663.317416677</v>
      </c>
      <c r="AE170" s="142">
        <f t="shared" si="41"/>
        <v>14546966.652196979</v>
      </c>
      <c r="AF170" s="142">
        <f t="shared" si="41"/>
        <v>13224515.138360888</v>
      </c>
      <c r="AG170" s="142">
        <f t="shared" si="41"/>
        <v>12022286.489418989</v>
      </c>
      <c r="AH170" s="142">
        <f t="shared" si="41"/>
        <v>10929351.354017261</v>
      </c>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c r="HF170" s="3"/>
      <c r="HG170" s="3"/>
      <c r="HH170" s="3"/>
      <c r="HI170" s="3"/>
      <c r="HJ170" s="3"/>
      <c r="HK170" s="3"/>
      <c r="HL170" s="3"/>
      <c r="HM170" s="3"/>
      <c r="HN170" s="3"/>
      <c r="HO170" s="3"/>
      <c r="HP170" s="3"/>
      <c r="HQ170" s="3"/>
      <c r="HR170" s="3"/>
      <c r="HS170" s="3"/>
      <c r="HT170" s="3"/>
      <c r="HU170" s="3"/>
      <c r="HV170" s="3"/>
      <c r="HW170" s="3"/>
      <c r="HX170" s="3"/>
      <c r="HY170" s="3"/>
      <c r="HZ170" s="3"/>
      <c r="IA170" s="3"/>
      <c r="IB170" s="3"/>
      <c r="IC170" s="3"/>
      <c r="ID170" s="3"/>
      <c r="IE170" s="3"/>
      <c r="IF170" s="3"/>
      <c r="IG170" s="3"/>
      <c r="IH170" s="3"/>
      <c r="II170" s="3"/>
      <c r="IJ170" s="3"/>
      <c r="IK170" s="3"/>
      <c r="IL170" s="3"/>
    </row>
    <row r="171" spans="1:246" x14ac:dyDescent="0.3">
      <c r="A171" s="4" t="s">
        <v>841</v>
      </c>
      <c r="B171" s="142">
        <f t="shared" ref="B171:D171" si="42">-F156</f>
        <v>0</v>
      </c>
      <c r="C171" s="142">
        <f t="shared" si="42"/>
        <v>0</v>
      </c>
      <c r="D171" s="142">
        <f t="shared" si="42"/>
        <v>0</v>
      </c>
      <c r="E171" s="142">
        <f>-I156</f>
        <v>-100625709.31029236</v>
      </c>
      <c r="F171" s="142">
        <f t="shared" ref="F171:AH171" si="43">-J156</f>
        <v>-104546191.49121284</v>
      </c>
      <c r="G171" s="142">
        <f t="shared" si="43"/>
        <v>-95041992.264738932</v>
      </c>
      <c r="H171" s="142">
        <f t="shared" si="43"/>
        <v>-86401811.149762675</v>
      </c>
      <c r="I171" s="142">
        <f t="shared" si="43"/>
        <v>-78547101.045238778</v>
      </c>
      <c r="J171" s="142">
        <f t="shared" si="43"/>
        <v>-71406455.49567163</v>
      </c>
      <c r="K171" s="142">
        <f t="shared" si="43"/>
        <v>-64914959.541519642</v>
      </c>
      <c r="L171" s="142">
        <f t="shared" si="43"/>
        <v>-59013599.58319968</v>
      </c>
      <c r="M171" s="142">
        <f t="shared" si="43"/>
        <v>-53648726.893817887</v>
      </c>
      <c r="N171" s="142">
        <f t="shared" si="43"/>
        <v>-48771569.903470799</v>
      </c>
      <c r="O171" s="142">
        <f t="shared" si="43"/>
        <v>-44337790.821337089</v>
      </c>
      <c r="P171" s="142">
        <f t="shared" si="43"/>
        <v>-40307082.564851895</v>
      </c>
      <c r="Q171" s="142">
        <f t="shared" si="43"/>
        <v>-36642802.331683546</v>
      </c>
      <c r="R171" s="142">
        <f t="shared" si="43"/>
        <v>-33311638.483348668</v>
      </c>
      <c r="S171" s="142">
        <f t="shared" si="43"/>
        <v>-30283307.712135151</v>
      </c>
      <c r="T171" s="142">
        <f t="shared" si="43"/>
        <v>-27530279.738304682</v>
      </c>
      <c r="U171" s="142">
        <f t="shared" si="43"/>
        <v>-25027527.034822438</v>
      </c>
      <c r="V171" s="142">
        <f t="shared" si="43"/>
        <v>-22752297.30438403</v>
      </c>
      <c r="W171" s="142">
        <f t="shared" si="43"/>
        <v>-20683906.640349116</v>
      </c>
      <c r="X171" s="142">
        <f t="shared" si="43"/>
        <v>-18803551.491226472</v>
      </c>
      <c r="Y171" s="142">
        <f t="shared" si="43"/>
        <v>-17094137.719296791</v>
      </c>
      <c r="Z171" s="142">
        <f t="shared" si="43"/>
        <v>-15540125.199360715</v>
      </c>
      <c r="AA171" s="142">
        <f t="shared" si="43"/>
        <v>-14127386.544873377</v>
      </c>
      <c r="AB171" s="142">
        <f t="shared" si="43"/>
        <v>-12843078.677157618</v>
      </c>
      <c r="AC171" s="142">
        <f t="shared" si="43"/>
        <v>-11675526.070143284</v>
      </c>
      <c r="AD171" s="142">
        <f t="shared" si="43"/>
        <v>-10614114.609221168</v>
      </c>
      <c r="AE171" s="142">
        <f t="shared" si="43"/>
        <v>-9649195.099291971</v>
      </c>
      <c r="AF171" s="142">
        <f t="shared" si="43"/>
        <v>-8771995.5448108818</v>
      </c>
      <c r="AG171" s="142">
        <f t="shared" si="43"/>
        <v>-7974541.4043735284</v>
      </c>
      <c r="AH171" s="142">
        <f t="shared" si="43"/>
        <v>-7249583.0948850252</v>
      </c>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c r="HF171" s="3"/>
      <c r="HG171" s="3"/>
      <c r="HH171" s="3"/>
      <c r="HI171" s="3"/>
      <c r="HJ171" s="3"/>
      <c r="HK171" s="3"/>
      <c r="HL171" s="3"/>
      <c r="HM171" s="3"/>
      <c r="HN171" s="3"/>
      <c r="HO171" s="3"/>
      <c r="HP171" s="3"/>
      <c r="HQ171" s="3"/>
      <c r="HR171" s="3"/>
      <c r="HS171" s="3"/>
      <c r="HT171" s="3"/>
      <c r="HU171" s="3"/>
      <c r="HV171" s="3"/>
      <c r="HW171" s="3"/>
      <c r="HX171" s="3"/>
      <c r="HY171" s="3"/>
      <c r="HZ171" s="3"/>
      <c r="IA171" s="3"/>
      <c r="IB171" s="3"/>
      <c r="IC171" s="3"/>
      <c r="ID171" s="3"/>
      <c r="IE171" s="3"/>
      <c r="IF171" s="3"/>
      <c r="IG171" s="3"/>
      <c r="IH171" s="3"/>
      <c r="II171" s="3"/>
      <c r="IJ171" s="3"/>
      <c r="IK171" s="3"/>
      <c r="IL171" s="3"/>
    </row>
    <row r="172" spans="1:246" x14ac:dyDescent="0.3">
      <c r="A172" s="4" t="s">
        <v>842</v>
      </c>
      <c r="B172" s="142">
        <f t="shared" ref="B172:D172" si="44">-F154</f>
        <v>0</v>
      </c>
      <c r="C172" s="142">
        <f t="shared" si="44"/>
        <v>0</v>
      </c>
      <c r="D172" s="142">
        <f t="shared" si="44"/>
        <v>0</v>
      </c>
      <c r="E172" s="142">
        <f>-I154</f>
        <v>0</v>
      </c>
      <c r="F172" s="142">
        <f t="shared" ref="F172:AH172" si="45">-J154</f>
        <v>0</v>
      </c>
      <c r="G172" s="142">
        <f t="shared" si="45"/>
        <v>0</v>
      </c>
      <c r="H172" s="142">
        <f t="shared" si="45"/>
        <v>0</v>
      </c>
      <c r="I172" s="142">
        <f t="shared" si="45"/>
        <v>0</v>
      </c>
      <c r="J172" s="142">
        <f t="shared" si="45"/>
        <v>0</v>
      </c>
      <c r="K172" s="142">
        <f t="shared" si="45"/>
        <v>0</v>
      </c>
      <c r="L172" s="142">
        <f t="shared" si="45"/>
        <v>0</v>
      </c>
      <c r="M172" s="142">
        <f t="shared" si="45"/>
        <v>0</v>
      </c>
      <c r="N172" s="142">
        <f t="shared" si="45"/>
        <v>0</v>
      </c>
      <c r="O172" s="142">
        <f t="shared" si="45"/>
        <v>0</v>
      </c>
      <c r="P172" s="142">
        <f t="shared" si="45"/>
        <v>0</v>
      </c>
      <c r="Q172" s="142">
        <f t="shared" si="45"/>
        <v>0</v>
      </c>
      <c r="R172" s="142">
        <f t="shared" si="45"/>
        <v>0</v>
      </c>
      <c r="S172" s="142">
        <f t="shared" si="45"/>
        <v>0</v>
      </c>
      <c r="T172" s="142">
        <f t="shared" si="45"/>
        <v>0</v>
      </c>
      <c r="U172" s="142">
        <f t="shared" si="45"/>
        <v>0</v>
      </c>
      <c r="V172" s="142">
        <f t="shared" si="45"/>
        <v>-755890.17994794587</v>
      </c>
      <c r="W172" s="142">
        <f t="shared" si="45"/>
        <v>-2895926.0508775311</v>
      </c>
      <c r="X172" s="142">
        <f t="shared" si="45"/>
        <v>-2632703.7147673718</v>
      </c>
      <c r="Y172" s="142">
        <f t="shared" si="45"/>
        <v>-2481895.0030676043</v>
      </c>
      <c r="Z172" s="142">
        <f t="shared" si="45"/>
        <v>-2336784.2648730809</v>
      </c>
      <c r="AA172" s="142">
        <f t="shared" si="45"/>
        <v>-2124349.3317028005</v>
      </c>
      <c r="AB172" s="142">
        <f t="shared" si="45"/>
        <v>-1931226.6651843644</v>
      </c>
      <c r="AC172" s="142">
        <f t="shared" si="45"/>
        <v>-1755660.6047130581</v>
      </c>
      <c r="AD172" s="142">
        <f t="shared" si="45"/>
        <v>-1596055.0951936892</v>
      </c>
      <c r="AE172" s="142">
        <f t="shared" si="45"/>
        <v>-1450959.1774488082</v>
      </c>
      <c r="AF172" s="142">
        <f t="shared" si="45"/>
        <v>-1319053.7976807347</v>
      </c>
      <c r="AG172" s="142">
        <f t="shared" si="45"/>
        <v>-1199139.8160733951</v>
      </c>
      <c r="AH172" s="142">
        <f t="shared" si="45"/>
        <v>-1090127.1055212682</v>
      </c>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c r="HF172" s="3"/>
      <c r="HG172" s="3"/>
      <c r="HH172" s="3"/>
      <c r="HI172" s="3"/>
      <c r="HJ172" s="3"/>
      <c r="HK172" s="3"/>
      <c r="HL172" s="3"/>
      <c r="HM172" s="3"/>
      <c r="HN172" s="3"/>
      <c r="HO172" s="3"/>
      <c r="HP172" s="3"/>
      <c r="HQ172" s="3"/>
      <c r="HR172" s="3"/>
      <c r="HS172" s="3"/>
      <c r="HT172" s="3"/>
      <c r="HU172" s="3"/>
      <c r="HV172" s="3"/>
      <c r="HW172" s="3"/>
      <c r="HX172" s="3"/>
      <c r="HY172" s="3"/>
      <c r="HZ172" s="3"/>
      <c r="IA172" s="3"/>
      <c r="IB172" s="3"/>
      <c r="IC172" s="3"/>
      <c r="ID172" s="3"/>
      <c r="IE172" s="3"/>
      <c r="IF172" s="3"/>
      <c r="IG172" s="3"/>
      <c r="IH172" s="3"/>
      <c r="II172" s="3"/>
      <c r="IJ172" s="3"/>
      <c r="IK172" s="3"/>
      <c r="IL172" s="3"/>
    </row>
    <row r="173" spans="1:246" x14ac:dyDescent="0.3">
      <c r="A173" s="4" t="s">
        <v>843</v>
      </c>
      <c r="B173" s="142">
        <f>-F152</f>
        <v>-24417244.350605641</v>
      </c>
      <c r="C173" s="142">
        <f>-G152+B173</f>
        <v>-177812958.85317057</v>
      </c>
      <c r="D173" s="142">
        <f>-H152+C173</f>
        <v>-293408054.20895004</v>
      </c>
      <c r="E173" s="142">
        <f>D173+I151</f>
        <v>-283909934.35558498</v>
      </c>
      <c r="F173" s="142">
        <f>E173+J151</f>
        <v>-268642040.62423259</v>
      </c>
      <c r="G173" s="142">
        <f>F173+K151</f>
        <v>-254762137.23209408</v>
      </c>
      <c r="H173" s="142">
        <f t="shared" ref="H173:AH173" si="46">G173+L151</f>
        <v>-242144043.23924088</v>
      </c>
      <c r="I173" s="142">
        <f t="shared" si="46"/>
        <v>-230673048.70028344</v>
      </c>
      <c r="J173" s="142">
        <f t="shared" si="46"/>
        <v>-220244871.84668574</v>
      </c>
      <c r="K173" s="142">
        <f t="shared" si="46"/>
        <v>-210764711.07068783</v>
      </c>
      <c r="L173" s="142">
        <f t="shared" si="46"/>
        <v>-202146383.09250793</v>
      </c>
      <c r="M173" s="142">
        <f t="shared" si="46"/>
        <v>-194311539.47598073</v>
      </c>
      <c r="N173" s="142">
        <f t="shared" si="46"/>
        <v>-187188954.37004691</v>
      </c>
      <c r="O173" s="142">
        <f t="shared" si="46"/>
        <v>-164683826.39109954</v>
      </c>
      <c r="P173" s="142">
        <f t="shared" si="46"/>
        <v>-144224619.13751101</v>
      </c>
      <c r="Q173" s="142">
        <f t="shared" si="46"/>
        <v>-125625339.81606691</v>
      </c>
      <c r="R173" s="142">
        <f t="shared" si="46"/>
        <v>-108716904.06929953</v>
      </c>
      <c r="S173" s="142">
        <f t="shared" si="46"/>
        <v>-93345598.844965562</v>
      </c>
      <c r="T173" s="142">
        <f t="shared" si="46"/>
        <v>-79371685.004661947</v>
      </c>
      <c r="U173" s="142">
        <f t="shared" si="46"/>
        <v>-66668126.968022302</v>
      </c>
      <c r="V173" s="142">
        <f t="shared" si="46"/>
        <v>-55875328.023752391</v>
      </c>
      <c r="W173" s="142">
        <f t="shared" si="46"/>
        <v>-48272445.779886417</v>
      </c>
      <c r="X173" s="142">
        <f t="shared" si="46"/>
        <v>-41360778.317614235</v>
      </c>
      <c r="Y173" s="142">
        <f t="shared" si="46"/>
        <v>-35165972.250645883</v>
      </c>
      <c r="Z173" s="142">
        <f t="shared" si="46"/>
        <v>-29614846.451849915</v>
      </c>
      <c r="AA173" s="142">
        <f t="shared" si="46"/>
        <v>-24568368.452944491</v>
      </c>
      <c r="AB173" s="142">
        <f t="shared" si="46"/>
        <v>-19980661.181212287</v>
      </c>
      <c r="AC173" s="142">
        <f t="shared" si="46"/>
        <v>-15810018.206910286</v>
      </c>
      <c r="AD173" s="142">
        <f t="shared" si="46"/>
        <v>-12018524.593908466</v>
      </c>
      <c r="AE173" s="142">
        <f t="shared" si="46"/>
        <v>-8571712.2184522673</v>
      </c>
      <c r="AF173" s="142">
        <f t="shared" si="46"/>
        <v>-5438246.4225829951</v>
      </c>
      <c r="AG173" s="142">
        <f t="shared" si="46"/>
        <v>-2589641.1536109294</v>
      </c>
      <c r="AH173" s="142">
        <f t="shared" si="46"/>
        <v>3.9115548133850098E-8</v>
      </c>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c r="HF173" s="3"/>
      <c r="HG173" s="3"/>
      <c r="HH173" s="3"/>
      <c r="HI173" s="3"/>
      <c r="HJ173" s="3"/>
      <c r="HK173" s="3"/>
      <c r="HL173" s="3"/>
      <c r="HM173" s="3"/>
      <c r="HN173" s="3"/>
      <c r="HO173" s="3"/>
      <c r="HP173" s="3"/>
      <c r="HQ173" s="3"/>
      <c r="HR173" s="3"/>
      <c r="HS173" s="3"/>
      <c r="HT173" s="3"/>
      <c r="HU173" s="3"/>
      <c r="HV173" s="3"/>
      <c r="HW173" s="3"/>
      <c r="HX173" s="3"/>
      <c r="HY173" s="3"/>
      <c r="HZ173" s="3"/>
      <c r="IA173" s="3"/>
      <c r="IB173" s="3"/>
      <c r="IC173" s="3"/>
      <c r="ID173" s="3"/>
      <c r="IE173" s="3"/>
      <c r="IF173" s="3"/>
      <c r="IG173" s="3"/>
      <c r="IH173" s="3"/>
      <c r="II173" s="3"/>
      <c r="IJ173" s="3"/>
      <c r="IK173" s="3"/>
      <c r="IL173" s="3"/>
    </row>
    <row r="174" spans="1:246" x14ac:dyDescent="0.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c r="HF174" s="3"/>
      <c r="HG174" s="3"/>
      <c r="HH174" s="3"/>
      <c r="HI174" s="3"/>
      <c r="HJ174" s="3"/>
      <c r="HK174" s="3"/>
      <c r="HL174" s="3"/>
      <c r="HM174" s="3"/>
      <c r="HN174" s="3"/>
      <c r="HO174" s="3"/>
      <c r="HP174" s="3"/>
      <c r="HQ174" s="3"/>
      <c r="HR174" s="3"/>
      <c r="HS174" s="3"/>
      <c r="HT174" s="3"/>
      <c r="HU174" s="3"/>
      <c r="HV174" s="3"/>
      <c r="HW174" s="3"/>
      <c r="HX174" s="3"/>
      <c r="HY174" s="3"/>
      <c r="HZ174" s="3"/>
      <c r="IA174" s="3"/>
      <c r="IB174" s="3"/>
      <c r="IC174" s="3"/>
      <c r="ID174" s="3"/>
      <c r="IE174" s="3"/>
      <c r="IF174" s="3"/>
      <c r="IG174" s="3"/>
      <c r="IH174" s="3"/>
      <c r="II174" s="3"/>
      <c r="IJ174" s="3"/>
      <c r="IK174" s="3"/>
      <c r="IL174" s="3"/>
    </row>
    <row r="175" spans="1:246" x14ac:dyDescent="0.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c r="HF175" s="3"/>
      <c r="HG175" s="3"/>
      <c r="HH175" s="3"/>
      <c r="HI175" s="3"/>
      <c r="HJ175" s="3"/>
      <c r="HK175" s="3"/>
      <c r="HL175" s="3"/>
      <c r="HM175" s="3"/>
      <c r="HN175" s="3"/>
      <c r="HO175" s="3"/>
      <c r="HP175" s="3"/>
      <c r="HQ175" s="3"/>
      <c r="HR175" s="3"/>
      <c r="HS175" s="3"/>
      <c r="HT175" s="3"/>
      <c r="HU175" s="3"/>
      <c r="HV175" s="3"/>
      <c r="HW175" s="3"/>
      <c r="HX175" s="3"/>
      <c r="HY175" s="3"/>
      <c r="HZ175" s="3"/>
      <c r="IA175" s="3"/>
      <c r="IB175" s="3"/>
      <c r="IC175" s="3"/>
      <c r="ID175" s="3"/>
      <c r="IE175" s="3"/>
      <c r="IF175" s="3"/>
      <c r="IG175" s="3"/>
      <c r="IH175" s="3"/>
      <c r="II175" s="3"/>
      <c r="IJ175" s="3"/>
      <c r="IK175" s="3"/>
      <c r="IL175" s="3"/>
    </row>
    <row r="176" spans="1:246" x14ac:dyDescent="0.3">
      <c r="M176" s="142"/>
      <c r="P176" t="s">
        <v>866</v>
      </c>
      <c r="Q176" s="142">
        <f>E126+FCI_Restate+Land_Cap_Restate+Working_Cap_Restate</f>
        <v>819930354.19417918</v>
      </c>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c r="HF176" s="3"/>
      <c r="HG176" s="3"/>
      <c r="HH176" s="3"/>
      <c r="HI176" s="3"/>
      <c r="HJ176" s="3"/>
      <c r="HK176" s="3"/>
      <c r="HL176" s="3"/>
      <c r="HM176" s="3"/>
      <c r="HN176" s="3"/>
      <c r="HO176" s="3"/>
      <c r="HP176" s="3"/>
      <c r="HQ176" s="3"/>
      <c r="HR176" s="3"/>
      <c r="HS176" s="3"/>
      <c r="HT176" s="3"/>
      <c r="HU176" s="3"/>
      <c r="HV176" s="3"/>
      <c r="HW176" s="3"/>
      <c r="HX176" s="3"/>
      <c r="HY176" s="3"/>
      <c r="HZ176" s="3"/>
      <c r="IA176" s="3"/>
      <c r="IB176" s="3"/>
      <c r="IC176" s="3"/>
      <c r="ID176" s="3"/>
      <c r="IE176" s="3"/>
      <c r="IF176" s="3"/>
      <c r="IG176" s="3"/>
      <c r="IH176" s="3"/>
      <c r="II176" s="3"/>
      <c r="IJ176" s="3"/>
      <c r="IK176" s="3"/>
      <c r="IL176" s="3"/>
    </row>
    <row r="177" spans="10:246" x14ac:dyDescent="0.3">
      <c r="M177" s="142"/>
      <c r="P177" t="s">
        <v>673</v>
      </c>
      <c r="Q177" s="228">
        <f>E156</f>
        <v>1178137984.7647829</v>
      </c>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c r="HF177" s="3"/>
      <c r="HG177" s="3"/>
      <c r="HH177" s="3"/>
      <c r="HI177" s="3"/>
      <c r="HJ177" s="3"/>
      <c r="HK177" s="3"/>
      <c r="HL177" s="3"/>
      <c r="HM177" s="3"/>
      <c r="HN177" s="3"/>
      <c r="HO177" s="3"/>
      <c r="HP177" s="3"/>
      <c r="HQ177" s="3"/>
      <c r="HR177" s="3"/>
      <c r="HS177" s="3"/>
      <c r="HT177" s="3"/>
      <c r="HU177" s="3"/>
      <c r="HV177" s="3"/>
      <c r="HW177" s="3"/>
      <c r="HX177" s="3"/>
      <c r="HY177" s="3"/>
      <c r="HZ177" s="3"/>
      <c r="IA177" s="3"/>
      <c r="IB177" s="3"/>
      <c r="IC177" s="3"/>
      <c r="ID177" s="3"/>
      <c r="IE177" s="3"/>
      <c r="IF177" s="3"/>
      <c r="IG177" s="3"/>
      <c r="IH177" s="3"/>
      <c r="II177" s="3"/>
      <c r="IJ177" s="3"/>
      <c r="IK177" s="3"/>
      <c r="IL177" s="3"/>
    </row>
    <row r="178" spans="10:246" x14ac:dyDescent="0.3">
      <c r="M178" s="142"/>
      <c r="P178" t="s">
        <v>675</v>
      </c>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c r="HF178" s="3"/>
      <c r="HG178" s="3"/>
      <c r="HH178" s="3"/>
      <c r="HI178" s="3"/>
      <c r="HJ178" s="3"/>
      <c r="HK178" s="3"/>
      <c r="HL178" s="3"/>
      <c r="HM178" s="3"/>
      <c r="HN178" s="3"/>
      <c r="HO178" s="3"/>
      <c r="HP178" s="3"/>
      <c r="HQ178" s="3"/>
      <c r="HR178" s="3"/>
      <c r="HS178" s="3"/>
      <c r="HT178" s="3"/>
      <c r="HU178" s="3"/>
      <c r="HV178" s="3"/>
      <c r="HW178" s="3"/>
      <c r="HX178" s="3"/>
      <c r="HY178" s="3"/>
      <c r="HZ178" s="3"/>
      <c r="IA178" s="3"/>
      <c r="IB178" s="3"/>
      <c r="IC178" s="3"/>
      <c r="ID178" s="3"/>
      <c r="IE178" s="3"/>
      <c r="IF178" s="3"/>
      <c r="IG178" s="3"/>
      <c r="IH178" s="3"/>
      <c r="II178" s="3"/>
      <c r="IJ178" s="3"/>
      <c r="IK178" s="3"/>
      <c r="IL178" s="3"/>
    </row>
    <row r="179" spans="10:246" x14ac:dyDescent="0.3">
      <c r="M179" s="68"/>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c r="HF179" s="3"/>
      <c r="HG179" s="3"/>
      <c r="HH179" s="3"/>
      <c r="HI179" s="3"/>
      <c r="HJ179" s="3"/>
      <c r="HK179" s="3"/>
      <c r="HL179" s="3"/>
      <c r="HM179" s="3"/>
      <c r="HN179" s="3"/>
      <c r="HO179" s="3"/>
      <c r="HP179" s="3"/>
      <c r="HQ179" s="3"/>
      <c r="HR179" s="3"/>
      <c r="HS179" s="3"/>
      <c r="HT179" s="3"/>
      <c r="HU179" s="3"/>
      <c r="HV179" s="3"/>
      <c r="HW179" s="3"/>
      <c r="HX179" s="3"/>
      <c r="HY179" s="3"/>
      <c r="HZ179" s="3"/>
      <c r="IA179" s="3"/>
      <c r="IB179" s="3"/>
      <c r="IC179" s="3"/>
      <c r="ID179" s="3"/>
      <c r="IE179" s="3"/>
      <c r="IF179" s="3"/>
      <c r="IG179" s="3"/>
      <c r="IH179" s="3"/>
      <c r="II179" s="3"/>
      <c r="IJ179" s="3"/>
      <c r="IK179" s="3"/>
      <c r="IL179" s="3"/>
    </row>
    <row r="180" spans="10:246" x14ac:dyDescent="0.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c r="HF180" s="3"/>
      <c r="HG180" s="3"/>
      <c r="HH180" s="3"/>
      <c r="HI180" s="3"/>
      <c r="HJ180" s="3"/>
      <c r="HK180" s="3"/>
      <c r="HL180" s="3"/>
      <c r="HM180" s="3"/>
      <c r="HN180" s="3"/>
      <c r="HO180" s="3"/>
      <c r="HP180" s="3"/>
      <c r="HQ180" s="3"/>
      <c r="HR180" s="3"/>
      <c r="HS180" s="3"/>
      <c r="HT180" s="3"/>
      <c r="HU180" s="3"/>
      <c r="HV180" s="3"/>
      <c r="HW180" s="3"/>
      <c r="HX180" s="3"/>
      <c r="HY180" s="3"/>
      <c r="HZ180" s="3"/>
      <c r="IA180" s="3"/>
      <c r="IB180" s="3"/>
      <c r="IC180" s="3"/>
      <c r="ID180" s="3"/>
      <c r="IE180" s="3"/>
      <c r="IF180" s="3"/>
      <c r="IG180" s="3"/>
      <c r="IH180" s="3"/>
      <c r="II180" s="3"/>
      <c r="IJ180" s="3"/>
      <c r="IK180" s="3"/>
      <c r="IL180" s="3"/>
    </row>
    <row r="181" spans="10:246" x14ac:dyDescent="0.3">
      <c r="N181" s="4" t="s">
        <v>832</v>
      </c>
      <c r="O181">
        <f>MESP</f>
        <v>1.975659091885628</v>
      </c>
      <c r="R181" s="4" t="s">
        <v>871</v>
      </c>
      <c r="S181" s="16">
        <v>220338793.16451168</v>
      </c>
      <c r="T181">
        <f>S181/S186</f>
        <v>0.18920946273857125</v>
      </c>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c r="HF181" s="3"/>
      <c r="HG181" s="3"/>
      <c r="HH181" s="3"/>
      <c r="HI181" s="3"/>
      <c r="HJ181" s="3"/>
      <c r="HK181" s="3"/>
      <c r="HL181" s="3"/>
      <c r="HM181" s="3"/>
      <c r="HN181" s="3"/>
      <c r="HO181" s="3"/>
      <c r="HP181" s="3"/>
      <c r="HQ181" s="3"/>
      <c r="HR181" s="3"/>
      <c r="HS181" s="3"/>
      <c r="HT181" s="3"/>
      <c r="HU181" s="3"/>
      <c r="HV181" s="3"/>
      <c r="HW181" s="3"/>
      <c r="HX181" s="3"/>
      <c r="HY181" s="3"/>
      <c r="HZ181" s="3"/>
      <c r="IA181" s="3"/>
      <c r="IB181" s="3"/>
      <c r="IC181" s="3"/>
      <c r="ID181" s="3"/>
      <c r="IE181" s="3"/>
      <c r="IF181" s="3"/>
      <c r="IG181" s="3"/>
      <c r="IH181" s="3"/>
      <c r="II181" s="3"/>
      <c r="IJ181" s="3"/>
      <c r="IK181" s="3"/>
      <c r="IL181" s="3"/>
    </row>
    <row r="182" spans="10:246" x14ac:dyDescent="0.3">
      <c r="M182" t="s">
        <v>673</v>
      </c>
      <c r="R182" s="225" t="s">
        <v>827</v>
      </c>
      <c r="S182" s="16">
        <v>19654061.716663003</v>
      </c>
      <c r="T182">
        <f>S182/S$186</f>
        <v>1.687734785432907E-2</v>
      </c>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c r="HF182" s="3"/>
      <c r="HG182" s="3"/>
      <c r="HH182" s="3"/>
      <c r="HI182" s="3"/>
      <c r="HJ182" s="3"/>
      <c r="HK182" s="3"/>
      <c r="HL182" s="3"/>
      <c r="HM182" s="3"/>
      <c r="HN182" s="3"/>
      <c r="HO182" s="3"/>
      <c r="HP182" s="3"/>
      <c r="HQ182" s="3"/>
      <c r="HR182" s="3"/>
      <c r="HS182" s="3"/>
      <c r="HT182" s="3"/>
      <c r="HU182" s="3"/>
      <c r="HV182" s="3"/>
      <c r="HW182" s="3"/>
      <c r="HX182" s="3"/>
      <c r="HY182" s="3"/>
      <c r="HZ182" s="3"/>
      <c r="IA182" s="3"/>
      <c r="IB182" s="3"/>
      <c r="IC182" s="3"/>
      <c r="ID182" s="3"/>
      <c r="IE182" s="3"/>
      <c r="IF182" s="3"/>
      <c r="IG182" s="3"/>
      <c r="IH182" s="3"/>
      <c r="II182" s="3"/>
      <c r="IJ182" s="3"/>
      <c r="IK182" s="3"/>
      <c r="IL182" s="3"/>
    </row>
    <row r="183" spans="10:246" x14ac:dyDescent="0.3">
      <c r="J183" t="s">
        <v>844</v>
      </c>
      <c r="L183" t="s">
        <v>649</v>
      </c>
      <c r="M183">
        <v>8.7722460310184526E-3</v>
      </c>
      <c r="R183" s="225" t="s">
        <v>829</v>
      </c>
      <c r="S183" s="16">
        <v>749562797.96309435</v>
      </c>
      <c r="T183">
        <f t="shared" ref="T183:T185" si="47">S183/S$186</f>
        <v>0.64366502264322967</v>
      </c>
      <c r="V183" t="s">
        <v>867</v>
      </c>
      <c r="W183">
        <v>0.86570025100000003</v>
      </c>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c r="HF183" s="3"/>
      <c r="HG183" s="3"/>
      <c r="HH183" s="3"/>
      <c r="HI183" s="3"/>
      <c r="HJ183" s="3"/>
      <c r="HK183" s="3"/>
      <c r="HL183" s="3"/>
      <c r="HM183" s="3"/>
      <c r="HN183" s="3"/>
      <c r="HO183" s="3"/>
      <c r="HP183" s="3"/>
      <c r="HQ183" s="3"/>
      <c r="HR183" s="3"/>
      <c r="HS183" s="3"/>
      <c r="HT183" s="3"/>
      <c r="HU183" s="3"/>
      <c r="HV183" s="3"/>
      <c r="HW183" s="3"/>
      <c r="HX183" s="3"/>
      <c r="HY183" s="3"/>
      <c r="HZ183" s="3"/>
      <c r="IA183" s="3"/>
      <c r="IB183" s="3"/>
      <c r="IC183" s="3"/>
      <c r="ID183" s="3"/>
      <c r="IE183" s="3"/>
      <c r="IF183" s="3"/>
      <c r="IG183" s="3"/>
      <c r="IH183" s="3"/>
      <c r="II183" s="3"/>
      <c r="IJ183" s="3"/>
      <c r="IK183" s="3"/>
      <c r="IL183" s="3"/>
    </row>
    <row r="184" spans="10:246" x14ac:dyDescent="0.3">
      <c r="L184" t="s">
        <v>650</v>
      </c>
      <c r="M184">
        <v>2.8001009331010907E-2</v>
      </c>
      <c r="R184" s="225" t="s">
        <v>835</v>
      </c>
      <c r="S184" s="16">
        <v>172731383.36451954</v>
      </c>
      <c r="T184">
        <f t="shared" si="47"/>
        <v>0.14832799878362427</v>
      </c>
      <c r="V184" t="s">
        <v>868</v>
      </c>
      <c r="W184">
        <v>0.134299749</v>
      </c>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c r="HF184" s="3"/>
      <c r="HG184" s="3"/>
      <c r="HH184" s="3"/>
      <c r="HI184" s="3"/>
      <c r="HJ184" s="3"/>
      <c r="HK184" s="3"/>
      <c r="HL184" s="3"/>
      <c r="HM184" s="3"/>
      <c r="HN184" s="3"/>
      <c r="HO184" s="3"/>
      <c r="HP184" s="3"/>
      <c r="HQ184" s="3"/>
      <c r="HR184" s="3"/>
      <c r="HS184" s="3"/>
      <c r="HT184" s="3"/>
      <c r="HU184" s="3"/>
      <c r="HV184" s="3"/>
      <c r="HW184" s="3"/>
      <c r="HX184" s="3"/>
      <c r="HY184" s="3"/>
      <c r="HZ184" s="3"/>
      <c r="IA184" s="3"/>
      <c r="IB184" s="3"/>
      <c r="IC184" s="3"/>
      <c r="ID184" s="3"/>
      <c r="IE184" s="3"/>
      <c r="IF184" s="3"/>
      <c r="IG184" s="3"/>
      <c r="IH184" s="3"/>
      <c r="II184" s="3"/>
      <c r="IJ184" s="3"/>
      <c r="IK184" s="3"/>
      <c r="IL184" s="3"/>
    </row>
    <row r="185" spans="10:246" x14ac:dyDescent="0.3">
      <c r="K185" s="225"/>
      <c r="L185" t="s">
        <v>651</v>
      </c>
      <c r="M185">
        <v>4.8573813917918519E-2</v>
      </c>
      <c r="R185" s="225" t="s">
        <v>836</v>
      </c>
      <c r="S185" s="16">
        <v>2236080.0000000005</v>
      </c>
      <c r="T185">
        <f t="shared" si="47"/>
        <v>1.9201679802456505E-3</v>
      </c>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c r="HF185" s="3"/>
      <c r="HG185" s="3"/>
      <c r="HH185" s="3"/>
      <c r="HI185" s="3"/>
      <c r="HJ185" s="3"/>
      <c r="HK185" s="3"/>
      <c r="HL185" s="3"/>
      <c r="HM185" s="3"/>
      <c r="HN185" s="3"/>
      <c r="HO185" s="3"/>
      <c r="HP185" s="3"/>
      <c r="HQ185" s="3"/>
      <c r="HR185" s="3"/>
      <c r="HS185" s="3"/>
      <c r="HT185" s="3"/>
      <c r="HU185" s="3"/>
      <c r="HV185" s="3"/>
      <c r="HW185" s="3"/>
      <c r="HX185" s="3"/>
      <c r="HY185" s="3"/>
      <c r="HZ185" s="3"/>
      <c r="IA185" s="3"/>
      <c r="IB185" s="3"/>
      <c r="IC185" s="3"/>
      <c r="ID185" s="3"/>
      <c r="IE185" s="3"/>
      <c r="IF185" s="3"/>
      <c r="IG185" s="3"/>
      <c r="IH185" s="3"/>
      <c r="II185" s="3"/>
      <c r="IJ185" s="3"/>
      <c r="IK185" s="3"/>
      <c r="IL185" s="3"/>
    </row>
    <row r="186" spans="10:246" x14ac:dyDescent="0.3">
      <c r="K186" s="225"/>
      <c r="L186" t="s">
        <v>652</v>
      </c>
      <c r="M186">
        <v>8.5353953881809556E-3</v>
      </c>
      <c r="R186" s="4"/>
      <c r="S186" s="16">
        <f>SUM(S181:S185)</f>
        <v>1164523116.2087886</v>
      </c>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c r="HF186" s="3"/>
      <c r="HG186" s="3"/>
      <c r="HH186" s="3"/>
      <c r="HI186" s="3"/>
      <c r="HJ186" s="3"/>
      <c r="HK186" s="3"/>
      <c r="HL186" s="3"/>
      <c r="HM186" s="3"/>
      <c r="HN186" s="3"/>
      <c r="HO186" s="3"/>
      <c r="HP186" s="3"/>
      <c r="HQ186" s="3"/>
      <c r="HR186" s="3"/>
      <c r="HS186" s="3"/>
      <c r="HT186" s="3"/>
      <c r="HU186" s="3"/>
      <c r="HV186" s="3"/>
      <c r="HW186" s="3"/>
      <c r="HX186" s="3"/>
      <c r="HY186" s="3"/>
      <c r="HZ186" s="3"/>
      <c r="IA186" s="3"/>
      <c r="IB186" s="3"/>
      <c r="IC186" s="3"/>
      <c r="ID186" s="3"/>
      <c r="IE186" s="3"/>
      <c r="IF186" s="3"/>
      <c r="IG186" s="3"/>
      <c r="IH186" s="3"/>
      <c r="II186" s="3"/>
      <c r="IJ186" s="3"/>
      <c r="IK186" s="3"/>
      <c r="IL186" s="3"/>
    </row>
    <row r="187" spans="10:246" x14ac:dyDescent="0.3">
      <c r="K187" s="225"/>
      <c r="L187" t="s">
        <v>669</v>
      </c>
      <c r="M187">
        <v>1.8100606609799511E-2</v>
      </c>
      <c r="R187" s="4"/>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c r="HF187" s="3"/>
      <c r="HG187" s="3"/>
      <c r="HH187" s="3"/>
      <c r="HI187" s="3"/>
      <c r="HJ187" s="3"/>
      <c r="HK187" s="3"/>
      <c r="HL187" s="3"/>
      <c r="HM187" s="3"/>
      <c r="HN187" s="3"/>
      <c r="HO187" s="3"/>
      <c r="HP187" s="3"/>
      <c r="HQ187" s="3"/>
      <c r="HR187" s="3"/>
      <c r="HS187" s="3"/>
      <c r="HT187" s="3"/>
      <c r="HU187" s="3"/>
      <c r="HV187" s="3"/>
      <c r="HW187" s="3"/>
      <c r="HX187" s="3"/>
      <c r="HY187" s="3"/>
      <c r="HZ187" s="3"/>
      <c r="IA187" s="3"/>
      <c r="IB187" s="3"/>
      <c r="IC187" s="3"/>
      <c r="ID187" s="3"/>
      <c r="IE187" s="3"/>
      <c r="IF187" s="3"/>
      <c r="IG187" s="3"/>
      <c r="IH187" s="3"/>
      <c r="II187" s="3"/>
      <c r="IJ187" s="3"/>
      <c r="IK187" s="3"/>
      <c r="IL187" s="3"/>
    </row>
    <row r="188" spans="10:246" x14ac:dyDescent="0.3">
      <c r="K188" s="225"/>
      <c r="L188" t="s">
        <v>140</v>
      </c>
      <c r="M188">
        <v>0.19879745868095786</v>
      </c>
      <c r="R188" s="230" t="s">
        <v>872</v>
      </c>
      <c r="S188" s="227">
        <f t="shared" ref="S188:S207" si="48">T188*MESP</f>
        <v>0.37381339533025326</v>
      </c>
      <c r="T188">
        <f>T181</f>
        <v>0.18920946273857125</v>
      </c>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c r="HF188" s="3"/>
      <c r="HG188" s="3"/>
      <c r="HH188" s="3"/>
      <c r="HI188" s="3"/>
      <c r="HJ188" s="3"/>
      <c r="HK188" s="3"/>
      <c r="HL188" s="3"/>
      <c r="HM188" s="3"/>
      <c r="HN188" s="3"/>
      <c r="HO188" s="3"/>
      <c r="HP188" s="3"/>
      <c r="HQ188" s="3"/>
      <c r="HR188" s="3"/>
      <c r="HS188" s="3"/>
      <c r="HT188" s="3"/>
      <c r="HU188" s="3"/>
      <c r="HV188" s="3"/>
      <c r="HW188" s="3"/>
      <c r="HX188" s="3"/>
      <c r="HY188" s="3"/>
      <c r="HZ188" s="3"/>
      <c r="IA188" s="3"/>
      <c r="IB188" s="3"/>
      <c r="IC188" s="3"/>
      <c r="ID188" s="3"/>
      <c r="IE188" s="3"/>
      <c r="IF188" s="3"/>
      <c r="IG188" s="3"/>
      <c r="IH188" s="3"/>
      <c r="II188" s="3"/>
      <c r="IJ188" s="3"/>
      <c r="IK188" s="3"/>
      <c r="IL188" s="3"/>
    </row>
    <row r="189" spans="10:246" x14ac:dyDescent="0.3">
      <c r="K189" s="191"/>
      <c r="L189" t="s">
        <v>653</v>
      </c>
      <c r="M189">
        <v>4.8573813917918516E-3</v>
      </c>
      <c r="R189" s="4" t="s">
        <v>842</v>
      </c>
      <c r="S189" s="227">
        <f t="shared" si="48"/>
        <v>3.3343885735321627E-2</v>
      </c>
      <c r="T189">
        <f>T182</f>
        <v>1.687734785432907E-2</v>
      </c>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c r="HF189" s="3"/>
      <c r="HG189" s="3"/>
      <c r="HH189" s="3"/>
      <c r="HI189" s="3"/>
      <c r="HJ189" s="3"/>
      <c r="HK189" s="3"/>
      <c r="HL189" s="3"/>
      <c r="HM189" s="3"/>
      <c r="HN189" s="3"/>
      <c r="HO189" s="3"/>
      <c r="HP189" s="3"/>
      <c r="HQ189" s="3"/>
      <c r="HR189" s="3"/>
      <c r="HS189" s="3"/>
      <c r="HT189" s="3"/>
      <c r="HU189" s="3"/>
      <c r="HV189" s="3"/>
      <c r="HW189" s="3"/>
      <c r="HX189" s="3"/>
      <c r="HY189" s="3"/>
      <c r="HZ189" s="3"/>
      <c r="IA189" s="3"/>
      <c r="IB189" s="3"/>
      <c r="IC189" s="3"/>
      <c r="ID189" s="3"/>
      <c r="IE189" s="3"/>
      <c r="IF189" s="3"/>
      <c r="IG189" s="3"/>
      <c r="IH189" s="3"/>
      <c r="II189" s="3"/>
      <c r="IJ189" s="3"/>
      <c r="IK189" s="3"/>
      <c r="IL189" s="3"/>
    </row>
    <row r="190" spans="10:246" x14ac:dyDescent="0.3">
      <c r="L190" t="s">
        <v>433</v>
      </c>
      <c r="M190">
        <v>5.8038047288602051E-4</v>
      </c>
      <c r="R190" s="4" t="s">
        <v>869</v>
      </c>
      <c r="S190" s="227">
        <f t="shared" si="48"/>
        <v>0.29304555937806764</v>
      </c>
      <c r="T190">
        <f>T184</f>
        <v>0.14832799878362427</v>
      </c>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c r="HF190" s="3"/>
      <c r="HG190" s="3"/>
      <c r="HH190" s="3"/>
      <c r="HI190" s="3"/>
      <c r="HJ190" s="3"/>
      <c r="HK190" s="3"/>
      <c r="HL190" s="3"/>
      <c r="HM190" s="3"/>
      <c r="HN190" s="3"/>
      <c r="HO190" s="3"/>
      <c r="HP190" s="3"/>
      <c r="HQ190" s="3"/>
      <c r="HR190" s="3"/>
      <c r="HS190" s="3"/>
      <c r="HT190" s="3"/>
      <c r="HU190" s="3"/>
      <c r="HV190" s="3"/>
      <c r="HW190" s="3"/>
      <c r="HX190" s="3"/>
      <c r="HY190" s="3"/>
      <c r="HZ190" s="3"/>
      <c r="IA190" s="3"/>
      <c r="IB190" s="3"/>
      <c r="IC190" s="3"/>
      <c r="ID190" s="3"/>
      <c r="IE190" s="3"/>
      <c r="IF190" s="3"/>
      <c r="IG190" s="3"/>
      <c r="IH190" s="3"/>
      <c r="II190" s="3"/>
      <c r="IJ190" s="3"/>
      <c r="IK190" s="3"/>
      <c r="IL190" s="3"/>
    </row>
    <row r="191" spans="10:246" x14ac:dyDescent="0.3">
      <c r="L191" t="s">
        <v>434</v>
      </c>
      <c r="M191">
        <v>9.4482417205544855E-3</v>
      </c>
      <c r="R191" s="4" t="s">
        <v>870</v>
      </c>
      <c r="S191" s="227">
        <f t="shared" si="48"/>
        <v>3.7935973281199823E-3</v>
      </c>
      <c r="T191">
        <f>T185</f>
        <v>1.9201679802456505E-3</v>
      </c>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c r="HF191" s="3"/>
      <c r="HG191" s="3"/>
      <c r="HH191" s="3"/>
      <c r="HI191" s="3"/>
      <c r="HJ191" s="3"/>
      <c r="HK191" s="3"/>
      <c r="HL191" s="3"/>
      <c r="HM191" s="3"/>
      <c r="HN191" s="3"/>
      <c r="HO191" s="3"/>
      <c r="HP191" s="3"/>
      <c r="HQ191" s="3"/>
      <c r="HR191" s="3"/>
      <c r="HS191" s="3"/>
      <c r="HT191" s="3"/>
      <c r="HU191" s="3"/>
      <c r="HV191" s="3"/>
      <c r="HW191" s="3"/>
      <c r="HX191" s="3"/>
      <c r="HY191" s="3"/>
      <c r="HZ191" s="3"/>
      <c r="IA191" s="3"/>
      <c r="IB191" s="3"/>
      <c r="IC191" s="3"/>
      <c r="ID191" s="3"/>
      <c r="IE191" s="3"/>
      <c r="IF191" s="3"/>
      <c r="IG191" s="3"/>
      <c r="IH191" s="3"/>
      <c r="II191" s="3"/>
      <c r="IJ191" s="3"/>
      <c r="IK191" s="3"/>
      <c r="IL191" s="3"/>
    </row>
    <row r="192" spans="10:246" x14ac:dyDescent="0.3">
      <c r="L192" t="s">
        <v>865</v>
      </c>
      <c r="M192">
        <v>6.5732182406654724E-3</v>
      </c>
      <c r="R192" s="4" t="s">
        <v>649</v>
      </c>
      <c r="S192" s="227">
        <f t="shared" si="48"/>
        <v>9.6571786212072026E-3</v>
      </c>
      <c r="T192">
        <f t="shared" ref="T192:T206" si="49">M183*W$183*T$183</f>
        <v>4.8880794570636691E-3</v>
      </c>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c r="HF192" s="3"/>
      <c r="HG192" s="3"/>
      <c r="HH192" s="3"/>
      <c r="HI192" s="3"/>
      <c r="HJ192" s="3"/>
      <c r="HK192" s="3"/>
      <c r="HL192" s="3"/>
      <c r="HM192" s="3"/>
      <c r="HN192" s="3"/>
      <c r="HO192" s="3"/>
      <c r="HP192" s="3"/>
      <c r="HQ192" s="3"/>
      <c r="HR192" s="3"/>
      <c r="HS192" s="3"/>
      <c r="HT192" s="3"/>
      <c r="HU192" s="3"/>
      <c r="HV192" s="3"/>
      <c r="HW192" s="3"/>
      <c r="HX192" s="3"/>
      <c r="HY192" s="3"/>
      <c r="HZ192" s="3"/>
      <c r="IA192" s="3"/>
      <c r="IB192" s="3"/>
      <c r="IC192" s="3"/>
      <c r="ID192" s="3"/>
      <c r="IE192" s="3"/>
      <c r="IF192" s="3"/>
      <c r="IG192" s="3"/>
      <c r="IH192" s="3"/>
      <c r="II192" s="3"/>
      <c r="IJ192" s="3"/>
      <c r="IK192" s="3"/>
      <c r="IL192" s="3"/>
    </row>
    <row r="193" spans="12:246" x14ac:dyDescent="0.3">
      <c r="L193" t="s">
        <v>668</v>
      </c>
      <c r="M193">
        <v>2.9877371488005258E-2</v>
      </c>
      <c r="R193" s="4" t="s">
        <v>650</v>
      </c>
      <c r="S193" s="227">
        <f t="shared" si="48"/>
        <v>3.0825714158893396E-2</v>
      </c>
      <c r="T193">
        <f t="shared" si="49"/>
        <v>1.5602749626947235E-2</v>
      </c>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c r="HF193" s="3"/>
      <c r="HG193" s="3"/>
      <c r="HH193" s="3"/>
      <c r="HI193" s="3"/>
      <c r="HJ193" s="3"/>
      <c r="HK193" s="3"/>
      <c r="HL193" s="3"/>
      <c r="HM193" s="3"/>
      <c r="HN193" s="3"/>
      <c r="HO193" s="3"/>
      <c r="HP193" s="3"/>
      <c r="HQ193" s="3"/>
      <c r="HR193" s="3"/>
      <c r="HS193" s="3"/>
      <c r="HT193" s="3"/>
      <c r="HU193" s="3"/>
      <c r="HV193" s="3"/>
      <c r="HW193" s="3"/>
      <c r="HX193" s="3"/>
      <c r="HY193" s="3"/>
      <c r="HZ193" s="3"/>
      <c r="IA193" s="3"/>
      <c r="IB193" s="3"/>
      <c r="IC193" s="3"/>
      <c r="ID193" s="3"/>
      <c r="IE193" s="3"/>
      <c r="IF193" s="3"/>
      <c r="IG193" s="3"/>
      <c r="IH193" s="3"/>
      <c r="II193" s="3"/>
      <c r="IJ193" s="3"/>
      <c r="IK193" s="3"/>
      <c r="IL193" s="3"/>
    </row>
    <row r="194" spans="12:246" x14ac:dyDescent="0.3">
      <c r="L194" t="s">
        <v>667</v>
      </c>
      <c r="M194">
        <v>3.9858548125740592E-2</v>
      </c>
      <c r="R194" s="4" t="s">
        <v>651</v>
      </c>
      <c r="S194" s="227">
        <f t="shared" si="48"/>
        <v>5.3473876092843577E-2</v>
      </c>
      <c r="T194">
        <f t="shared" si="49"/>
        <v>2.7066347788679734E-2</v>
      </c>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c r="HF194" s="3"/>
      <c r="HG194" s="3"/>
      <c r="HH194" s="3"/>
      <c r="HI194" s="3"/>
      <c r="HJ194" s="3"/>
      <c r="HK194" s="3"/>
      <c r="HL194" s="3"/>
      <c r="HM194" s="3"/>
      <c r="HN194" s="3"/>
      <c r="HO194" s="3"/>
      <c r="HP194" s="3"/>
      <c r="HQ194" s="3"/>
      <c r="HR194" s="3"/>
      <c r="HS194" s="3"/>
      <c r="HT194" s="3"/>
      <c r="HU194" s="3"/>
      <c r="HV194" s="3"/>
      <c r="HW194" s="3"/>
      <c r="HX194" s="3"/>
      <c r="HY194" s="3"/>
      <c r="HZ194" s="3"/>
      <c r="IA194" s="3"/>
      <c r="IB194" s="3"/>
      <c r="IC194" s="3"/>
      <c r="ID194" s="3"/>
      <c r="IE194" s="3"/>
      <c r="IF194" s="3"/>
      <c r="IG194" s="3"/>
      <c r="IH194" s="3"/>
      <c r="II194" s="3"/>
      <c r="IJ194" s="3"/>
      <c r="IK194" s="3"/>
      <c r="IL194" s="3"/>
    </row>
    <row r="195" spans="12:246" x14ac:dyDescent="0.3">
      <c r="L195" t="s">
        <v>695</v>
      </c>
      <c r="M195">
        <v>4.2903785579597065E-2</v>
      </c>
      <c r="R195" s="4" t="s">
        <v>652</v>
      </c>
      <c r="S195" s="227">
        <f t="shared" si="48"/>
        <v>9.3964347984346087E-3</v>
      </c>
      <c r="T195">
        <f t="shared" si="49"/>
        <v>4.7561013117229508E-3</v>
      </c>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c r="HF195" s="3"/>
      <c r="HG195" s="3"/>
      <c r="HH195" s="3"/>
      <c r="HI195" s="3"/>
      <c r="HJ195" s="3"/>
      <c r="HK195" s="3"/>
      <c r="HL195" s="3"/>
      <c r="HM195" s="3"/>
      <c r="HN195" s="3"/>
      <c r="HO195" s="3"/>
      <c r="HP195" s="3"/>
      <c r="HQ195" s="3"/>
      <c r="HR195" s="3"/>
      <c r="HS195" s="3"/>
      <c r="HT195" s="3"/>
      <c r="HU195" s="3"/>
      <c r="HV195" s="3"/>
      <c r="HW195" s="3"/>
      <c r="HX195" s="3"/>
      <c r="HY195" s="3"/>
      <c r="HZ195" s="3"/>
      <c r="IA195" s="3"/>
      <c r="IB195" s="3"/>
      <c r="IC195" s="3"/>
      <c r="ID195" s="3"/>
      <c r="IE195" s="3"/>
      <c r="IF195" s="3"/>
      <c r="IG195" s="3"/>
      <c r="IH195" s="3"/>
      <c r="II195" s="3"/>
      <c r="IJ195" s="3"/>
      <c r="IK195" s="3"/>
      <c r="IL195" s="3"/>
    </row>
    <row r="196" spans="12:246" x14ac:dyDescent="0.3">
      <c r="L196" t="s">
        <v>854</v>
      </c>
      <c r="M196">
        <v>0.63996600148310034</v>
      </c>
      <c r="R196" s="4" t="s">
        <v>669</v>
      </c>
      <c r="S196" s="227">
        <f t="shared" si="48"/>
        <v>1.9926571891046629E-2</v>
      </c>
      <c r="T196">
        <f t="shared" si="49"/>
        <v>1.0086037602787085E-2</v>
      </c>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c r="HF196" s="3"/>
      <c r="HG196" s="3"/>
      <c r="HH196" s="3"/>
      <c r="HI196" s="3"/>
      <c r="HJ196" s="3"/>
      <c r="HK196" s="3"/>
      <c r="HL196" s="3"/>
      <c r="HM196" s="3"/>
      <c r="HN196" s="3"/>
      <c r="HO196" s="3"/>
      <c r="HP196" s="3"/>
      <c r="HQ196" s="3"/>
      <c r="HR196" s="3"/>
      <c r="HS196" s="3"/>
      <c r="HT196" s="3"/>
      <c r="HU196" s="3"/>
      <c r="HV196" s="3"/>
      <c r="HW196" s="3"/>
      <c r="HX196" s="3"/>
      <c r="HY196" s="3"/>
      <c r="HZ196" s="3"/>
      <c r="IA196" s="3"/>
      <c r="IB196" s="3"/>
      <c r="IC196" s="3"/>
      <c r="ID196" s="3"/>
      <c r="IE196" s="3"/>
      <c r="IF196" s="3"/>
      <c r="IG196" s="3"/>
      <c r="IH196" s="3"/>
      <c r="II196" s="3"/>
      <c r="IJ196" s="3"/>
      <c r="IK196" s="3"/>
      <c r="IL196" s="3"/>
    </row>
    <row r="197" spans="12:246" x14ac:dyDescent="0.3">
      <c r="L197" t="s">
        <v>614</v>
      </c>
      <c r="M197">
        <v>-8.4845458461227388E-2</v>
      </c>
      <c r="R197" s="4" t="s">
        <v>140</v>
      </c>
      <c r="S197" s="227">
        <f t="shared" si="48"/>
        <v>0.21885188367216579</v>
      </c>
      <c r="T197">
        <f t="shared" si="49"/>
        <v>0.11077411309017236</v>
      </c>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c r="HF197" s="3"/>
      <c r="HG197" s="3"/>
      <c r="HH197" s="3"/>
      <c r="HI197" s="3"/>
      <c r="HJ197" s="3"/>
      <c r="HK197" s="3"/>
      <c r="HL197" s="3"/>
      <c r="HM197" s="3"/>
      <c r="HN197" s="3"/>
      <c r="HO197" s="3"/>
      <c r="HP197" s="3"/>
      <c r="HQ197" s="3"/>
      <c r="HR197" s="3"/>
      <c r="HS197" s="3"/>
      <c r="HT197" s="3"/>
      <c r="HU197" s="3"/>
      <c r="HV197" s="3"/>
      <c r="HW197" s="3"/>
      <c r="HX197" s="3"/>
      <c r="HY197" s="3"/>
      <c r="HZ197" s="3"/>
      <c r="IA197" s="3"/>
      <c r="IB197" s="3"/>
      <c r="IC197" s="3"/>
      <c r="ID197" s="3"/>
      <c r="IE197" s="3"/>
      <c r="IF197" s="3"/>
      <c r="IG197" s="3"/>
      <c r="IH197" s="3"/>
      <c r="II197" s="3"/>
      <c r="IJ197" s="3"/>
      <c r="IK197" s="3"/>
      <c r="IL197" s="3"/>
    </row>
    <row r="198" spans="12:246" x14ac:dyDescent="0.3">
      <c r="R198" s="4" t="s">
        <v>653</v>
      </c>
      <c r="S198" s="227">
        <f t="shared" si="48"/>
        <v>5.3473876092843577E-3</v>
      </c>
      <c r="T198">
        <f t="shared" si="49"/>
        <v>2.706634778867973E-3</v>
      </c>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c r="HF198" s="3"/>
      <c r="HG198" s="3"/>
      <c r="HH198" s="3"/>
      <c r="HI198" s="3"/>
      <c r="HJ198" s="3"/>
      <c r="HK198" s="3"/>
      <c r="HL198" s="3"/>
      <c r="HM198" s="3"/>
      <c r="HN198" s="3"/>
      <c r="HO198" s="3"/>
      <c r="HP198" s="3"/>
      <c r="HQ198" s="3"/>
      <c r="HR198" s="3"/>
      <c r="HS198" s="3"/>
      <c r="HT198" s="3"/>
      <c r="HU198" s="3"/>
      <c r="HV198" s="3"/>
      <c r="HW198" s="3"/>
      <c r="HX198" s="3"/>
      <c r="HY198" s="3"/>
      <c r="HZ198" s="3"/>
      <c r="IA198" s="3"/>
      <c r="IB198" s="3"/>
      <c r="IC198" s="3"/>
      <c r="ID198" s="3"/>
      <c r="IE198" s="3"/>
      <c r="IF198" s="3"/>
      <c r="IG198" s="3"/>
      <c r="IH198" s="3"/>
      <c r="II198" s="3"/>
      <c r="IJ198" s="3"/>
      <c r="IK198" s="3"/>
      <c r="IL198" s="3"/>
    </row>
    <row r="199" spans="12:246" x14ac:dyDescent="0.3">
      <c r="R199" s="4" t="s">
        <v>433</v>
      </c>
      <c r="S199" s="227">
        <f t="shared" si="48"/>
        <v>6.3892848822324762E-4</v>
      </c>
      <c r="T199">
        <f t="shared" si="49"/>
        <v>3.2340017103529498E-4</v>
      </c>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c r="HF199" s="3"/>
      <c r="HG199" s="3"/>
      <c r="HH199" s="3"/>
      <c r="HI199" s="3"/>
      <c r="HJ199" s="3"/>
      <c r="HK199" s="3"/>
      <c r="HL199" s="3"/>
      <c r="HM199" s="3"/>
      <c r="HN199" s="3"/>
      <c r="HO199" s="3"/>
      <c r="HP199" s="3"/>
      <c r="HQ199" s="3"/>
      <c r="HR199" s="3"/>
      <c r="HS199" s="3"/>
      <c r="HT199" s="3"/>
      <c r="HU199" s="3"/>
      <c r="HV199" s="3"/>
      <c r="HW199" s="3"/>
      <c r="HX199" s="3"/>
      <c r="HY199" s="3"/>
      <c r="HZ199" s="3"/>
      <c r="IA199" s="3"/>
      <c r="IB199" s="3"/>
      <c r="IC199" s="3"/>
      <c r="ID199" s="3"/>
      <c r="IE199" s="3"/>
      <c r="IF199" s="3"/>
      <c r="IG199" s="3"/>
      <c r="IH199" s="3"/>
      <c r="II199" s="3"/>
      <c r="IJ199" s="3"/>
      <c r="IK199" s="3"/>
      <c r="IL199" s="3"/>
    </row>
    <row r="200" spans="12:246" x14ac:dyDescent="0.3">
      <c r="R200" s="4" t="s">
        <v>434</v>
      </c>
      <c r="S200" s="227">
        <f t="shared" si="48"/>
        <v>1.0401367862814426E-2</v>
      </c>
      <c r="T200">
        <f t="shared" si="49"/>
        <v>5.2647584320263726E-3</v>
      </c>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c r="HF200" s="3"/>
      <c r="HG200" s="3"/>
      <c r="HH200" s="3"/>
      <c r="HI200" s="3"/>
      <c r="HJ200" s="3"/>
      <c r="HK200" s="3"/>
      <c r="HL200" s="3"/>
      <c r="HM200" s="3"/>
      <c r="HN200" s="3"/>
      <c r="HO200" s="3"/>
      <c r="HP200" s="3"/>
      <c r="HQ200" s="3"/>
      <c r="HR200" s="3"/>
      <c r="HS200" s="3"/>
      <c r="HT200" s="3"/>
      <c r="HU200" s="3"/>
      <c r="HV200" s="3"/>
      <c r="HW200" s="3"/>
      <c r="HX200" s="3"/>
      <c r="HY200" s="3"/>
      <c r="HZ200" s="3"/>
      <c r="IA200" s="3"/>
      <c r="IB200" s="3"/>
      <c r="IC200" s="3"/>
      <c r="ID200" s="3"/>
      <c r="IE200" s="3"/>
      <c r="IF200" s="3"/>
      <c r="IG200" s="3"/>
      <c r="IH200" s="3"/>
      <c r="II200" s="3"/>
      <c r="IJ200" s="3"/>
      <c r="IK200" s="3"/>
      <c r="IL200" s="3"/>
    </row>
    <row r="201" spans="12:246" x14ac:dyDescent="0.3">
      <c r="R201" s="4" t="s">
        <v>865</v>
      </c>
      <c r="S201" s="227">
        <f t="shared" si="48"/>
        <v>7.2363158126008444E-3</v>
      </c>
      <c r="T201">
        <f t="shared" si="49"/>
        <v>3.6627350550110789E-3</v>
      </c>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c r="HF201" s="3"/>
      <c r="HG201" s="3"/>
      <c r="HH201" s="3"/>
      <c r="HI201" s="3"/>
      <c r="HJ201" s="3"/>
      <c r="HK201" s="3"/>
      <c r="HL201" s="3"/>
      <c r="HM201" s="3"/>
      <c r="HN201" s="3"/>
      <c r="HO201" s="3"/>
      <c r="HP201" s="3"/>
      <c r="HQ201" s="3"/>
      <c r="HR201" s="3"/>
      <c r="HS201" s="3"/>
      <c r="HT201" s="3"/>
      <c r="HU201" s="3"/>
      <c r="HV201" s="3"/>
      <c r="HW201" s="3"/>
      <c r="HX201" s="3"/>
      <c r="HY201" s="3"/>
      <c r="HZ201" s="3"/>
      <c r="IA201" s="3"/>
      <c r="IB201" s="3"/>
      <c r="IC201" s="3"/>
      <c r="ID201" s="3"/>
      <c r="IE201" s="3"/>
      <c r="IF201" s="3"/>
      <c r="IG201" s="3"/>
      <c r="IH201" s="3"/>
      <c r="II201" s="3"/>
      <c r="IJ201" s="3"/>
      <c r="IK201" s="3"/>
      <c r="IL201" s="3"/>
    </row>
    <row r="202" spans="12:246" x14ac:dyDescent="0.3">
      <c r="R202" s="4" t="s">
        <v>668</v>
      </c>
      <c r="S202" s="227">
        <f t="shared" si="48"/>
        <v>3.2891361251336418E-2</v>
      </c>
      <c r="T202">
        <f t="shared" si="49"/>
        <v>1.6648297971257744E-2</v>
      </c>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c r="HF202" s="3"/>
      <c r="HG202" s="3"/>
      <c r="HH202" s="3"/>
      <c r="HI202" s="3"/>
      <c r="HJ202" s="3"/>
      <c r="HK202" s="3"/>
      <c r="HL202" s="3"/>
      <c r="HM202" s="3"/>
      <c r="HN202" s="3"/>
      <c r="HO202" s="3"/>
      <c r="HP202" s="3"/>
      <c r="HQ202" s="3"/>
      <c r="HR202" s="3"/>
      <c r="HS202" s="3"/>
      <c r="HT202" s="3"/>
      <c r="HU202" s="3"/>
      <c r="HV202" s="3"/>
      <c r="HW202" s="3"/>
      <c r="HX202" s="3"/>
      <c r="HY202" s="3"/>
      <c r="HZ202" s="3"/>
      <c r="IA202" s="3"/>
      <c r="IB202" s="3"/>
      <c r="IC202" s="3"/>
      <c r="ID202" s="3"/>
      <c r="IE202" s="3"/>
      <c r="IF202" s="3"/>
      <c r="IG202" s="3"/>
      <c r="IH202" s="3"/>
      <c r="II202" s="3"/>
      <c r="IJ202" s="3"/>
      <c r="IK202" s="3"/>
      <c r="IL202" s="3"/>
    </row>
    <row r="203" spans="12:246" x14ac:dyDescent="0.3">
      <c r="R203" s="4" t="s">
        <v>667</v>
      </c>
      <c r="S203" s="227">
        <f t="shared" si="48"/>
        <v>4.38794258016919E-2</v>
      </c>
      <c r="T203">
        <f t="shared" si="49"/>
        <v>2.2210018915668324E-2</v>
      </c>
    </row>
    <row r="204" spans="12:246" x14ac:dyDescent="0.3">
      <c r="R204" s="4" t="s">
        <v>695</v>
      </c>
      <c r="S204" s="227">
        <f t="shared" si="48"/>
        <v>4.7231862786689213E-2</v>
      </c>
      <c r="T204">
        <f t="shared" si="49"/>
        <v>2.3906889088648242E-2</v>
      </c>
    </row>
    <row r="205" spans="12:246" x14ac:dyDescent="0.3">
      <c r="R205" s="4" t="s">
        <v>854</v>
      </c>
      <c r="S205" s="227">
        <f t="shared" si="48"/>
        <v>0.70452492622400009</v>
      </c>
      <c r="T205">
        <f t="shared" si="49"/>
        <v>0.35660247717716342</v>
      </c>
    </row>
    <row r="206" spans="12:246" x14ac:dyDescent="0.3">
      <c r="R206" s="4" t="s">
        <v>614</v>
      </c>
      <c r="S206" s="227">
        <f t="shared" si="48"/>
        <v>-9.340455621753245E-2</v>
      </c>
      <c r="T206">
        <f t="shared" si="49"/>
        <v>-4.7277668804886958E-2</v>
      </c>
    </row>
    <row r="207" spans="12:246" x14ac:dyDescent="0.3">
      <c r="R207" s="4" t="s">
        <v>873</v>
      </c>
      <c r="S207" s="227">
        <f t="shared" si="48"/>
        <v>0.17078397526016648</v>
      </c>
      <c r="T207">
        <f>1-SUM(T188:T206)</f>
        <v>8.6444050981065335E-2</v>
      </c>
    </row>
    <row r="208" spans="12:246" x14ac:dyDescent="0.3">
      <c r="R208" s="4"/>
    </row>
  </sheetData>
  <mergeCells count="19">
    <mergeCell ref="H89:I89"/>
    <mergeCell ref="C103:D103"/>
    <mergeCell ref="A1:C1"/>
    <mergeCell ref="C24:D25"/>
    <mergeCell ref="A68:C68"/>
    <mergeCell ref="D57:F57"/>
    <mergeCell ref="A59:C59"/>
    <mergeCell ref="A60:C60"/>
    <mergeCell ref="A61:C61"/>
    <mergeCell ref="A62:C62"/>
    <mergeCell ref="A63:C63"/>
    <mergeCell ref="A64:C64"/>
    <mergeCell ref="A65:C65"/>
    <mergeCell ref="A66:C66"/>
    <mergeCell ref="A67:C67"/>
    <mergeCell ref="C109:D109"/>
    <mergeCell ref="F109:G109"/>
    <mergeCell ref="F103:G103"/>
    <mergeCell ref="C89:D89"/>
  </mergeCells>
  <conditionalFormatting sqref="G27:G43">
    <cfRule type="cellIs" dxfId="18" priority="19" operator="between">
      <formula>0.5</formula>
      <formula>2</formula>
    </cfRule>
  </conditionalFormatting>
  <conditionalFormatting sqref="G31:G43">
    <cfRule type="cellIs" dxfId="17" priority="18" operator="greaterThan">
      <formula>5</formula>
    </cfRule>
  </conditionalFormatting>
  <conditionalFormatting sqref="G33">
    <cfRule type="cellIs" dxfId="16" priority="17" operator="lessThan">
      <formula>0.1</formula>
    </cfRule>
  </conditionalFormatting>
  <conditionalFormatting sqref="R128">
    <cfRule type="cellIs" dxfId="15" priority="15" operator="equal">
      <formula>0</formula>
    </cfRule>
    <cfRule type="cellIs" dxfId="14" priority="16" operator="equal">
      <formula>" $-   "</formula>
    </cfRule>
  </conditionalFormatting>
  <conditionalFormatting sqref="J116">
    <cfRule type="cellIs" dxfId="13" priority="5" operator="greaterThan">
      <formula>1.2</formula>
    </cfRule>
    <cfRule type="cellIs" dxfId="12" priority="6" operator="lessThan">
      <formula>0.8</formula>
    </cfRule>
    <cfRule type="cellIs" dxfId="11" priority="7" operator="between">
      <formula>1.1</formula>
      <formula>1.2</formula>
    </cfRule>
    <cfRule type="cellIs" dxfId="10" priority="8" operator="between">
      <formula>0.8</formula>
      <formula>0.9</formula>
    </cfRule>
    <cfRule type="cellIs" dxfId="9" priority="9" operator="between">
      <formula>0.9</formula>
      <formula>1.1</formula>
    </cfRule>
    <cfRule type="cellIs" dxfId="8" priority="10" operator="greaterThan">
      <formula>1.2</formula>
    </cfRule>
    <cfRule type="cellIs" dxfId="7" priority="11" operator="lessThan">
      <formula>0.8</formula>
    </cfRule>
    <cfRule type="cellIs" dxfId="6" priority="12" operator="between">
      <formula>1.1</formula>
      <formula>1.2</formula>
    </cfRule>
    <cfRule type="cellIs" dxfId="5" priority="13" operator="between">
      <formula>0.8</formula>
      <formula>0.9</formula>
    </cfRule>
    <cfRule type="cellIs" dxfId="4" priority="14" operator="between">
      <formula>0.9</formula>
      <formula>1.1</formula>
    </cfRule>
  </conditionalFormatting>
  <conditionalFormatting sqref="H116">
    <cfRule type="cellIs" dxfId="3" priority="2" operator="lessThan">
      <formula>0</formula>
    </cfRule>
    <cfRule type="cellIs" dxfId="2" priority="3" operator="greaterThan">
      <formula>0</formula>
    </cfRule>
    <cfRule type="cellIs" dxfId="1" priority="4" operator="equal">
      <formula>0</formula>
    </cfRule>
  </conditionalFormatting>
  <conditionalFormatting sqref="AH173">
    <cfRule type="cellIs" dxfId="0" priority="1" operator="equal">
      <formula>0</formula>
    </cfRule>
  </conditionalFormatting>
  <hyperlinks>
    <hyperlink ref="G137" r:id="rId1" display="Page 37 Table" xr:uid="{55AF77C7-A9AC-4E3E-A6E8-141E4E96F0A3}"/>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52" r:id="rId5" name="Button 36">
              <controlPr defaultSize="0" print="0" autoFill="0" autoPict="0" macro="[0]!Goal_Seek_NPV">
                <anchor moveWithCells="1" sizeWithCells="1">
                  <from>
                    <xdr:col>5</xdr:col>
                    <xdr:colOff>297180</xdr:colOff>
                    <xdr:row>113</xdr:row>
                    <xdr:rowOff>106680</xdr:rowOff>
                  </from>
                  <to>
                    <xdr:col>6</xdr:col>
                    <xdr:colOff>739140</xdr:colOff>
                    <xdr:row>116</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28"/>
  <sheetViews>
    <sheetView workbookViewId="0">
      <selection activeCell="C22" sqref="C22"/>
    </sheetView>
  </sheetViews>
  <sheetFormatPr defaultRowHeight="14.4" x14ac:dyDescent="0.3"/>
  <cols>
    <col min="1" max="1" width="28.109375" customWidth="1"/>
    <col min="2" max="2" width="4.44140625" style="17" customWidth="1"/>
    <col min="3" max="3" width="14.77734375" customWidth="1"/>
    <col min="4" max="4" width="9.44140625" customWidth="1"/>
    <col min="5" max="7" width="14.77734375" customWidth="1"/>
  </cols>
  <sheetData>
    <row r="1" spans="1:18" x14ac:dyDescent="0.3">
      <c r="A1" s="293" t="s">
        <v>344</v>
      </c>
      <c r="B1" s="293"/>
      <c r="C1" s="293"/>
      <c r="D1" s="293"/>
      <c r="E1" s="293"/>
      <c r="F1" s="293"/>
    </row>
    <row r="2" spans="1:18" x14ac:dyDescent="0.3">
      <c r="A2" s="293"/>
      <c r="B2" s="293"/>
      <c r="C2" s="293"/>
      <c r="D2" s="293"/>
      <c r="E2" s="293"/>
      <c r="F2" s="293"/>
    </row>
    <row r="3" spans="1:18" x14ac:dyDescent="0.3">
      <c r="A3" s="293"/>
      <c r="B3" s="293"/>
      <c r="C3" s="293"/>
      <c r="D3" s="293"/>
      <c r="E3" s="293"/>
      <c r="F3" s="293"/>
      <c r="G3" s="3"/>
      <c r="H3" s="3"/>
      <c r="I3" s="3"/>
      <c r="J3" s="3"/>
      <c r="K3" s="3"/>
      <c r="L3" s="3"/>
      <c r="M3" s="3"/>
      <c r="N3" s="3"/>
      <c r="O3" s="3"/>
      <c r="P3" s="3"/>
      <c r="Q3" s="3"/>
      <c r="R3" s="3"/>
    </row>
    <row r="4" spans="1:18" x14ac:dyDescent="0.3">
      <c r="A4" s="4" t="s">
        <v>210</v>
      </c>
      <c r="B4" s="4">
        <v>1</v>
      </c>
      <c r="C4" t="s">
        <v>207</v>
      </c>
      <c r="D4">
        <f>B4*1000/789</f>
        <v>1.267427122940431</v>
      </c>
      <c r="E4" t="s">
        <v>209</v>
      </c>
      <c r="F4" t="s">
        <v>208</v>
      </c>
    </row>
    <row r="5" spans="1:18" x14ac:dyDescent="0.3">
      <c r="A5" s="4" t="s">
        <v>82</v>
      </c>
      <c r="B5" s="4">
        <v>1</v>
      </c>
      <c r="C5" t="s">
        <v>83</v>
      </c>
      <c r="D5">
        <v>1.60934</v>
      </c>
      <c r="E5" t="s">
        <v>80</v>
      </c>
      <c r="F5" t="s">
        <v>81</v>
      </c>
    </row>
    <row r="6" spans="1:18" x14ac:dyDescent="0.3">
      <c r="A6" s="4" t="s">
        <v>22</v>
      </c>
      <c r="B6" s="4">
        <v>1</v>
      </c>
      <c r="C6" t="s">
        <v>7</v>
      </c>
      <c r="D6">
        <v>2.47105</v>
      </c>
      <c r="E6" t="s">
        <v>23</v>
      </c>
      <c r="F6" t="s">
        <v>21</v>
      </c>
    </row>
    <row r="7" spans="1:18" x14ac:dyDescent="0.3">
      <c r="A7" s="4" t="s">
        <v>36</v>
      </c>
      <c r="B7" s="4">
        <v>1</v>
      </c>
      <c r="C7" t="s">
        <v>35</v>
      </c>
      <c r="D7">
        <f>1/435.6</f>
        <v>2.295684113865932E-3</v>
      </c>
      <c r="E7" t="s">
        <v>23</v>
      </c>
      <c r="F7" t="s">
        <v>21</v>
      </c>
    </row>
    <row r="8" spans="1:18" x14ac:dyDescent="0.3">
      <c r="A8" s="4" t="s">
        <v>73</v>
      </c>
      <c r="B8" s="4">
        <v>1</v>
      </c>
      <c r="C8" t="s">
        <v>25</v>
      </c>
      <c r="D8">
        <v>25.4</v>
      </c>
      <c r="E8" t="s">
        <v>26</v>
      </c>
      <c r="F8" t="s">
        <v>24</v>
      </c>
    </row>
    <row r="9" spans="1:18" x14ac:dyDescent="0.3">
      <c r="A9" s="4" t="s">
        <v>39</v>
      </c>
      <c r="B9" s="4">
        <v>1</v>
      </c>
      <c r="C9" t="s">
        <v>40</v>
      </c>
      <c r="D9">
        <f>1/2.205</f>
        <v>0.45351473922902491</v>
      </c>
      <c r="E9" t="s">
        <v>26</v>
      </c>
      <c r="F9" t="s">
        <v>24</v>
      </c>
    </row>
    <row r="10" spans="1:18" x14ac:dyDescent="0.3">
      <c r="A10" s="4" t="s">
        <v>215</v>
      </c>
      <c r="B10" s="4">
        <v>1</v>
      </c>
      <c r="C10" t="s">
        <v>26</v>
      </c>
      <c r="D10">
        <v>1.10231E-3</v>
      </c>
      <c r="E10" t="s">
        <v>216</v>
      </c>
      <c r="F10" t="s">
        <v>24</v>
      </c>
    </row>
    <row r="11" spans="1:18" x14ac:dyDescent="0.3">
      <c r="A11" s="4" t="s">
        <v>221</v>
      </c>
      <c r="B11" s="4">
        <v>1</v>
      </c>
      <c r="C11" t="s">
        <v>216</v>
      </c>
      <c r="D11">
        <f>B11*(2000/56)</f>
        <v>35.714285714285715</v>
      </c>
      <c r="E11" t="s">
        <v>222</v>
      </c>
      <c r="F11" t="s">
        <v>24</v>
      </c>
    </row>
    <row r="12" spans="1:18" x14ac:dyDescent="0.3">
      <c r="A12" s="4" t="s">
        <v>223</v>
      </c>
      <c r="B12" s="4">
        <v>1</v>
      </c>
      <c r="C12" t="s">
        <v>26</v>
      </c>
      <c r="D12">
        <f>1/25.4</f>
        <v>3.937007874015748E-2</v>
      </c>
      <c r="E12" t="s">
        <v>224</v>
      </c>
      <c r="F12" t="s">
        <v>24</v>
      </c>
    </row>
    <row r="13" spans="1:18" x14ac:dyDescent="0.3">
      <c r="A13" s="4" t="s">
        <v>74</v>
      </c>
      <c r="B13" s="4">
        <v>1</v>
      </c>
      <c r="C13" t="s">
        <v>75</v>
      </c>
      <c r="D13">
        <v>3.7854100000000002</v>
      </c>
      <c r="E13" t="s">
        <v>76</v>
      </c>
      <c r="F13" t="s">
        <v>72</v>
      </c>
    </row>
    <row r="14" spans="1:18" x14ac:dyDescent="0.3">
      <c r="A14" s="4" t="s">
        <v>230</v>
      </c>
      <c r="B14" s="4">
        <v>1</v>
      </c>
      <c r="C14" t="s">
        <v>75</v>
      </c>
      <c r="D14">
        <f>0.00000306889</f>
        <v>3.0688900000000001E-6</v>
      </c>
      <c r="E14" t="s">
        <v>231</v>
      </c>
      <c r="F14" t="s">
        <v>72</v>
      </c>
    </row>
    <row r="15" spans="1:18" x14ac:dyDescent="0.3">
      <c r="A15" s="4" t="s">
        <v>346</v>
      </c>
      <c r="B15" s="4">
        <v>1</v>
      </c>
      <c r="C15" t="s">
        <v>75</v>
      </c>
      <c r="D15">
        <v>3.7854099999999999E-3</v>
      </c>
      <c r="E15" t="s">
        <v>347</v>
      </c>
      <c r="F15" t="s">
        <v>72</v>
      </c>
    </row>
    <row r="16" spans="1:18" x14ac:dyDescent="0.3">
      <c r="A16" s="4" t="s">
        <v>103</v>
      </c>
      <c r="B16" s="4">
        <v>1</v>
      </c>
      <c r="C16" t="s">
        <v>101</v>
      </c>
      <c r="D16">
        <v>3.6</v>
      </c>
      <c r="E16" t="s">
        <v>102</v>
      </c>
      <c r="F16" t="s">
        <v>100</v>
      </c>
    </row>
    <row r="17" spans="1:6" x14ac:dyDescent="0.3">
      <c r="A17" s="4" t="s">
        <v>274</v>
      </c>
      <c r="B17" s="4">
        <v>1</v>
      </c>
      <c r="C17" t="s">
        <v>258</v>
      </c>
      <c r="D17">
        <v>0.74570000000000003</v>
      </c>
      <c r="E17" t="s">
        <v>259</v>
      </c>
      <c r="F17" t="s">
        <v>100</v>
      </c>
    </row>
    <row r="18" spans="1:6" x14ac:dyDescent="0.3">
      <c r="A18" s="4"/>
    </row>
    <row r="23" spans="1:6" x14ac:dyDescent="0.3">
      <c r="A23" s="4"/>
    </row>
    <row r="24" spans="1:6" x14ac:dyDescent="0.3">
      <c r="A24" s="4"/>
    </row>
    <row r="25" spans="1:6" x14ac:dyDescent="0.3">
      <c r="A25" s="4"/>
    </row>
    <row r="26" spans="1:6" x14ac:dyDescent="0.3">
      <c r="A26" s="4"/>
    </row>
    <row r="27" spans="1:6" x14ac:dyDescent="0.3">
      <c r="A27" s="4"/>
    </row>
    <row r="28" spans="1:6" x14ac:dyDescent="0.3">
      <c r="A28" s="4"/>
    </row>
  </sheetData>
  <mergeCells count="1">
    <mergeCell ref="A1:F3"/>
  </mergeCell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TA78"/>
  <sheetViews>
    <sheetView zoomScaleNormal="100" workbookViewId="0">
      <selection activeCell="E24" sqref="E24"/>
    </sheetView>
  </sheetViews>
  <sheetFormatPr defaultRowHeight="14.4" x14ac:dyDescent="0.3"/>
  <cols>
    <col min="1" max="1" width="30.109375" bestFit="1" customWidth="1"/>
    <col min="2" max="2" width="12.44140625" customWidth="1"/>
    <col min="3" max="3" width="12.33203125" customWidth="1"/>
    <col min="4" max="4" width="4" style="18" customWidth="1"/>
    <col min="5" max="5" width="30.109375" customWidth="1"/>
    <col min="6" max="7" width="12.5546875" customWidth="1"/>
    <col min="8" max="8" width="4" style="18" customWidth="1"/>
    <col min="9" max="9" width="30.109375" customWidth="1"/>
    <col min="10" max="11" width="12.44140625" customWidth="1"/>
    <col min="12" max="12" width="4" style="18" customWidth="1"/>
    <col min="19" max="19" width="12.5546875" customWidth="1"/>
    <col min="20" max="20" width="10" bestFit="1" customWidth="1"/>
    <col min="23" max="23" width="14.44140625" customWidth="1"/>
  </cols>
  <sheetData>
    <row r="1" spans="1:521" x14ac:dyDescent="0.3">
      <c r="A1" s="264" t="s">
        <v>281</v>
      </c>
      <c r="B1" s="264"/>
      <c r="C1" s="264"/>
      <c r="D1" s="48"/>
      <c r="E1" s="264" t="s">
        <v>285</v>
      </c>
      <c r="F1" s="264"/>
      <c r="G1" s="264"/>
      <c r="H1" s="48"/>
      <c r="I1" s="264" t="s">
        <v>350</v>
      </c>
      <c r="J1" s="264"/>
      <c r="K1" s="264"/>
    </row>
    <row r="2" spans="1:521" x14ac:dyDescent="0.3">
      <c r="A2" s="4"/>
      <c r="B2" s="36" t="s">
        <v>260</v>
      </c>
      <c r="C2" s="36"/>
      <c r="D2" s="20"/>
      <c r="J2" s="31" t="s">
        <v>260</v>
      </c>
    </row>
    <row r="3" spans="1:521" x14ac:dyDescent="0.3">
      <c r="A3" s="4" t="s">
        <v>271</v>
      </c>
      <c r="B3" s="17" t="s">
        <v>279</v>
      </c>
      <c r="C3" s="17" t="s">
        <v>273</v>
      </c>
      <c r="D3" s="49"/>
      <c r="E3" s="4" t="s">
        <v>271</v>
      </c>
      <c r="F3" s="17" t="s">
        <v>272</v>
      </c>
      <c r="G3" s="17" t="s">
        <v>273</v>
      </c>
      <c r="H3" s="49"/>
      <c r="I3" s="4" t="s">
        <v>271</v>
      </c>
      <c r="J3" s="17" t="s">
        <v>272</v>
      </c>
      <c r="K3" s="17" t="s">
        <v>273</v>
      </c>
      <c r="V3" s="265" t="s">
        <v>906</v>
      </c>
      <c r="W3" s="265"/>
    </row>
    <row r="4" spans="1:521" x14ac:dyDescent="0.3">
      <c r="A4" s="4" t="s">
        <v>261</v>
      </c>
      <c r="B4" s="17">
        <v>20</v>
      </c>
      <c r="C4" s="17">
        <v>2</v>
      </c>
      <c r="D4" s="49"/>
      <c r="E4" s="4" t="s">
        <v>286</v>
      </c>
      <c r="F4" s="17">
        <v>126.77</v>
      </c>
      <c r="G4" s="17">
        <v>7</v>
      </c>
      <c r="H4" s="49"/>
      <c r="I4" s="4" t="s">
        <v>305</v>
      </c>
      <c r="J4" s="17">
        <v>30</v>
      </c>
      <c r="K4" s="17">
        <v>1</v>
      </c>
      <c r="Q4">
        <f>1/SQRT(2)</f>
        <v>0.70710678118654746</v>
      </c>
      <c r="R4">
        <f>Q4*50</f>
        <v>35.35533905932737</v>
      </c>
      <c r="S4">
        <f>PI()*R4^2</f>
        <v>3926.9908169872401</v>
      </c>
    </row>
    <row r="5" spans="1:521" x14ac:dyDescent="0.3">
      <c r="A5" s="4" t="s">
        <v>262</v>
      </c>
      <c r="B5" s="17">
        <v>50</v>
      </c>
      <c r="C5" s="17">
        <v>2</v>
      </c>
      <c r="D5" s="49"/>
      <c r="E5" s="4" t="s">
        <v>288</v>
      </c>
      <c r="F5" s="17">
        <v>30</v>
      </c>
      <c r="G5" s="17">
        <v>8</v>
      </c>
      <c r="H5" s="49"/>
      <c r="I5" s="4" t="s">
        <v>306</v>
      </c>
      <c r="J5" s="17">
        <v>15</v>
      </c>
      <c r="K5" s="17">
        <v>1</v>
      </c>
      <c r="Q5" t="s">
        <v>917</v>
      </c>
      <c r="R5">
        <v>50</v>
      </c>
      <c r="S5">
        <f>(PI()*R5^2)-S4</f>
        <v>3926.9908169872429</v>
      </c>
      <c r="V5" t="s">
        <v>907</v>
      </c>
      <c r="W5">
        <v>50</v>
      </c>
      <c r="X5" t="s">
        <v>83</v>
      </c>
    </row>
    <row r="6" spans="1:521" x14ac:dyDescent="0.3">
      <c r="A6" s="4" t="s">
        <v>263</v>
      </c>
      <c r="B6" s="17">
        <v>20</v>
      </c>
      <c r="C6" s="17">
        <v>1</v>
      </c>
      <c r="D6" s="49"/>
      <c r="E6" s="4" t="s">
        <v>287</v>
      </c>
      <c r="F6" s="17">
        <v>820.27</v>
      </c>
      <c r="G6" s="17">
        <v>4</v>
      </c>
      <c r="H6" s="49"/>
      <c r="I6" s="4" t="s">
        <v>307</v>
      </c>
      <c r="J6" s="17">
        <v>7.5</v>
      </c>
      <c r="K6" s="17">
        <v>2</v>
      </c>
      <c r="V6" t="s">
        <v>908</v>
      </c>
      <c r="W6">
        <v>500</v>
      </c>
    </row>
    <row r="7" spans="1:521" x14ac:dyDescent="0.3">
      <c r="A7" s="4" t="s">
        <v>264</v>
      </c>
      <c r="B7" s="17">
        <v>34</v>
      </c>
      <c r="C7" s="17">
        <v>2</v>
      </c>
      <c r="D7" s="49"/>
      <c r="E7" s="4" t="s">
        <v>289</v>
      </c>
      <c r="F7" s="17">
        <v>125</v>
      </c>
      <c r="G7" s="17">
        <v>1</v>
      </c>
      <c r="H7" s="49"/>
      <c r="I7" s="4" t="s">
        <v>308</v>
      </c>
      <c r="J7" s="17">
        <v>10</v>
      </c>
      <c r="K7" s="17">
        <v>2</v>
      </c>
      <c r="V7" t="s">
        <v>909</v>
      </c>
      <c r="W7">
        <f>W5/W6</f>
        <v>0.1</v>
      </c>
    </row>
    <row r="8" spans="1:521" x14ac:dyDescent="0.3">
      <c r="A8" s="4" t="s">
        <v>265</v>
      </c>
      <c r="B8" s="17">
        <v>10</v>
      </c>
      <c r="C8" s="17">
        <v>2</v>
      </c>
      <c r="D8" s="49"/>
      <c r="E8" s="4" t="s">
        <v>290</v>
      </c>
      <c r="F8" s="17">
        <v>75</v>
      </c>
      <c r="G8" s="17">
        <v>1</v>
      </c>
      <c r="H8" s="49"/>
      <c r="I8" s="4" t="s">
        <v>309</v>
      </c>
      <c r="J8" s="17">
        <v>20</v>
      </c>
      <c r="K8" s="17">
        <v>2</v>
      </c>
    </row>
    <row r="9" spans="1:521" x14ac:dyDescent="0.3">
      <c r="A9" s="4" t="s">
        <v>266</v>
      </c>
      <c r="B9" s="17">
        <v>20</v>
      </c>
      <c r="C9" s="17">
        <v>1</v>
      </c>
      <c r="D9" s="49"/>
      <c r="E9" s="4" t="s">
        <v>291</v>
      </c>
      <c r="F9" s="17">
        <v>75</v>
      </c>
      <c r="G9" s="17">
        <v>1</v>
      </c>
      <c r="H9" s="49"/>
      <c r="I9" s="4" t="s">
        <v>310</v>
      </c>
      <c r="J9" s="17">
        <v>100</v>
      </c>
      <c r="K9" s="17">
        <v>1</v>
      </c>
      <c r="U9" t="s">
        <v>910</v>
      </c>
      <c r="V9">
        <v>1</v>
      </c>
      <c r="W9">
        <v>2</v>
      </c>
      <c r="X9">
        <v>3</v>
      </c>
      <c r="Y9">
        <v>4</v>
      </c>
      <c r="Z9">
        <v>5</v>
      </c>
      <c r="AA9">
        <v>6</v>
      </c>
      <c r="AB9">
        <v>7</v>
      </c>
      <c r="AC9">
        <v>8</v>
      </c>
      <c r="AD9">
        <v>9</v>
      </c>
      <c r="AE9">
        <v>10</v>
      </c>
      <c r="AF9">
        <v>11</v>
      </c>
      <c r="AG9">
        <v>12</v>
      </c>
      <c r="AH9">
        <v>13</v>
      </c>
      <c r="AI9">
        <v>14</v>
      </c>
      <c r="AJ9">
        <v>15</v>
      </c>
      <c r="AK9">
        <v>16</v>
      </c>
      <c r="AL9">
        <v>17</v>
      </c>
      <c r="AM9">
        <v>18</v>
      </c>
      <c r="AN9">
        <v>19</v>
      </c>
      <c r="AO9">
        <v>20</v>
      </c>
      <c r="AP9">
        <v>21</v>
      </c>
      <c r="AQ9">
        <v>22</v>
      </c>
      <c r="AR9">
        <v>23</v>
      </c>
      <c r="AS9">
        <v>24</v>
      </c>
      <c r="AT9">
        <v>25</v>
      </c>
      <c r="AU9">
        <v>26</v>
      </c>
      <c r="AV9">
        <v>27</v>
      </c>
      <c r="AW9">
        <v>28</v>
      </c>
      <c r="AX9">
        <v>29</v>
      </c>
      <c r="AY9">
        <v>30</v>
      </c>
      <c r="AZ9">
        <v>31</v>
      </c>
      <c r="BA9">
        <v>32</v>
      </c>
      <c r="BB9">
        <v>33</v>
      </c>
      <c r="BC9">
        <v>34</v>
      </c>
      <c r="BD9">
        <v>35</v>
      </c>
      <c r="BE9">
        <v>36</v>
      </c>
      <c r="BF9">
        <v>37</v>
      </c>
      <c r="BG9">
        <v>38</v>
      </c>
      <c r="BH9">
        <v>39</v>
      </c>
      <c r="BI9">
        <v>40</v>
      </c>
      <c r="BJ9">
        <v>41</v>
      </c>
      <c r="BK9">
        <v>42</v>
      </c>
      <c r="BL9">
        <v>43</v>
      </c>
      <c r="BM9">
        <v>44</v>
      </c>
      <c r="BN9">
        <v>45</v>
      </c>
      <c r="BO9">
        <v>46</v>
      </c>
      <c r="BP9">
        <v>47</v>
      </c>
      <c r="BQ9">
        <v>48</v>
      </c>
      <c r="BR9">
        <v>49</v>
      </c>
      <c r="BS9">
        <v>50</v>
      </c>
      <c r="BT9">
        <v>51</v>
      </c>
      <c r="BU9">
        <v>52</v>
      </c>
      <c r="BV9">
        <v>53</v>
      </c>
      <c r="BW9">
        <v>54</v>
      </c>
      <c r="BX9">
        <v>55</v>
      </c>
      <c r="BY9">
        <v>56</v>
      </c>
      <c r="BZ9">
        <v>57</v>
      </c>
      <c r="CA9">
        <v>58</v>
      </c>
      <c r="CB9">
        <v>59</v>
      </c>
      <c r="CC9">
        <v>60</v>
      </c>
      <c r="CD9">
        <v>61</v>
      </c>
      <c r="CE9">
        <v>62</v>
      </c>
      <c r="CF9">
        <v>63</v>
      </c>
      <c r="CG9">
        <v>64</v>
      </c>
      <c r="CH9">
        <v>65</v>
      </c>
      <c r="CI9">
        <v>66</v>
      </c>
      <c r="CJ9">
        <v>67</v>
      </c>
      <c r="CK9">
        <v>68</v>
      </c>
      <c r="CL9">
        <v>69</v>
      </c>
      <c r="CM9">
        <v>70</v>
      </c>
      <c r="CN9">
        <v>71</v>
      </c>
      <c r="CO9">
        <v>72</v>
      </c>
      <c r="CP9">
        <v>73</v>
      </c>
      <c r="CQ9">
        <v>74</v>
      </c>
      <c r="CR9">
        <v>75</v>
      </c>
      <c r="CS9">
        <v>76</v>
      </c>
      <c r="CT9">
        <v>77</v>
      </c>
      <c r="CU9">
        <v>78</v>
      </c>
      <c r="CV9">
        <v>79</v>
      </c>
      <c r="CW9">
        <v>80</v>
      </c>
      <c r="CX9">
        <v>81</v>
      </c>
      <c r="CY9">
        <v>82</v>
      </c>
      <c r="CZ9">
        <v>83</v>
      </c>
      <c r="DA9">
        <v>84</v>
      </c>
      <c r="DB9">
        <v>85</v>
      </c>
      <c r="DC9">
        <v>86</v>
      </c>
      <c r="DD9">
        <v>87</v>
      </c>
      <c r="DE9">
        <v>88</v>
      </c>
      <c r="DF9">
        <v>89</v>
      </c>
      <c r="DG9">
        <v>90</v>
      </c>
      <c r="DH9">
        <v>91</v>
      </c>
      <c r="DI9">
        <v>92</v>
      </c>
      <c r="DJ9">
        <v>93</v>
      </c>
      <c r="DK9">
        <v>94</v>
      </c>
      <c r="DL9">
        <v>95</v>
      </c>
      <c r="DM9">
        <v>96</v>
      </c>
      <c r="DN9">
        <v>97</v>
      </c>
      <c r="DO9">
        <v>98</v>
      </c>
      <c r="DP9">
        <v>99</v>
      </c>
      <c r="DQ9">
        <v>100</v>
      </c>
      <c r="DR9">
        <v>101</v>
      </c>
      <c r="DS9">
        <v>102</v>
      </c>
      <c r="DT9">
        <v>103</v>
      </c>
      <c r="DU9">
        <v>104</v>
      </c>
      <c r="DV9">
        <v>105</v>
      </c>
      <c r="DW9">
        <v>106</v>
      </c>
      <c r="DX9">
        <v>107</v>
      </c>
      <c r="DY9">
        <v>108</v>
      </c>
      <c r="DZ9">
        <v>109</v>
      </c>
      <c r="EA9">
        <v>110</v>
      </c>
      <c r="EB9">
        <v>111</v>
      </c>
      <c r="EC9">
        <v>112</v>
      </c>
      <c r="ED9">
        <v>113</v>
      </c>
      <c r="EE9">
        <v>114</v>
      </c>
      <c r="EF9">
        <v>115</v>
      </c>
      <c r="EG9">
        <v>116</v>
      </c>
      <c r="EH9">
        <v>117</v>
      </c>
      <c r="EI9">
        <v>118</v>
      </c>
      <c r="EJ9">
        <v>119</v>
      </c>
      <c r="EK9">
        <v>120</v>
      </c>
      <c r="EL9">
        <v>121</v>
      </c>
      <c r="EM9">
        <v>122</v>
      </c>
      <c r="EN9">
        <v>123</v>
      </c>
      <c r="EO9">
        <v>124</v>
      </c>
      <c r="EP9">
        <v>125</v>
      </c>
      <c r="EQ9">
        <v>126</v>
      </c>
      <c r="ER9">
        <v>127</v>
      </c>
      <c r="ES9">
        <v>128</v>
      </c>
      <c r="ET9">
        <v>129</v>
      </c>
      <c r="EU9">
        <v>130</v>
      </c>
      <c r="EV9">
        <v>131</v>
      </c>
      <c r="EW9">
        <v>132</v>
      </c>
      <c r="EX9">
        <v>133</v>
      </c>
      <c r="EY9">
        <v>134</v>
      </c>
      <c r="EZ9">
        <v>135</v>
      </c>
      <c r="FA9">
        <v>136</v>
      </c>
      <c r="FB9">
        <v>137</v>
      </c>
      <c r="FC9">
        <v>138</v>
      </c>
      <c r="FD9">
        <v>139</v>
      </c>
      <c r="FE9">
        <v>140</v>
      </c>
      <c r="FF9">
        <v>141</v>
      </c>
      <c r="FG9">
        <v>142</v>
      </c>
      <c r="FH9">
        <v>143</v>
      </c>
      <c r="FI9">
        <v>144</v>
      </c>
      <c r="FJ9">
        <v>145</v>
      </c>
      <c r="FK9">
        <v>146</v>
      </c>
      <c r="FL9">
        <v>147</v>
      </c>
      <c r="FM9">
        <v>148</v>
      </c>
      <c r="FN9">
        <v>149</v>
      </c>
      <c r="FO9">
        <v>150</v>
      </c>
      <c r="FP9">
        <v>151</v>
      </c>
      <c r="FQ9">
        <v>152</v>
      </c>
      <c r="FR9">
        <v>153</v>
      </c>
      <c r="FS9">
        <v>154</v>
      </c>
      <c r="FT9">
        <v>155</v>
      </c>
      <c r="FU9">
        <v>156</v>
      </c>
      <c r="FV9">
        <v>157</v>
      </c>
      <c r="FW9">
        <v>158</v>
      </c>
      <c r="FX9">
        <v>159</v>
      </c>
      <c r="FY9">
        <v>160</v>
      </c>
      <c r="FZ9">
        <v>161</v>
      </c>
      <c r="GA9">
        <v>162</v>
      </c>
      <c r="GB9">
        <v>163</v>
      </c>
      <c r="GC9">
        <v>164</v>
      </c>
      <c r="GD9">
        <v>165</v>
      </c>
      <c r="GE9">
        <v>166</v>
      </c>
      <c r="GF9">
        <v>167</v>
      </c>
      <c r="GG9">
        <v>168</v>
      </c>
      <c r="GH9">
        <v>169</v>
      </c>
      <c r="GI9">
        <v>170</v>
      </c>
      <c r="GJ9">
        <v>171</v>
      </c>
      <c r="GK9">
        <v>172</v>
      </c>
      <c r="GL9">
        <v>173</v>
      </c>
      <c r="GM9">
        <v>174</v>
      </c>
      <c r="GN9">
        <v>175</v>
      </c>
      <c r="GO9">
        <v>176</v>
      </c>
      <c r="GP9">
        <v>177</v>
      </c>
      <c r="GQ9">
        <v>178</v>
      </c>
      <c r="GR9">
        <v>179</v>
      </c>
      <c r="GS9">
        <v>180</v>
      </c>
      <c r="GT9">
        <v>181</v>
      </c>
      <c r="GU9">
        <v>182</v>
      </c>
      <c r="GV9">
        <v>183</v>
      </c>
      <c r="GW9">
        <v>184</v>
      </c>
      <c r="GX9">
        <v>185</v>
      </c>
      <c r="GY9">
        <v>186</v>
      </c>
      <c r="GZ9">
        <v>187</v>
      </c>
      <c r="HA9">
        <v>188</v>
      </c>
      <c r="HB9">
        <v>189</v>
      </c>
      <c r="HC9">
        <v>190</v>
      </c>
      <c r="HD9">
        <v>191</v>
      </c>
      <c r="HE9">
        <v>192</v>
      </c>
      <c r="HF9">
        <v>193</v>
      </c>
      <c r="HG9">
        <v>194</v>
      </c>
      <c r="HH9">
        <v>195</v>
      </c>
      <c r="HI9">
        <v>196</v>
      </c>
      <c r="HJ9">
        <v>197</v>
      </c>
      <c r="HK9">
        <v>198</v>
      </c>
      <c r="HL9">
        <v>199</v>
      </c>
      <c r="HM9">
        <v>200</v>
      </c>
      <c r="HN9">
        <v>201</v>
      </c>
      <c r="HO9">
        <v>202</v>
      </c>
      <c r="HP9">
        <v>203</v>
      </c>
      <c r="HQ9">
        <v>204</v>
      </c>
      <c r="HR9">
        <v>205</v>
      </c>
      <c r="HS9">
        <v>206</v>
      </c>
      <c r="HT9">
        <v>207</v>
      </c>
      <c r="HU9">
        <v>208</v>
      </c>
      <c r="HV9">
        <v>209</v>
      </c>
      <c r="HW9">
        <v>210</v>
      </c>
      <c r="HX9">
        <v>211</v>
      </c>
      <c r="HY9">
        <v>212</v>
      </c>
      <c r="HZ9">
        <v>213</v>
      </c>
      <c r="IA9">
        <v>214</v>
      </c>
      <c r="IB9">
        <v>215</v>
      </c>
      <c r="IC9">
        <v>216</v>
      </c>
      <c r="ID9">
        <v>217</v>
      </c>
      <c r="IE9">
        <v>218</v>
      </c>
      <c r="IF9">
        <v>219</v>
      </c>
      <c r="IG9">
        <v>220</v>
      </c>
      <c r="IH9">
        <v>221</v>
      </c>
      <c r="II9">
        <v>222</v>
      </c>
      <c r="IJ9">
        <v>223</v>
      </c>
      <c r="IK9">
        <v>224</v>
      </c>
      <c r="IL9">
        <v>225</v>
      </c>
      <c r="IM9">
        <v>226</v>
      </c>
      <c r="IN9">
        <v>227</v>
      </c>
      <c r="IO9">
        <v>228</v>
      </c>
      <c r="IP9">
        <v>229</v>
      </c>
      <c r="IQ9">
        <v>230</v>
      </c>
      <c r="IR9">
        <v>231</v>
      </c>
      <c r="IS9">
        <v>232</v>
      </c>
      <c r="IT9">
        <v>233</v>
      </c>
      <c r="IU9">
        <v>234</v>
      </c>
      <c r="IV9">
        <v>235</v>
      </c>
      <c r="IW9">
        <v>236</v>
      </c>
      <c r="IX9">
        <v>237</v>
      </c>
      <c r="IY9">
        <v>238</v>
      </c>
      <c r="IZ9">
        <v>239</v>
      </c>
      <c r="JA9">
        <v>240</v>
      </c>
      <c r="JB9">
        <v>241</v>
      </c>
      <c r="JC9">
        <v>242</v>
      </c>
      <c r="JD9">
        <v>243</v>
      </c>
      <c r="JE9">
        <v>244</v>
      </c>
      <c r="JF9">
        <v>245</v>
      </c>
      <c r="JG9">
        <v>246</v>
      </c>
      <c r="JH9">
        <v>247</v>
      </c>
      <c r="JI9">
        <v>248</v>
      </c>
      <c r="JJ9">
        <v>249</v>
      </c>
      <c r="JK9">
        <v>250</v>
      </c>
      <c r="JL9">
        <v>251</v>
      </c>
      <c r="JM9">
        <v>252</v>
      </c>
      <c r="JN9">
        <v>253</v>
      </c>
      <c r="JO9">
        <v>254</v>
      </c>
      <c r="JP9">
        <v>255</v>
      </c>
      <c r="JQ9">
        <v>256</v>
      </c>
      <c r="JR9">
        <v>257</v>
      </c>
      <c r="JS9">
        <v>258</v>
      </c>
      <c r="JT9">
        <v>259</v>
      </c>
      <c r="JU9">
        <v>260</v>
      </c>
      <c r="JV9">
        <v>261</v>
      </c>
      <c r="JW9">
        <v>262</v>
      </c>
      <c r="JX9">
        <v>263</v>
      </c>
      <c r="JY9">
        <v>264</v>
      </c>
      <c r="JZ9">
        <v>265</v>
      </c>
      <c r="KA9">
        <v>266</v>
      </c>
      <c r="KB9">
        <v>267</v>
      </c>
      <c r="KC9">
        <v>268</v>
      </c>
      <c r="KD9">
        <v>269</v>
      </c>
      <c r="KE9">
        <v>270</v>
      </c>
      <c r="KF9">
        <v>271</v>
      </c>
      <c r="KG9">
        <v>272</v>
      </c>
      <c r="KH9">
        <v>273</v>
      </c>
      <c r="KI9">
        <v>274</v>
      </c>
      <c r="KJ9">
        <v>275</v>
      </c>
      <c r="KK9">
        <v>276</v>
      </c>
      <c r="KL9">
        <v>277</v>
      </c>
      <c r="KM9">
        <v>278</v>
      </c>
      <c r="KN9">
        <v>279</v>
      </c>
      <c r="KO9">
        <v>280</v>
      </c>
      <c r="KP9">
        <v>281</v>
      </c>
      <c r="KQ9">
        <v>282</v>
      </c>
      <c r="KR9">
        <v>283</v>
      </c>
      <c r="KS9">
        <v>284</v>
      </c>
      <c r="KT9">
        <v>285</v>
      </c>
      <c r="KU9">
        <v>286</v>
      </c>
      <c r="KV9">
        <v>287</v>
      </c>
      <c r="KW9">
        <v>288</v>
      </c>
      <c r="KX9">
        <v>289</v>
      </c>
      <c r="KY9">
        <v>290</v>
      </c>
      <c r="KZ9">
        <v>291</v>
      </c>
      <c r="LA9">
        <v>292</v>
      </c>
      <c r="LB9">
        <v>293</v>
      </c>
      <c r="LC9">
        <v>294</v>
      </c>
      <c r="LD9">
        <v>295</v>
      </c>
      <c r="LE9">
        <v>296</v>
      </c>
      <c r="LF9">
        <v>297</v>
      </c>
      <c r="LG9">
        <v>298</v>
      </c>
      <c r="LH9">
        <v>299</v>
      </c>
      <c r="LI9">
        <v>300</v>
      </c>
      <c r="LJ9">
        <v>301</v>
      </c>
      <c r="LK9">
        <v>302</v>
      </c>
      <c r="LL9">
        <v>303</v>
      </c>
      <c r="LM9">
        <v>304</v>
      </c>
      <c r="LN9">
        <v>305</v>
      </c>
      <c r="LO9">
        <v>306</v>
      </c>
      <c r="LP9">
        <v>307</v>
      </c>
      <c r="LQ9">
        <v>308</v>
      </c>
      <c r="LR9">
        <v>309</v>
      </c>
      <c r="LS9">
        <v>310</v>
      </c>
      <c r="LT9">
        <v>311</v>
      </c>
      <c r="LU9">
        <v>312</v>
      </c>
      <c r="LV9">
        <v>313</v>
      </c>
      <c r="LW9">
        <v>314</v>
      </c>
      <c r="LX9">
        <v>315</v>
      </c>
      <c r="LY9">
        <v>316</v>
      </c>
      <c r="LZ9">
        <v>317</v>
      </c>
      <c r="MA9">
        <v>318</v>
      </c>
      <c r="MB9">
        <v>319</v>
      </c>
      <c r="MC9">
        <v>320</v>
      </c>
      <c r="MD9">
        <v>321</v>
      </c>
      <c r="ME9">
        <v>322</v>
      </c>
      <c r="MF9">
        <v>323</v>
      </c>
      <c r="MG9">
        <v>324</v>
      </c>
      <c r="MH9">
        <v>325</v>
      </c>
      <c r="MI9">
        <v>326</v>
      </c>
      <c r="MJ9">
        <v>327</v>
      </c>
      <c r="MK9">
        <v>328</v>
      </c>
      <c r="ML9">
        <v>329</v>
      </c>
      <c r="MM9">
        <v>330</v>
      </c>
      <c r="MN9">
        <v>331</v>
      </c>
      <c r="MO9">
        <v>332</v>
      </c>
      <c r="MP9">
        <v>333</v>
      </c>
      <c r="MQ9">
        <v>334</v>
      </c>
      <c r="MR9">
        <v>335</v>
      </c>
      <c r="MS9">
        <v>336</v>
      </c>
      <c r="MT9">
        <v>337</v>
      </c>
      <c r="MU9">
        <v>338</v>
      </c>
      <c r="MV9">
        <v>339</v>
      </c>
      <c r="MW9">
        <v>340</v>
      </c>
      <c r="MX9">
        <v>341</v>
      </c>
      <c r="MY9">
        <v>342</v>
      </c>
      <c r="MZ9">
        <v>343</v>
      </c>
      <c r="NA9">
        <v>344</v>
      </c>
      <c r="NB9">
        <v>345</v>
      </c>
      <c r="NC9">
        <v>346</v>
      </c>
      <c r="ND9">
        <v>347</v>
      </c>
      <c r="NE9">
        <v>348</v>
      </c>
      <c r="NF9">
        <v>349</v>
      </c>
      <c r="NG9">
        <v>350</v>
      </c>
      <c r="NH9">
        <v>351</v>
      </c>
      <c r="NI9">
        <v>352</v>
      </c>
      <c r="NJ9">
        <v>353</v>
      </c>
      <c r="NK9">
        <v>354</v>
      </c>
      <c r="NL9">
        <v>355</v>
      </c>
      <c r="NM9">
        <v>356</v>
      </c>
      <c r="NN9">
        <v>357</v>
      </c>
      <c r="NO9">
        <v>358</v>
      </c>
      <c r="NP9">
        <v>359</v>
      </c>
      <c r="NQ9">
        <v>360</v>
      </c>
      <c r="NR9">
        <v>361</v>
      </c>
      <c r="NS9">
        <v>362</v>
      </c>
      <c r="NT9">
        <v>363</v>
      </c>
      <c r="NU9">
        <v>364</v>
      </c>
      <c r="NV9">
        <v>365</v>
      </c>
      <c r="NW9">
        <v>366</v>
      </c>
      <c r="NX9">
        <v>367</v>
      </c>
      <c r="NY9">
        <v>368</v>
      </c>
      <c r="NZ9">
        <v>369</v>
      </c>
      <c r="OA9">
        <v>370</v>
      </c>
      <c r="OB9">
        <v>371</v>
      </c>
      <c r="OC9">
        <v>372</v>
      </c>
      <c r="OD9">
        <v>373</v>
      </c>
      <c r="OE9">
        <v>374</v>
      </c>
      <c r="OF9">
        <v>375</v>
      </c>
      <c r="OG9">
        <v>376</v>
      </c>
      <c r="OH9">
        <v>377</v>
      </c>
      <c r="OI9">
        <v>378</v>
      </c>
      <c r="OJ9">
        <v>379</v>
      </c>
      <c r="OK9">
        <v>380</v>
      </c>
      <c r="OL9">
        <v>381</v>
      </c>
      <c r="OM9">
        <v>382</v>
      </c>
      <c r="ON9">
        <v>383</v>
      </c>
      <c r="OO9">
        <v>384</v>
      </c>
      <c r="OP9">
        <v>385</v>
      </c>
      <c r="OQ9">
        <v>386</v>
      </c>
      <c r="OR9">
        <v>387</v>
      </c>
      <c r="OS9">
        <v>388</v>
      </c>
      <c r="OT9">
        <v>389</v>
      </c>
      <c r="OU9">
        <v>390</v>
      </c>
      <c r="OV9">
        <v>391</v>
      </c>
      <c r="OW9">
        <v>392</v>
      </c>
      <c r="OX9">
        <v>393</v>
      </c>
      <c r="OY9">
        <v>394</v>
      </c>
      <c r="OZ9">
        <v>395</v>
      </c>
      <c r="PA9">
        <v>396</v>
      </c>
      <c r="PB9">
        <v>397</v>
      </c>
      <c r="PC9">
        <v>398</v>
      </c>
      <c r="PD9">
        <v>399</v>
      </c>
      <c r="PE9">
        <v>400</v>
      </c>
      <c r="PF9">
        <v>401</v>
      </c>
      <c r="PG9">
        <v>402</v>
      </c>
      <c r="PH9">
        <v>403</v>
      </c>
      <c r="PI9">
        <v>404</v>
      </c>
      <c r="PJ9">
        <v>405</v>
      </c>
      <c r="PK9">
        <v>406</v>
      </c>
      <c r="PL9">
        <v>407</v>
      </c>
      <c r="PM9">
        <v>408</v>
      </c>
      <c r="PN9">
        <v>409</v>
      </c>
      <c r="PO9">
        <v>410</v>
      </c>
      <c r="PP9">
        <v>411</v>
      </c>
      <c r="PQ9">
        <v>412</v>
      </c>
      <c r="PR9">
        <v>413</v>
      </c>
      <c r="PS9">
        <v>414</v>
      </c>
      <c r="PT9">
        <v>415</v>
      </c>
      <c r="PU9">
        <v>416</v>
      </c>
      <c r="PV9">
        <v>417</v>
      </c>
      <c r="PW9">
        <v>418</v>
      </c>
      <c r="PX9">
        <v>419</v>
      </c>
      <c r="PY9">
        <v>420</v>
      </c>
      <c r="PZ9">
        <v>421</v>
      </c>
      <c r="QA9">
        <v>422</v>
      </c>
      <c r="QB9">
        <v>423</v>
      </c>
      <c r="QC9">
        <v>424</v>
      </c>
      <c r="QD9">
        <v>425</v>
      </c>
      <c r="QE9">
        <v>426</v>
      </c>
      <c r="QF9">
        <v>427</v>
      </c>
      <c r="QG9">
        <v>428</v>
      </c>
      <c r="QH9">
        <v>429</v>
      </c>
      <c r="QI9">
        <v>430</v>
      </c>
      <c r="QJ9">
        <v>431</v>
      </c>
      <c r="QK9">
        <v>432</v>
      </c>
      <c r="QL9">
        <v>433</v>
      </c>
      <c r="QM9">
        <v>434</v>
      </c>
      <c r="QN9">
        <v>435</v>
      </c>
      <c r="QO9">
        <v>436</v>
      </c>
      <c r="QP9">
        <v>437</v>
      </c>
      <c r="QQ9">
        <v>438</v>
      </c>
      <c r="QR9">
        <v>439</v>
      </c>
      <c r="QS9">
        <v>440</v>
      </c>
      <c r="QT9">
        <v>441</v>
      </c>
      <c r="QU9">
        <v>442</v>
      </c>
      <c r="QV9">
        <v>443</v>
      </c>
      <c r="QW9">
        <v>444</v>
      </c>
      <c r="QX9">
        <v>445</v>
      </c>
      <c r="QY9">
        <v>446</v>
      </c>
      <c r="QZ9">
        <v>447</v>
      </c>
      <c r="RA9">
        <v>448</v>
      </c>
      <c r="RB9">
        <v>449</v>
      </c>
      <c r="RC9">
        <v>450</v>
      </c>
      <c r="RD9">
        <v>451</v>
      </c>
      <c r="RE9">
        <v>452</v>
      </c>
      <c r="RF9">
        <v>453</v>
      </c>
      <c r="RG9">
        <v>454</v>
      </c>
      <c r="RH9">
        <v>455</v>
      </c>
      <c r="RI9">
        <v>456</v>
      </c>
      <c r="RJ9">
        <v>457</v>
      </c>
      <c r="RK9">
        <v>458</v>
      </c>
      <c r="RL9">
        <v>459</v>
      </c>
      <c r="RM9">
        <v>460</v>
      </c>
      <c r="RN9">
        <v>461</v>
      </c>
      <c r="RO9">
        <v>462</v>
      </c>
      <c r="RP9">
        <v>463</v>
      </c>
      <c r="RQ9">
        <v>464</v>
      </c>
      <c r="RR9">
        <v>465</v>
      </c>
      <c r="RS9">
        <v>466</v>
      </c>
      <c r="RT9">
        <v>467</v>
      </c>
      <c r="RU9">
        <v>468</v>
      </c>
      <c r="RV9">
        <v>469</v>
      </c>
      <c r="RW9">
        <v>470</v>
      </c>
      <c r="RX9">
        <v>471</v>
      </c>
      <c r="RY9">
        <v>472</v>
      </c>
      <c r="RZ9">
        <v>473</v>
      </c>
      <c r="SA9">
        <v>474</v>
      </c>
      <c r="SB9">
        <v>475</v>
      </c>
      <c r="SC9">
        <v>476</v>
      </c>
      <c r="SD9">
        <v>477</v>
      </c>
      <c r="SE9">
        <v>478</v>
      </c>
      <c r="SF9">
        <v>479</v>
      </c>
      <c r="SG9">
        <v>480</v>
      </c>
      <c r="SH9">
        <v>481</v>
      </c>
      <c r="SI9">
        <v>482</v>
      </c>
      <c r="SJ9">
        <v>483</v>
      </c>
      <c r="SK9">
        <v>484</v>
      </c>
      <c r="SL9">
        <v>485</v>
      </c>
      <c r="SM9">
        <v>486</v>
      </c>
      <c r="SN9">
        <v>487</v>
      </c>
      <c r="SO9">
        <v>488</v>
      </c>
      <c r="SP9">
        <v>489</v>
      </c>
      <c r="SQ9">
        <v>490</v>
      </c>
      <c r="SR9">
        <v>491</v>
      </c>
      <c r="SS9">
        <v>492</v>
      </c>
      <c r="ST9">
        <v>493</v>
      </c>
      <c r="SU9">
        <v>494</v>
      </c>
      <c r="SV9">
        <v>495</v>
      </c>
      <c r="SW9">
        <v>496</v>
      </c>
      <c r="SX9">
        <v>497</v>
      </c>
      <c r="SY9">
        <v>498</v>
      </c>
      <c r="SZ9">
        <v>499</v>
      </c>
      <c r="TA9">
        <v>500</v>
      </c>
    </row>
    <row r="10" spans="1:521" x14ac:dyDescent="0.3">
      <c r="A10" s="4" t="s">
        <v>267</v>
      </c>
      <c r="B10" s="17">
        <v>10</v>
      </c>
      <c r="C10" s="17">
        <v>1</v>
      </c>
      <c r="D10" s="49"/>
      <c r="E10" s="4" t="s">
        <v>300</v>
      </c>
      <c r="F10" s="17">
        <v>100</v>
      </c>
      <c r="G10" s="17">
        <v>1</v>
      </c>
      <c r="H10" s="49"/>
      <c r="I10" s="4" t="s">
        <v>311</v>
      </c>
      <c r="J10" s="17">
        <v>20</v>
      </c>
      <c r="K10" s="17">
        <v>5</v>
      </c>
      <c r="U10" t="s">
        <v>911</v>
      </c>
      <c r="V10">
        <f>W7</f>
        <v>0.1</v>
      </c>
      <c r="W10">
        <f>V10+$W$7</f>
        <v>0.2</v>
      </c>
      <c r="X10">
        <f t="shared" ref="X10:CI10" si="0">W10+$W$7</f>
        <v>0.30000000000000004</v>
      </c>
      <c r="Y10">
        <f t="shared" si="0"/>
        <v>0.4</v>
      </c>
      <c r="Z10">
        <f t="shared" si="0"/>
        <v>0.5</v>
      </c>
      <c r="AA10">
        <f t="shared" si="0"/>
        <v>0.6</v>
      </c>
      <c r="AB10">
        <f t="shared" si="0"/>
        <v>0.7</v>
      </c>
      <c r="AC10">
        <f t="shared" si="0"/>
        <v>0.79999999999999993</v>
      </c>
      <c r="AD10">
        <f t="shared" si="0"/>
        <v>0.89999999999999991</v>
      </c>
      <c r="AE10">
        <f t="shared" si="0"/>
        <v>0.99999999999999989</v>
      </c>
      <c r="AF10">
        <f t="shared" si="0"/>
        <v>1.0999999999999999</v>
      </c>
      <c r="AG10">
        <f t="shared" si="0"/>
        <v>1.2</v>
      </c>
      <c r="AH10">
        <f t="shared" si="0"/>
        <v>1.3</v>
      </c>
      <c r="AI10">
        <f t="shared" si="0"/>
        <v>1.4000000000000001</v>
      </c>
      <c r="AJ10">
        <f t="shared" si="0"/>
        <v>1.5000000000000002</v>
      </c>
      <c r="AK10">
        <f t="shared" si="0"/>
        <v>1.6000000000000003</v>
      </c>
      <c r="AL10">
        <f t="shared" si="0"/>
        <v>1.7000000000000004</v>
      </c>
      <c r="AM10">
        <f t="shared" si="0"/>
        <v>1.8000000000000005</v>
      </c>
      <c r="AN10">
        <f t="shared" si="0"/>
        <v>1.9000000000000006</v>
      </c>
      <c r="AO10">
        <f t="shared" si="0"/>
        <v>2.0000000000000004</v>
      </c>
      <c r="AP10">
        <f t="shared" si="0"/>
        <v>2.1000000000000005</v>
      </c>
      <c r="AQ10">
        <f t="shared" si="0"/>
        <v>2.2000000000000006</v>
      </c>
      <c r="AR10">
        <f t="shared" si="0"/>
        <v>2.3000000000000007</v>
      </c>
      <c r="AS10">
        <f t="shared" si="0"/>
        <v>2.4000000000000008</v>
      </c>
      <c r="AT10">
        <f t="shared" si="0"/>
        <v>2.5000000000000009</v>
      </c>
      <c r="AU10">
        <f t="shared" si="0"/>
        <v>2.600000000000001</v>
      </c>
      <c r="AV10">
        <f t="shared" si="0"/>
        <v>2.7000000000000011</v>
      </c>
      <c r="AW10">
        <f t="shared" si="0"/>
        <v>2.8000000000000012</v>
      </c>
      <c r="AX10">
        <f t="shared" si="0"/>
        <v>2.9000000000000012</v>
      </c>
      <c r="AY10">
        <f t="shared" si="0"/>
        <v>3.0000000000000013</v>
      </c>
      <c r="AZ10">
        <f t="shared" si="0"/>
        <v>3.1000000000000014</v>
      </c>
      <c r="BA10">
        <f t="shared" si="0"/>
        <v>3.2000000000000015</v>
      </c>
      <c r="BB10">
        <f t="shared" si="0"/>
        <v>3.3000000000000016</v>
      </c>
      <c r="BC10">
        <f t="shared" si="0"/>
        <v>3.4000000000000017</v>
      </c>
      <c r="BD10">
        <f t="shared" si="0"/>
        <v>3.5000000000000018</v>
      </c>
      <c r="BE10">
        <f t="shared" si="0"/>
        <v>3.6000000000000019</v>
      </c>
      <c r="BF10">
        <f t="shared" si="0"/>
        <v>3.700000000000002</v>
      </c>
      <c r="BG10">
        <f t="shared" si="0"/>
        <v>3.800000000000002</v>
      </c>
      <c r="BH10">
        <f t="shared" si="0"/>
        <v>3.9000000000000021</v>
      </c>
      <c r="BI10">
        <f t="shared" si="0"/>
        <v>4.0000000000000018</v>
      </c>
      <c r="BJ10">
        <f t="shared" si="0"/>
        <v>4.1000000000000014</v>
      </c>
      <c r="BK10">
        <f t="shared" si="0"/>
        <v>4.2000000000000011</v>
      </c>
      <c r="BL10">
        <f t="shared" si="0"/>
        <v>4.3000000000000007</v>
      </c>
      <c r="BM10">
        <f t="shared" si="0"/>
        <v>4.4000000000000004</v>
      </c>
      <c r="BN10">
        <f t="shared" si="0"/>
        <v>4.5</v>
      </c>
      <c r="BO10">
        <f t="shared" si="0"/>
        <v>4.5999999999999996</v>
      </c>
      <c r="BP10">
        <f t="shared" si="0"/>
        <v>4.6999999999999993</v>
      </c>
      <c r="BQ10">
        <f t="shared" si="0"/>
        <v>4.7999999999999989</v>
      </c>
      <c r="BR10">
        <f t="shared" si="0"/>
        <v>4.8999999999999986</v>
      </c>
      <c r="BS10">
        <f t="shared" si="0"/>
        <v>4.9999999999999982</v>
      </c>
      <c r="BT10">
        <f t="shared" si="0"/>
        <v>5.0999999999999979</v>
      </c>
      <c r="BU10">
        <f t="shared" si="0"/>
        <v>5.1999999999999975</v>
      </c>
      <c r="BV10">
        <f t="shared" si="0"/>
        <v>5.2999999999999972</v>
      </c>
      <c r="BW10">
        <f t="shared" si="0"/>
        <v>5.3999999999999968</v>
      </c>
      <c r="BX10">
        <f t="shared" si="0"/>
        <v>5.4999999999999964</v>
      </c>
      <c r="BY10">
        <f t="shared" si="0"/>
        <v>5.5999999999999961</v>
      </c>
      <c r="BZ10">
        <f t="shared" si="0"/>
        <v>5.6999999999999957</v>
      </c>
      <c r="CA10">
        <f t="shared" si="0"/>
        <v>5.7999999999999954</v>
      </c>
      <c r="CB10">
        <f t="shared" si="0"/>
        <v>5.899999999999995</v>
      </c>
      <c r="CC10">
        <f t="shared" si="0"/>
        <v>5.9999999999999947</v>
      </c>
      <c r="CD10">
        <f t="shared" si="0"/>
        <v>6.0999999999999943</v>
      </c>
      <c r="CE10">
        <f t="shared" si="0"/>
        <v>6.199999999999994</v>
      </c>
      <c r="CF10">
        <f t="shared" si="0"/>
        <v>6.2999999999999936</v>
      </c>
      <c r="CG10">
        <f t="shared" si="0"/>
        <v>6.3999999999999932</v>
      </c>
      <c r="CH10">
        <f t="shared" si="0"/>
        <v>6.4999999999999929</v>
      </c>
      <c r="CI10">
        <f t="shared" si="0"/>
        <v>6.5999999999999925</v>
      </c>
      <c r="CJ10">
        <f t="shared" ref="CJ10:EU10" si="1">CI10+$W$7</f>
        <v>6.6999999999999922</v>
      </c>
      <c r="CK10">
        <f t="shared" si="1"/>
        <v>6.7999999999999918</v>
      </c>
      <c r="CL10">
        <f t="shared" si="1"/>
        <v>6.8999999999999915</v>
      </c>
      <c r="CM10">
        <f t="shared" si="1"/>
        <v>6.9999999999999911</v>
      </c>
      <c r="CN10">
        <f t="shared" si="1"/>
        <v>7.0999999999999908</v>
      </c>
      <c r="CO10">
        <f t="shared" si="1"/>
        <v>7.1999999999999904</v>
      </c>
      <c r="CP10">
        <f t="shared" si="1"/>
        <v>7.2999999999999901</v>
      </c>
      <c r="CQ10">
        <f t="shared" si="1"/>
        <v>7.3999999999999897</v>
      </c>
      <c r="CR10">
        <f t="shared" si="1"/>
        <v>7.4999999999999893</v>
      </c>
      <c r="CS10">
        <f t="shared" si="1"/>
        <v>7.599999999999989</v>
      </c>
      <c r="CT10">
        <f t="shared" si="1"/>
        <v>7.6999999999999886</v>
      </c>
      <c r="CU10">
        <f t="shared" si="1"/>
        <v>7.7999999999999883</v>
      </c>
      <c r="CV10">
        <f t="shared" si="1"/>
        <v>7.8999999999999879</v>
      </c>
      <c r="CW10">
        <f t="shared" si="1"/>
        <v>7.9999999999999876</v>
      </c>
      <c r="CX10">
        <f t="shared" si="1"/>
        <v>8.0999999999999872</v>
      </c>
      <c r="CY10">
        <f t="shared" si="1"/>
        <v>8.1999999999999869</v>
      </c>
      <c r="CZ10">
        <f t="shared" si="1"/>
        <v>8.2999999999999865</v>
      </c>
      <c r="DA10">
        <f t="shared" si="1"/>
        <v>8.3999999999999861</v>
      </c>
      <c r="DB10">
        <f t="shared" si="1"/>
        <v>8.4999999999999858</v>
      </c>
      <c r="DC10">
        <f t="shared" si="1"/>
        <v>8.5999999999999854</v>
      </c>
      <c r="DD10">
        <f t="shared" si="1"/>
        <v>8.6999999999999851</v>
      </c>
      <c r="DE10">
        <f t="shared" si="1"/>
        <v>8.7999999999999847</v>
      </c>
      <c r="DF10">
        <f t="shared" si="1"/>
        <v>8.8999999999999844</v>
      </c>
      <c r="DG10">
        <f t="shared" si="1"/>
        <v>8.999999999999984</v>
      </c>
      <c r="DH10">
        <f t="shared" si="1"/>
        <v>9.0999999999999837</v>
      </c>
      <c r="DI10">
        <f t="shared" si="1"/>
        <v>9.1999999999999833</v>
      </c>
      <c r="DJ10">
        <f t="shared" si="1"/>
        <v>9.2999999999999829</v>
      </c>
      <c r="DK10">
        <f t="shared" si="1"/>
        <v>9.3999999999999826</v>
      </c>
      <c r="DL10">
        <f t="shared" si="1"/>
        <v>9.4999999999999822</v>
      </c>
      <c r="DM10">
        <f t="shared" si="1"/>
        <v>9.5999999999999819</v>
      </c>
      <c r="DN10">
        <f t="shared" si="1"/>
        <v>9.6999999999999815</v>
      </c>
      <c r="DO10">
        <f t="shared" si="1"/>
        <v>9.7999999999999812</v>
      </c>
      <c r="DP10">
        <f t="shared" si="1"/>
        <v>9.8999999999999808</v>
      </c>
      <c r="DQ10">
        <f t="shared" si="1"/>
        <v>9.9999999999999805</v>
      </c>
      <c r="DR10">
        <f t="shared" si="1"/>
        <v>10.09999999999998</v>
      </c>
      <c r="DS10">
        <f t="shared" si="1"/>
        <v>10.19999999999998</v>
      </c>
      <c r="DT10">
        <f t="shared" si="1"/>
        <v>10.299999999999979</v>
      </c>
      <c r="DU10">
        <f t="shared" si="1"/>
        <v>10.399999999999979</v>
      </c>
      <c r="DV10">
        <f t="shared" si="1"/>
        <v>10.499999999999979</v>
      </c>
      <c r="DW10">
        <f t="shared" si="1"/>
        <v>10.599999999999978</v>
      </c>
      <c r="DX10">
        <f t="shared" si="1"/>
        <v>10.699999999999978</v>
      </c>
      <c r="DY10">
        <f t="shared" si="1"/>
        <v>10.799999999999978</v>
      </c>
      <c r="DZ10">
        <f t="shared" si="1"/>
        <v>10.899999999999977</v>
      </c>
      <c r="EA10">
        <f t="shared" si="1"/>
        <v>10.999999999999977</v>
      </c>
      <c r="EB10">
        <f t="shared" si="1"/>
        <v>11.099999999999977</v>
      </c>
      <c r="EC10">
        <f t="shared" si="1"/>
        <v>11.199999999999976</v>
      </c>
      <c r="ED10">
        <f t="shared" si="1"/>
        <v>11.299999999999976</v>
      </c>
      <c r="EE10">
        <f t="shared" si="1"/>
        <v>11.399999999999975</v>
      </c>
      <c r="EF10">
        <f t="shared" si="1"/>
        <v>11.499999999999975</v>
      </c>
      <c r="EG10">
        <f t="shared" si="1"/>
        <v>11.599999999999975</v>
      </c>
      <c r="EH10">
        <f t="shared" si="1"/>
        <v>11.699999999999974</v>
      </c>
      <c r="EI10">
        <f t="shared" si="1"/>
        <v>11.799999999999974</v>
      </c>
      <c r="EJ10">
        <f t="shared" si="1"/>
        <v>11.899999999999974</v>
      </c>
      <c r="EK10">
        <f t="shared" si="1"/>
        <v>11.999999999999973</v>
      </c>
      <c r="EL10">
        <f t="shared" si="1"/>
        <v>12.099999999999973</v>
      </c>
      <c r="EM10">
        <f t="shared" si="1"/>
        <v>12.199999999999973</v>
      </c>
      <c r="EN10">
        <f t="shared" si="1"/>
        <v>12.299999999999972</v>
      </c>
      <c r="EO10">
        <f t="shared" si="1"/>
        <v>12.399999999999972</v>
      </c>
      <c r="EP10">
        <f t="shared" si="1"/>
        <v>12.499999999999972</v>
      </c>
      <c r="EQ10">
        <f t="shared" si="1"/>
        <v>12.599999999999971</v>
      </c>
      <c r="ER10">
        <f t="shared" si="1"/>
        <v>12.699999999999971</v>
      </c>
      <c r="ES10">
        <f t="shared" si="1"/>
        <v>12.799999999999971</v>
      </c>
      <c r="ET10">
        <f t="shared" si="1"/>
        <v>12.89999999999997</v>
      </c>
      <c r="EU10">
        <f t="shared" si="1"/>
        <v>12.99999999999997</v>
      </c>
      <c r="EV10">
        <f t="shared" ref="EV10:HG10" si="2">EU10+$W$7</f>
        <v>13.099999999999969</v>
      </c>
      <c r="EW10">
        <f t="shared" si="2"/>
        <v>13.199999999999969</v>
      </c>
      <c r="EX10">
        <f t="shared" si="2"/>
        <v>13.299999999999969</v>
      </c>
      <c r="EY10">
        <f t="shared" si="2"/>
        <v>13.399999999999968</v>
      </c>
      <c r="EZ10">
        <f t="shared" si="2"/>
        <v>13.499999999999968</v>
      </c>
      <c r="FA10">
        <f t="shared" si="2"/>
        <v>13.599999999999968</v>
      </c>
      <c r="FB10">
        <f t="shared" si="2"/>
        <v>13.699999999999967</v>
      </c>
      <c r="FC10">
        <f t="shared" si="2"/>
        <v>13.799999999999967</v>
      </c>
      <c r="FD10">
        <f t="shared" si="2"/>
        <v>13.899999999999967</v>
      </c>
      <c r="FE10">
        <f t="shared" si="2"/>
        <v>13.999999999999966</v>
      </c>
      <c r="FF10">
        <f t="shared" si="2"/>
        <v>14.099999999999966</v>
      </c>
      <c r="FG10">
        <f t="shared" si="2"/>
        <v>14.199999999999966</v>
      </c>
      <c r="FH10">
        <f t="shared" si="2"/>
        <v>14.299999999999965</v>
      </c>
      <c r="FI10">
        <f t="shared" si="2"/>
        <v>14.399999999999965</v>
      </c>
      <c r="FJ10">
        <f t="shared" si="2"/>
        <v>14.499999999999964</v>
      </c>
      <c r="FK10">
        <f t="shared" si="2"/>
        <v>14.599999999999964</v>
      </c>
      <c r="FL10">
        <f t="shared" si="2"/>
        <v>14.699999999999964</v>
      </c>
      <c r="FM10">
        <f t="shared" si="2"/>
        <v>14.799999999999963</v>
      </c>
      <c r="FN10">
        <f t="shared" si="2"/>
        <v>14.899999999999963</v>
      </c>
      <c r="FO10">
        <f t="shared" si="2"/>
        <v>14.999999999999963</v>
      </c>
      <c r="FP10">
        <f t="shared" si="2"/>
        <v>15.099999999999962</v>
      </c>
      <c r="FQ10">
        <f t="shared" si="2"/>
        <v>15.199999999999962</v>
      </c>
      <c r="FR10">
        <f t="shared" si="2"/>
        <v>15.299999999999962</v>
      </c>
      <c r="FS10">
        <f t="shared" si="2"/>
        <v>15.399999999999961</v>
      </c>
      <c r="FT10">
        <f t="shared" si="2"/>
        <v>15.499999999999961</v>
      </c>
      <c r="FU10">
        <f t="shared" si="2"/>
        <v>15.599999999999961</v>
      </c>
      <c r="FV10">
        <f t="shared" si="2"/>
        <v>15.69999999999996</v>
      </c>
      <c r="FW10">
        <f t="shared" si="2"/>
        <v>15.79999999999996</v>
      </c>
      <c r="FX10">
        <f t="shared" si="2"/>
        <v>15.899999999999959</v>
      </c>
      <c r="FY10">
        <f t="shared" si="2"/>
        <v>15.999999999999959</v>
      </c>
      <c r="FZ10">
        <f t="shared" si="2"/>
        <v>16.099999999999959</v>
      </c>
      <c r="GA10">
        <f t="shared" si="2"/>
        <v>16.19999999999996</v>
      </c>
      <c r="GB10">
        <f t="shared" si="2"/>
        <v>16.299999999999962</v>
      </c>
      <c r="GC10">
        <f t="shared" si="2"/>
        <v>16.399999999999963</v>
      </c>
      <c r="GD10">
        <f t="shared" si="2"/>
        <v>16.499999999999964</v>
      </c>
      <c r="GE10">
        <f t="shared" si="2"/>
        <v>16.599999999999966</v>
      </c>
      <c r="GF10">
        <f t="shared" si="2"/>
        <v>16.699999999999967</v>
      </c>
      <c r="GG10">
        <f t="shared" si="2"/>
        <v>16.799999999999969</v>
      </c>
      <c r="GH10">
        <f t="shared" si="2"/>
        <v>16.89999999999997</v>
      </c>
      <c r="GI10">
        <f t="shared" si="2"/>
        <v>16.999999999999972</v>
      </c>
      <c r="GJ10">
        <f t="shared" si="2"/>
        <v>17.099999999999973</v>
      </c>
      <c r="GK10">
        <f t="shared" si="2"/>
        <v>17.199999999999974</v>
      </c>
      <c r="GL10">
        <f t="shared" si="2"/>
        <v>17.299999999999976</v>
      </c>
      <c r="GM10">
        <f t="shared" si="2"/>
        <v>17.399999999999977</v>
      </c>
      <c r="GN10">
        <f t="shared" si="2"/>
        <v>17.499999999999979</v>
      </c>
      <c r="GO10">
        <f t="shared" si="2"/>
        <v>17.59999999999998</v>
      </c>
      <c r="GP10">
        <f t="shared" si="2"/>
        <v>17.699999999999982</v>
      </c>
      <c r="GQ10">
        <f t="shared" si="2"/>
        <v>17.799999999999983</v>
      </c>
      <c r="GR10">
        <f t="shared" si="2"/>
        <v>17.899999999999984</v>
      </c>
      <c r="GS10">
        <f t="shared" si="2"/>
        <v>17.999999999999986</v>
      </c>
      <c r="GT10">
        <f t="shared" si="2"/>
        <v>18.099999999999987</v>
      </c>
      <c r="GU10">
        <f t="shared" si="2"/>
        <v>18.199999999999989</v>
      </c>
      <c r="GV10">
        <f t="shared" si="2"/>
        <v>18.29999999999999</v>
      </c>
      <c r="GW10">
        <f t="shared" si="2"/>
        <v>18.399999999999991</v>
      </c>
      <c r="GX10">
        <f t="shared" si="2"/>
        <v>18.499999999999993</v>
      </c>
      <c r="GY10">
        <f t="shared" si="2"/>
        <v>18.599999999999994</v>
      </c>
      <c r="GZ10">
        <f t="shared" si="2"/>
        <v>18.699999999999996</v>
      </c>
      <c r="HA10">
        <f t="shared" si="2"/>
        <v>18.799999999999997</v>
      </c>
      <c r="HB10">
        <f t="shared" si="2"/>
        <v>18.899999999999999</v>
      </c>
      <c r="HC10">
        <f t="shared" si="2"/>
        <v>19</v>
      </c>
      <c r="HD10">
        <f t="shared" si="2"/>
        <v>19.100000000000001</v>
      </c>
      <c r="HE10">
        <f t="shared" si="2"/>
        <v>19.200000000000003</v>
      </c>
      <c r="HF10">
        <f t="shared" si="2"/>
        <v>19.300000000000004</v>
      </c>
      <c r="HG10">
        <f t="shared" si="2"/>
        <v>19.400000000000006</v>
      </c>
      <c r="HH10">
        <f t="shared" ref="HH10:JS10" si="3">HG10+$W$7</f>
        <v>19.500000000000007</v>
      </c>
      <c r="HI10">
        <f t="shared" si="3"/>
        <v>19.600000000000009</v>
      </c>
      <c r="HJ10">
        <f t="shared" si="3"/>
        <v>19.70000000000001</v>
      </c>
      <c r="HK10">
        <f t="shared" si="3"/>
        <v>19.800000000000011</v>
      </c>
      <c r="HL10">
        <f t="shared" si="3"/>
        <v>19.900000000000013</v>
      </c>
      <c r="HM10">
        <f t="shared" si="3"/>
        <v>20.000000000000014</v>
      </c>
      <c r="HN10">
        <f t="shared" si="3"/>
        <v>20.100000000000016</v>
      </c>
      <c r="HO10">
        <f t="shared" si="3"/>
        <v>20.200000000000017</v>
      </c>
      <c r="HP10">
        <f t="shared" si="3"/>
        <v>20.300000000000018</v>
      </c>
      <c r="HQ10">
        <f t="shared" si="3"/>
        <v>20.40000000000002</v>
      </c>
      <c r="HR10">
        <f t="shared" si="3"/>
        <v>20.500000000000021</v>
      </c>
      <c r="HS10">
        <f t="shared" si="3"/>
        <v>20.600000000000023</v>
      </c>
      <c r="HT10">
        <f t="shared" si="3"/>
        <v>20.700000000000024</v>
      </c>
      <c r="HU10">
        <f t="shared" si="3"/>
        <v>20.800000000000026</v>
      </c>
      <c r="HV10">
        <f t="shared" si="3"/>
        <v>20.900000000000027</v>
      </c>
      <c r="HW10">
        <f t="shared" si="3"/>
        <v>21.000000000000028</v>
      </c>
      <c r="HX10">
        <f t="shared" si="3"/>
        <v>21.10000000000003</v>
      </c>
      <c r="HY10">
        <f t="shared" si="3"/>
        <v>21.200000000000031</v>
      </c>
      <c r="HZ10">
        <f t="shared" si="3"/>
        <v>21.300000000000033</v>
      </c>
      <c r="IA10">
        <f t="shared" si="3"/>
        <v>21.400000000000034</v>
      </c>
      <c r="IB10">
        <f t="shared" si="3"/>
        <v>21.500000000000036</v>
      </c>
      <c r="IC10">
        <f t="shared" si="3"/>
        <v>21.600000000000037</v>
      </c>
      <c r="ID10">
        <f t="shared" si="3"/>
        <v>21.700000000000038</v>
      </c>
      <c r="IE10">
        <f t="shared" si="3"/>
        <v>21.80000000000004</v>
      </c>
      <c r="IF10">
        <f t="shared" si="3"/>
        <v>21.900000000000041</v>
      </c>
      <c r="IG10">
        <f t="shared" si="3"/>
        <v>22.000000000000043</v>
      </c>
      <c r="IH10">
        <f t="shared" si="3"/>
        <v>22.100000000000044</v>
      </c>
      <c r="II10">
        <f t="shared" si="3"/>
        <v>22.200000000000045</v>
      </c>
      <c r="IJ10">
        <f t="shared" si="3"/>
        <v>22.300000000000047</v>
      </c>
      <c r="IK10">
        <f t="shared" si="3"/>
        <v>22.400000000000048</v>
      </c>
      <c r="IL10">
        <f t="shared" si="3"/>
        <v>22.50000000000005</v>
      </c>
      <c r="IM10">
        <f t="shared" si="3"/>
        <v>22.600000000000051</v>
      </c>
      <c r="IN10">
        <f t="shared" si="3"/>
        <v>22.700000000000053</v>
      </c>
      <c r="IO10">
        <f t="shared" si="3"/>
        <v>22.800000000000054</v>
      </c>
      <c r="IP10">
        <f t="shared" si="3"/>
        <v>22.900000000000055</v>
      </c>
      <c r="IQ10">
        <f t="shared" si="3"/>
        <v>23.000000000000057</v>
      </c>
      <c r="IR10">
        <f t="shared" si="3"/>
        <v>23.100000000000058</v>
      </c>
      <c r="IS10">
        <f t="shared" si="3"/>
        <v>23.20000000000006</v>
      </c>
      <c r="IT10">
        <f t="shared" si="3"/>
        <v>23.300000000000061</v>
      </c>
      <c r="IU10">
        <f t="shared" si="3"/>
        <v>23.400000000000063</v>
      </c>
      <c r="IV10">
        <f t="shared" si="3"/>
        <v>23.500000000000064</v>
      </c>
      <c r="IW10">
        <f t="shared" si="3"/>
        <v>23.600000000000065</v>
      </c>
      <c r="IX10">
        <f t="shared" si="3"/>
        <v>23.700000000000067</v>
      </c>
      <c r="IY10">
        <f t="shared" si="3"/>
        <v>23.800000000000068</v>
      </c>
      <c r="IZ10">
        <f t="shared" si="3"/>
        <v>23.90000000000007</v>
      </c>
      <c r="JA10">
        <f t="shared" si="3"/>
        <v>24.000000000000071</v>
      </c>
      <c r="JB10">
        <f t="shared" si="3"/>
        <v>24.100000000000072</v>
      </c>
      <c r="JC10">
        <f t="shared" si="3"/>
        <v>24.200000000000074</v>
      </c>
      <c r="JD10">
        <f t="shared" si="3"/>
        <v>24.300000000000075</v>
      </c>
      <c r="JE10">
        <f t="shared" si="3"/>
        <v>24.400000000000077</v>
      </c>
      <c r="JF10">
        <f t="shared" si="3"/>
        <v>24.500000000000078</v>
      </c>
      <c r="JG10">
        <f t="shared" si="3"/>
        <v>24.60000000000008</v>
      </c>
      <c r="JH10">
        <f t="shared" si="3"/>
        <v>24.700000000000081</v>
      </c>
      <c r="JI10">
        <f t="shared" si="3"/>
        <v>24.800000000000082</v>
      </c>
      <c r="JJ10">
        <f t="shared" si="3"/>
        <v>24.900000000000084</v>
      </c>
      <c r="JK10">
        <f t="shared" si="3"/>
        <v>25.000000000000085</v>
      </c>
      <c r="JL10">
        <f t="shared" si="3"/>
        <v>25.100000000000087</v>
      </c>
      <c r="JM10">
        <f t="shared" si="3"/>
        <v>25.200000000000088</v>
      </c>
      <c r="JN10">
        <f t="shared" si="3"/>
        <v>25.30000000000009</v>
      </c>
      <c r="JO10">
        <f t="shared" si="3"/>
        <v>25.400000000000091</v>
      </c>
      <c r="JP10">
        <f t="shared" si="3"/>
        <v>25.500000000000092</v>
      </c>
      <c r="JQ10">
        <f t="shared" si="3"/>
        <v>25.600000000000094</v>
      </c>
      <c r="JR10">
        <f t="shared" si="3"/>
        <v>25.700000000000095</v>
      </c>
      <c r="JS10">
        <f t="shared" si="3"/>
        <v>25.800000000000097</v>
      </c>
      <c r="JT10">
        <f t="shared" ref="JT10:ME10" si="4">JS10+$W$7</f>
        <v>25.900000000000098</v>
      </c>
      <c r="JU10">
        <f t="shared" si="4"/>
        <v>26.000000000000099</v>
      </c>
      <c r="JV10">
        <f t="shared" si="4"/>
        <v>26.100000000000101</v>
      </c>
      <c r="JW10">
        <f t="shared" si="4"/>
        <v>26.200000000000102</v>
      </c>
      <c r="JX10">
        <f t="shared" si="4"/>
        <v>26.300000000000104</v>
      </c>
      <c r="JY10">
        <f t="shared" si="4"/>
        <v>26.400000000000105</v>
      </c>
      <c r="JZ10">
        <f t="shared" si="4"/>
        <v>26.500000000000107</v>
      </c>
      <c r="KA10">
        <f t="shared" si="4"/>
        <v>26.600000000000108</v>
      </c>
      <c r="KB10">
        <f t="shared" si="4"/>
        <v>26.700000000000109</v>
      </c>
      <c r="KC10">
        <f t="shared" si="4"/>
        <v>26.800000000000111</v>
      </c>
      <c r="KD10">
        <f t="shared" si="4"/>
        <v>26.900000000000112</v>
      </c>
      <c r="KE10">
        <f t="shared" si="4"/>
        <v>27.000000000000114</v>
      </c>
      <c r="KF10">
        <f t="shared" si="4"/>
        <v>27.100000000000115</v>
      </c>
      <c r="KG10">
        <f t="shared" si="4"/>
        <v>27.200000000000117</v>
      </c>
      <c r="KH10">
        <f t="shared" si="4"/>
        <v>27.300000000000118</v>
      </c>
      <c r="KI10">
        <f t="shared" si="4"/>
        <v>27.400000000000119</v>
      </c>
      <c r="KJ10">
        <f t="shared" si="4"/>
        <v>27.500000000000121</v>
      </c>
      <c r="KK10">
        <f t="shared" si="4"/>
        <v>27.600000000000122</v>
      </c>
      <c r="KL10">
        <f t="shared" si="4"/>
        <v>27.700000000000124</v>
      </c>
      <c r="KM10">
        <f t="shared" si="4"/>
        <v>27.800000000000125</v>
      </c>
      <c r="KN10">
        <f t="shared" si="4"/>
        <v>27.900000000000126</v>
      </c>
      <c r="KO10">
        <f t="shared" si="4"/>
        <v>28.000000000000128</v>
      </c>
      <c r="KP10">
        <f t="shared" si="4"/>
        <v>28.100000000000129</v>
      </c>
      <c r="KQ10">
        <f t="shared" si="4"/>
        <v>28.200000000000131</v>
      </c>
      <c r="KR10">
        <f t="shared" si="4"/>
        <v>28.300000000000132</v>
      </c>
      <c r="KS10">
        <f t="shared" si="4"/>
        <v>28.400000000000134</v>
      </c>
      <c r="KT10">
        <f t="shared" si="4"/>
        <v>28.500000000000135</v>
      </c>
      <c r="KU10">
        <f t="shared" si="4"/>
        <v>28.600000000000136</v>
      </c>
      <c r="KV10">
        <f t="shared" si="4"/>
        <v>28.700000000000138</v>
      </c>
      <c r="KW10">
        <f t="shared" si="4"/>
        <v>28.800000000000139</v>
      </c>
      <c r="KX10">
        <f t="shared" si="4"/>
        <v>28.900000000000141</v>
      </c>
      <c r="KY10">
        <f t="shared" si="4"/>
        <v>29.000000000000142</v>
      </c>
      <c r="KZ10">
        <f t="shared" si="4"/>
        <v>29.100000000000144</v>
      </c>
      <c r="LA10">
        <f t="shared" si="4"/>
        <v>29.200000000000145</v>
      </c>
      <c r="LB10">
        <f t="shared" si="4"/>
        <v>29.300000000000146</v>
      </c>
      <c r="LC10">
        <f t="shared" si="4"/>
        <v>29.400000000000148</v>
      </c>
      <c r="LD10">
        <f t="shared" si="4"/>
        <v>29.500000000000149</v>
      </c>
      <c r="LE10">
        <f t="shared" si="4"/>
        <v>29.600000000000151</v>
      </c>
      <c r="LF10">
        <f t="shared" si="4"/>
        <v>29.700000000000152</v>
      </c>
      <c r="LG10">
        <f t="shared" si="4"/>
        <v>29.800000000000153</v>
      </c>
      <c r="LH10">
        <f t="shared" si="4"/>
        <v>29.900000000000155</v>
      </c>
      <c r="LI10">
        <f t="shared" si="4"/>
        <v>30.000000000000156</v>
      </c>
      <c r="LJ10">
        <f t="shared" si="4"/>
        <v>30.100000000000158</v>
      </c>
      <c r="LK10">
        <f t="shared" si="4"/>
        <v>30.200000000000159</v>
      </c>
      <c r="LL10">
        <f t="shared" si="4"/>
        <v>30.300000000000161</v>
      </c>
      <c r="LM10">
        <f t="shared" si="4"/>
        <v>30.400000000000162</v>
      </c>
      <c r="LN10">
        <f t="shared" si="4"/>
        <v>30.500000000000163</v>
      </c>
      <c r="LO10">
        <f t="shared" si="4"/>
        <v>30.600000000000165</v>
      </c>
      <c r="LP10">
        <f t="shared" si="4"/>
        <v>30.700000000000166</v>
      </c>
      <c r="LQ10">
        <f t="shared" si="4"/>
        <v>30.800000000000168</v>
      </c>
      <c r="LR10">
        <f t="shared" si="4"/>
        <v>30.900000000000169</v>
      </c>
      <c r="LS10">
        <f t="shared" si="4"/>
        <v>31.000000000000171</v>
      </c>
      <c r="LT10">
        <f t="shared" si="4"/>
        <v>31.100000000000172</v>
      </c>
      <c r="LU10">
        <f t="shared" si="4"/>
        <v>31.200000000000173</v>
      </c>
      <c r="LV10">
        <f t="shared" si="4"/>
        <v>31.300000000000175</v>
      </c>
      <c r="LW10">
        <f t="shared" si="4"/>
        <v>31.400000000000176</v>
      </c>
      <c r="LX10">
        <f t="shared" si="4"/>
        <v>31.500000000000178</v>
      </c>
      <c r="LY10">
        <f t="shared" si="4"/>
        <v>31.600000000000179</v>
      </c>
      <c r="LZ10">
        <f t="shared" si="4"/>
        <v>31.70000000000018</v>
      </c>
      <c r="MA10">
        <f t="shared" si="4"/>
        <v>31.800000000000182</v>
      </c>
      <c r="MB10">
        <f t="shared" si="4"/>
        <v>31.900000000000183</v>
      </c>
      <c r="MC10">
        <f t="shared" si="4"/>
        <v>32.000000000000185</v>
      </c>
      <c r="MD10">
        <f t="shared" si="4"/>
        <v>32.100000000000186</v>
      </c>
      <c r="ME10">
        <f t="shared" si="4"/>
        <v>32.200000000000188</v>
      </c>
      <c r="MF10">
        <f t="shared" ref="MF10:OQ10" si="5">ME10+$W$7</f>
        <v>32.300000000000189</v>
      </c>
      <c r="MG10">
        <f t="shared" si="5"/>
        <v>32.40000000000019</v>
      </c>
      <c r="MH10">
        <f t="shared" si="5"/>
        <v>32.500000000000192</v>
      </c>
      <c r="MI10">
        <f t="shared" si="5"/>
        <v>32.600000000000193</v>
      </c>
      <c r="MJ10">
        <f t="shared" si="5"/>
        <v>32.700000000000195</v>
      </c>
      <c r="MK10">
        <f t="shared" si="5"/>
        <v>32.800000000000196</v>
      </c>
      <c r="ML10">
        <f t="shared" si="5"/>
        <v>32.900000000000198</v>
      </c>
      <c r="MM10">
        <f t="shared" si="5"/>
        <v>33.000000000000199</v>
      </c>
      <c r="MN10">
        <f t="shared" si="5"/>
        <v>33.1000000000002</v>
      </c>
      <c r="MO10">
        <f t="shared" si="5"/>
        <v>33.200000000000202</v>
      </c>
      <c r="MP10">
        <f t="shared" si="5"/>
        <v>33.300000000000203</v>
      </c>
      <c r="MQ10">
        <f t="shared" si="5"/>
        <v>33.400000000000205</v>
      </c>
      <c r="MR10">
        <f t="shared" si="5"/>
        <v>33.500000000000206</v>
      </c>
      <c r="MS10">
        <f t="shared" si="5"/>
        <v>33.600000000000207</v>
      </c>
      <c r="MT10">
        <f t="shared" si="5"/>
        <v>33.700000000000209</v>
      </c>
      <c r="MU10">
        <f t="shared" si="5"/>
        <v>33.80000000000021</v>
      </c>
      <c r="MV10">
        <f t="shared" si="5"/>
        <v>33.900000000000212</v>
      </c>
      <c r="MW10">
        <f t="shared" si="5"/>
        <v>34.000000000000213</v>
      </c>
      <c r="MX10">
        <f t="shared" si="5"/>
        <v>34.100000000000215</v>
      </c>
      <c r="MY10">
        <f t="shared" si="5"/>
        <v>34.200000000000216</v>
      </c>
      <c r="MZ10">
        <f t="shared" si="5"/>
        <v>34.300000000000217</v>
      </c>
      <c r="NA10">
        <f t="shared" si="5"/>
        <v>34.400000000000219</v>
      </c>
      <c r="NB10">
        <f t="shared" si="5"/>
        <v>34.50000000000022</v>
      </c>
      <c r="NC10">
        <f t="shared" si="5"/>
        <v>34.600000000000222</v>
      </c>
      <c r="ND10">
        <f t="shared" si="5"/>
        <v>34.700000000000223</v>
      </c>
      <c r="NE10">
        <f t="shared" si="5"/>
        <v>34.800000000000225</v>
      </c>
      <c r="NF10">
        <f t="shared" si="5"/>
        <v>34.900000000000226</v>
      </c>
      <c r="NG10">
        <f t="shared" si="5"/>
        <v>35.000000000000227</v>
      </c>
      <c r="NH10">
        <f t="shared" si="5"/>
        <v>35.100000000000229</v>
      </c>
      <c r="NI10">
        <f t="shared" si="5"/>
        <v>35.20000000000023</v>
      </c>
      <c r="NJ10">
        <f t="shared" si="5"/>
        <v>35.300000000000232</v>
      </c>
      <c r="NK10">
        <f t="shared" si="5"/>
        <v>35.400000000000233</v>
      </c>
      <c r="NL10">
        <f t="shared" si="5"/>
        <v>35.500000000000234</v>
      </c>
      <c r="NM10">
        <f t="shared" si="5"/>
        <v>35.600000000000236</v>
      </c>
      <c r="NN10">
        <f t="shared" si="5"/>
        <v>35.700000000000237</v>
      </c>
      <c r="NO10">
        <f t="shared" si="5"/>
        <v>35.800000000000239</v>
      </c>
      <c r="NP10">
        <f t="shared" si="5"/>
        <v>35.90000000000024</v>
      </c>
      <c r="NQ10">
        <f t="shared" si="5"/>
        <v>36.000000000000242</v>
      </c>
      <c r="NR10">
        <f t="shared" si="5"/>
        <v>36.100000000000243</v>
      </c>
      <c r="NS10">
        <f t="shared" si="5"/>
        <v>36.200000000000244</v>
      </c>
      <c r="NT10">
        <f t="shared" si="5"/>
        <v>36.300000000000246</v>
      </c>
      <c r="NU10">
        <f t="shared" si="5"/>
        <v>36.400000000000247</v>
      </c>
      <c r="NV10">
        <f t="shared" si="5"/>
        <v>36.500000000000249</v>
      </c>
      <c r="NW10">
        <f t="shared" si="5"/>
        <v>36.60000000000025</v>
      </c>
      <c r="NX10">
        <f t="shared" si="5"/>
        <v>36.700000000000252</v>
      </c>
      <c r="NY10">
        <f t="shared" si="5"/>
        <v>36.800000000000253</v>
      </c>
      <c r="NZ10">
        <f t="shared" si="5"/>
        <v>36.900000000000254</v>
      </c>
      <c r="OA10">
        <f t="shared" si="5"/>
        <v>37.000000000000256</v>
      </c>
      <c r="OB10">
        <f t="shared" si="5"/>
        <v>37.100000000000257</v>
      </c>
      <c r="OC10">
        <f t="shared" si="5"/>
        <v>37.200000000000259</v>
      </c>
      <c r="OD10">
        <f t="shared" si="5"/>
        <v>37.30000000000026</v>
      </c>
      <c r="OE10">
        <f t="shared" si="5"/>
        <v>37.400000000000261</v>
      </c>
      <c r="OF10">
        <f t="shared" si="5"/>
        <v>37.500000000000263</v>
      </c>
      <c r="OG10">
        <f t="shared" si="5"/>
        <v>37.600000000000264</v>
      </c>
      <c r="OH10">
        <f t="shared" si="5"/>
        <v>37.700000000000266</v>
      </c>
      <c r="OI10">
        <f t="shared" si="5"/>
        <v>37.800000000000267</v>
      </c>
      <c r="OJ10">
        <f t="shared" si="5"/>
        <v>37.900000000000269</v>
      </c>
      <c r="OK10">
        <f t="shared" si="5"/>
        <v>38.00000000000027</v>
      </c>
      <c r="OL10">
        <f t="shared" si="5"/>
        <v>38.100000000000271</v>
      </c>
      <c r="OM10">
        <f t="shared" si="5"/>
        <v>38.200000000000273</v>
      </c>
      <c r="ON10">
        <f t="shared" si="5"/>
        <v>38.300000000000274</v>
      </c>
      <c r="OO10">
        <f t="shared" si="5"/>
        <v>38.400000000000276</v>
      </c>
      <c r="OP10">
        <f t="shared" si="5"/>
        <v>38.500000000000277</v>
      </c>
      <c r="OQ10">
        <f t="shared" si="5"/>
        <v>38.600000000000279</v>
      </c>
      <c r="OR10">
        <f t="shared" ref="OR10:RC10" si="6">OQ10+$W$7</f>
        <v>38.70000000000028</v>
      </c>
      <c r="OS10">
        <f t="shared" si="6"/>
        <v>38.800000000000281</v>
      </c>
      <c r="OT10">
        <f t="shared" si="6"/>
        <v>38.900000000000283</v>
      </c>
      <c r="OU10">
        <f t="shared" si="6"/>
        <v>39.000000000000284</v>
      </c>
      <c r="OV10">
        <f t="shared" si="6"/>
        <v>39.100000000000286</v>
      </c>
      <c r="OW10">
        <f t="shared" si="6"/>
        <v>39.200000000000287</v>
      </c>
      <c r="OX10">
        <f t="shared" si="6"/>
        <v>39.300000000000288</v>
      </c>
      <c r="OY10">
        <f t="shared" si="6"/>
        <v>39.40000000000029</v>
      </c>
      <c r="OZ10">
        <f t="shared" si="6"/>
        <v>39.500000000000291</v>
      </c>
      <c r="PA10">
        <f t="shared" si="6"/>
        <v>39.600000000000293</v>
      </c>
      <c r="PB10">
        <f t="shared" si="6"/>
        <v>39.700000000000294</v>
      </c>
      <c r="PC10">
        <f t="shared" si="6"/>
        <v>39.800000000000296</v>
      </c>
      <c r="PD10">
        <f t="shared" si="6"/>
        <v>39.900000000000297</v>
      </c>
      <c r="PE10">
        <f t="shared" si="6"/>
        <v>40.000000000000298</v>
      </c>
      <c r="PF10">
        <f t="shared" si="6"/>
        <v>40.1000000000003</v>
      </c>
      <c r="PG10">
        <f t="shared" si="6"/>
        <v>40.200000000000301</v>
      </c>
      <c r="PH10">
        <f t="shared" si="6"/>
        <v>40.300000000000303</v>
      </c>
      <c r="PI10">
        <f t="shared" si="6"/>
        <v>40.400000000000304</v>
      </c>
      <c r="PJ10">
        <f t="shared" si="6"/>
        <v>40.500000000000306</v>
      </c>
      <c r="PK10">
        <f t="shared" si="6"/>
        <v>40.600000000000307</v>
      </c>
      <c r="PL10">
        <f t="shared" si="6"/>
        <v>40.700000000000308</v>
      </c>
      <c r="PM10">
        <f t="shared" si="6"/>
        <v>40.80000000000031</v>
      </c>
      <c r="PN10">
        <f t="shared" si="6"/>
        <v>40.900000000000311</v>
      </c>
      <c r="PO10">
        <f t="shared" si="6"/>
        <v>41.000000000000313</v>
      </c>
      <c r="PP10">
        <f t="shared" si="6"/>
        <v>41.100000000000314</v>
      </c>
      <c r="PQ10">
        <f t="shared" si="6"/>
        <v>41.200000000000315</v>
      </c>
      <c r="PR10">
        <f t="shared" si="6"/>
        <v>41.300000000000317</v>
      </c>
      <c r="PS10">
        <f t="shared" si="6"/>
        <v>41.400000000000318</v>
      </c>
      <c r="PT10">
        <f t="shared" si="6"/>
        <v>41.50000000000032</v>
      </c>
      <c r="PU10">
        <f t="shared" si="6"/>
        <v>41.600000000000321</v>
      </c>
      <c r="PV10">
        <f t="shared" si="6"/>
        <v>41.700000000000323</v>
      </c>
      <c r="PW10">
        <f t="shared" si="6"/>
        <v>41.800000000000324</v>
      </c>
      <c r="PX10">
        <f t="shared" si="6"/>
        <v>41.900000000000325</v>
      </c>
      <c r="PY10">
        <f t="shared" si="6"/>
        <v>42.000000000000327</v>
      </c>
      <c r="PZ10">
        <f t="shared" si="6"/>
        <v>42.100000000000328</v>
      </c>
      <c r="QA10">
        <f t="shared" si="6"/>
        <v>42.20000000000033</v>
      </c>
      <c r="QB10">
        <f t="shared" si="6"/>
        <v>42.300000000000331</v>
      </c>
      <c r="QC10">
        <f t="shared" si="6"/>
        <v>42.400000000000333</v>
      </c>
      <c r="QD10">
        <f t="shared" si="6"/>
        <v>42.500000000000334</v>
      </c>
      <c r="QE10">
        <f t="shared" si="6"/>
        <v>42.600000000000335</v>
      </c>
      <c r="QF10">
        <f t="shared" si="6"/>
        <v>42.700000000000337</v>
      </c>
      <c r="QG10">
        <f t="shared" si="6"/>
        <v>42.800000000000338</v>
      </c>
      <c r="QH10">
        <f t="shared" si="6"/>
        <v>42.90000000000034</v>
      </c>
      <c r="QI10">
        <f t="shared" si="6"/>
        <v>43.000000000000341</v>
      </c>
      <c r="QJ10">
        <f t="shared" si="6"/>
        <v>43.100000000000342</v>
      </c>
      <c r="QK10">
        <f t="shared" si="6"/>
        <v>43.200000000000344</v>
      </c>
      <c r="QL10">
        <f t="shared" si="6"/>
        <v>43.300000000000345</v>
      </c>
      <c r="QM10">
        <f t="shared" si="6"/>
        <v>43.400000000000347</v>
      </c>
      <c r="QN10">
        <f t="shared" si="6"/>
        <v>43.500000000000348</v>
      </c>
      <c r="QO10">
        <f t="shared" si="6"/>
        <v>43.60000000000035</v>
      </c>
      <c r="QP10">
        <f t="shared" si="6"/>
        <v>43.700000000000351</v>
      </c>
      <c r="QQ10">
        <f t="shared" si="6"/>
        <v>43.800000000000352</v>
      </c>
      <c r="QR10">
        <f t="shared" si="6"/>
        <v>43.900000000000354</v>
      </c>
      <c r="QS10">
        <f t="shared" si="6"/>
        <v>44.000000000000355</v>
      </c>
      <c r="QT10">
        <f t="shared" si="6"/>
        <v>44.100000000000357</v>
      </c>
      <c r="QU10">
        <f t="shared" si="6"/>
        <v>44.200000000000358</v>
      </c>
      <c r="QV10">
        <f t="shared" si="6"/>
        <v>44.30000000000036</v>
      </c>
      <c r="QW10">
        <f t="shared" si="6"/>
        <v>44.400000000000361</v>
      </c>
      <c r="QX10">
        <f t="shared" si="6"/>
        <v>44.500000000000362</v>
      </c>
      <c r="QY10">
        <f t="shared" si="6"/>
        <v>44.600000000000364</v>
      </c>
      <c r="QZ10">
        <f t="shared" si="6"/>
        <v>44.700000000000365</v>
      </c>
      <c r="RA10">
        <f t="shared" si="6"/>
        <v>44.800000000000367</v>
      </c>
      <c r="RB10">
        <f t="shared" si="6"/>
        <v>44.900000000000368</v>
      </c>
      <c r="RC10">
        <f t="shared" si="6"/>
        <v>45.000000000000369</v>
      </c>
      <c r="RD10">
        <f t="shared" ref="RD10:TA10" si="7">RC10+$W$7</f>
        <v>45.100000000000371</v>
      </c>
      <c r="RE10">
        <f t="shared" si="7"/>
        <v>45.200000000000372</v>
      </c>
      <c r="RF10">
        <f t="shared" si="7"/>
        <v>45.300000000000374</v>
      </c>
      <c r="RG10">
        <f t="shared" si="7"/>
        <v>45.400000000000375</v>
      </c>
      <c r="RH10">
        <f t="shared" si="7"/>
        <v>45.500000000000377</v>
      </c>
      <c r="RI10">
        <f t="shared" si="7"/>
        <v>45.600000000000378</v>
      </c>
      <c r="RJ10">
        <f t="shared" si="7"/>
        <v>45.700000000000379</v>
      </c>
      <c r="RK10">
        <f t="shared" si="7"/>
        <v>45.800000000000381</v>
      </c>
      <c r="RL10">
        <f t="shared" si="7"/>
        <v>45.900000000000382</v>
      </c>
      <c r="RM10">
        <f t="shared" si="7"/>
        <v>46.000000000000384</v>
      </c>
      <c r="RN10">
        <f t="shared" si="7"/>
        <v>46.100000000000385</v>
      </c>
      <c r="RO10">
        <f t="shared" si="7"/>
        <v>46.200000000000387</v>
      </c>
      <c r="RP10">
        <f t="shared" si="7"/>
        <v>46.300000000000388</v>
      </c>
      <c r="RQ10">
        <f t="shared" si="7"/>
        <v>46.400000000000389</v>
      </c>
      <c r="RR10">
        <f t="shared" si="7"/>
        <v>46.500000000000391</v>
      </c>
      <c r="RS10">
        <f t="shared" si="7"/>
        <v>46.600000000000392</v>
      </c>
      <c r="RT10">
        <f t="shared" si="7"/>
        <v>46.700000000000394</v>
      </c>
      <c r="RU10">
        <f t="shared" si="7"/>
        <v>46.800000000000395</v>
      </c>
      <c r="RV10">
        <f t="shared" si="7"/>
        <v>46.900000000000396</v>
      </c>
      <c r="RW10">
        <f t="shared" si="7"/>
        <v>47.000000000000398</v>
      </c>
      <c r="RX10">
        <f t="shared" si="7"/>
        <v>47.100000000000399</v>
      </c>
      <c r="RY10">
        <f t="shared" si="7"/>
        <v>47.200000000000401</v>
      </c>
      <c r="RZ10">
        <f t="shared" si="7"/>
        <v>47.300000000000402</v>
      </c>
      <c r="SA10">
        <f t="shared" si="7"/>
        <v>47.400000000000404</v>
      </c>
      <c r="SB10">
        <f t="shared" si="7"/>
        <v>47.500000000000405</v>
      </c>
      <c r="SC10">
        <f t="shared" si="7"/>
        <v>47.600000000000406</v>
      </c>
      <c r="SD10">
        <f t="shared" si="7"/>
        <v>47.700000000000408</v>
      </c>
      <c r="SE10">
        <f t="shared" si="7"/>
        <v>47.800000000000409</v>
      </c>
      <c r="SF10">
        <f t="shared" si="7"/>
        <v>47.900000000000411</v>
      </c>
      <c r="SG10">
        <f t="shared" si="7"/>
        <v>48.000000000000412</v>
      </c>
      <c r="SH10">
        <f t="shared" si="7"/>
        <v>48.100000000000414</v>
      </c>
      <c r="SI10">
        <f t="shared" si="7"/>
        <v>48.200000000000415</v>
      </c>
      <c r="SJ10">
        <f t="shared" si="7"/>
        <v>48.300000000000416</v>
      </c>
      <c r="SK10">
        <f t="shared" si="7"/>
        <v>48.400000000000418</v>
      </c>
      <c r="SL10">
        <f t="shared" si="7"/>
        <v>48.500000000000419</v>
      </c>
      <c r="SM10">
        <f t="shared" si="7"/>
        <v>48.600000000000421</v>
      </c>
      <c r="SN10">
        <f t="shared" si="7"/>
        <v>48.700000000000422</v>
      </c>
      <c r="SO10">
        <f t="shared" si="7"/>
        <v>48.800000000000423</v>
      </c>
      <c r="SP10">
        <f t="shared" si="7"/>
        <v>48.900000000000425</v>
      </c>
      <c r="SQ10">
        <f t="shared" si="7"/>
        <v>49.000000000000426</v>
      </c>
      <c r="SR10">
        <f t="shared" si="7"/>
        <v>49.100000000000428</v>
      </c>
      <c r="SS10">
        <f t="shared" si="7"/>
        <v>49.200000000000429</v>
      </c>
      <c r="ST10">
        <f t="shared" si="7"/>
        <v>49.300000000000431</v>
      </c>
      <c r="SU10">
        <f t="shared" si="7"/>
        <v>49.400000000000432</v>
      </c>
      <c r="SV10">
        <f t="shared" si="7"/>
        <v>49.500000000000433</v>
      </c>
      <c r="SW10">
        <f t="shared" si="7"/>
        <v>49.600000000000435</v>
      </c>
      <c r="SX10">
        <f t="shared" si="7"/>
        <v>49.700000000000436</v>
      </c>
      <c r="SY10">
        <f t="shared" si="7"/>
        <v>49.800000000000438</v>
      </c>
      <c r="SZ10">
        <f t="shared" si="7"/>
        <v>49.900000000000439</v>
      </c>
      <c r="TA10">
        <f t="shared" si="7"/>
        <v>50.000000000000441</v>
      </c>
    </row>
    <row r="11" spans="1:521" x14ac:dyDescent="0.3">
      <c r="A11" s="4" t="s">
        <v>268</v>
      </c>
      <c r="B11" s="17">
        <v>5</v>
      </c>
      <c r="C11" s="17">
        <v>1</v>
      </c>
      <c r="D11" s="49"/>
      <c r="E11" s="4" t="s">
        <v>292</v>
      </c>
      <c r="F11" s="17">
        <v>60</v>
      </c>
      <c r="G11" s="17">
        <v>1</v>
      </c>
      <c r="H11" s="49"/>
      <c r="I11" s="4" t="s">
        <v>312</v>
      </c>
      <c r="J11" s="17">
        <v>10</v>
      </c>
      <c r="K11" s="17">
        <v>1</v>
      </c>
      <c r="S11" t="s">
        <v>912</v>
      </c>
      <c r="T11">
        <f>SUM(V11:TA11)</f>
        <v>1312926.547806629</v>
      </c>
      <c r="U11" t="s">
        <v>21</v>
      </c>
      <c r="V11">
        <f>PI()*V10^2</f>
        <v>3.1415926535897934E-2</v>
      </c>
      <c r="W11">
        <f t="shared" ref="W11" si="8">PI()*W10^2</f>
        <v>0.12566370614359174</v>
      </c>
      <c r="X11">
        <f t="shared" ref="X11" si="9">PI()*X10^2</f>
        <v>0.28274333882308145</v>
      </c>
      <c r="Y11">
        <f t="shared" ref="Y11" si="10">PI()*Y10^2</f>
        <v>0.50265482457436694</v>
      </c>
      <c r="Z11">
        <f t="shared" ref="Z11" si="11">PI()*Z10^2</f>
        <v>0.78539816339744828</v>
      </c>
      <c r="AA11">
        <f t="shared" ref="AA11" si="12">PI()*AA10^2</f>
        <v>1.1309733552923256</v>
      </c>
      <c r="AB11">
        <f t="shared" ref="AB11" si="13">PI()*AB10^2</f>
        <v>1.5393804002589984</v>
      </c>
      <c r="AC11">
        <f t="shared" ref="AC11" si="14">PI()*AC10^2</f>
        <v>2.0106192982974673</v>
      </c>
      <c r="AD11">
        <f t="shared" ref="AD11" si="15">PI()*AD10^2</f>
        <v>2.5446900494077318</v>
      </c>
      <c r="AE11">
        <f t="shared" ref="AE11" si="16">PI()*AE10^2</f>
        <v>3.1415926535897922</v>
      </c>
      <c r="AF11">
        <f t="shared" ref="AF11" si="17">PI()*AF10^2</f>
        <v>3.801327110843649</v>
      </c>
      <c r="AG11">
        <f t="shared" ref="AG11" si="18">PI()*AG10^2</f>
        <v>4.5238934211693023</v>
      </c>
      <c r="AH11">
        <f t="shared" ref="AH11" si="19">PI()*AH10^2</f>
        <v>5.3092915845667505</v>
      </c>
      <c r="AI11">
        <f t="shared" ref="AI11" si="20">PI()*AI10^2</f>
        <v>6.1575216010359961</v>
      </c>
      <c r="AJ11">
        <f t="shared" ref="AJ11" si="21">PI()*AJ10^2</f>
        <v>7.0685834705770372</v>
      </c>
      <c r="AK11">
        <f t="shared" ref="AK11" si="22">PI()*AK10^2</f>
        <v>8.0424771931898729</v>
      </c>
      <c r="AL11">
        <f t="shared" ref="AL11" si="23">PI()*AL10^2</f>
        <v>9.0792027688745058</v>
      </c>
      <c r="AM11">
        <f t="shared" ref="AM11" si="24">PI()*AM10^2</f>
        <v>10.178760197630934</v>
      </c>
      <c r="AN11">
        <f t="shared" ref="AN11" si="25">PI()*AN10^2</f>
        <v>11.34114947945916</v>
      </c>
      <c r="AO11">
        <f t="shared" ref="AO11" si="26">PI()*AO10^2</f>
        <v>12.566370614359178</v>
      </c>
      <c r="AP11">
        <f t="shared" ref="AP11" si="27">PI()*AP10^2</f>
        <v>13.854423602330993</v>
      </c>
      <c r="AQ11">
        <f t="shared" ref="AQ11" si="28">PI()*AQ10^2</f>
        <v>15.205308443374607</v>
      </c>
      <c r="AR11">
        <f t="shared" ref="AR11" si="29">PI()*AR10^2</f>
        <v>16.619025137490016</v>
      </c>
      <c r="AS11">
        <f t="shared" ref="AS11" si="30">PI()*AS10^2</f>
        <v>18.095573684677223</v>
      </c>
      <c r="AT11">
        <f t="shared" ref="AT11" si="31">PI()*AT10^2</f>
        <v>19.634954084936222</v>
      </c>
      <c r="AU11">
        <f t="shared" ref="AU11" si="32">PI()*AU10^2</f>
        <v>21.237166338267016</v>
      </c>
      <c r="AV11">
        <f t="shared" ref="AV11" si="33">PI()*AV10^2</f>
        <v>22.90221044466961</v>
      </c>
      <c r="AW11">
        <f t="shared" ref="AW11" si="34">PI()*AW10^2</f>
        <v>24.630086404143999</v>
      </c>
      <c r="AX11">
        <f t="shared" ref="AX11" si="35">PI()*AX10^2</f>
        <v>26.420794216690183</v>
      </c>
      <c r="AY11">
        <f t="shared" ref="AY11" si="36">PI()*AY10^2</f>
        <v>28.274333882308159</v>
      </c>
      <c r="AZ11">
        <f t="shared" ref="AZ11" si="37">PI()*AZ10^2</f>
        <v>30.190705400997938</v>
      </c>
      <c r="BA11">
        <f t="shared" ref="BA11" si="38">PI()*BA10^2</f>
        <v>32.169908772759513</v>
      </c>
      <c r="BB11">
        <f t="shared" ref="BB11" si="39">PI()*BB10^2</f>
        <v>34.211943997592883</v>
      </c>
      <c r="BC11">
        <f t="shared" ref="BC11" si="40">PI()*BC10^2</f>
        <v>36.316811075498045</v>
      </c>
      <c r="BD11">
        <f t="shared" ref="BD11" si="41">PI()*BD10^2</f>
        <v>38.484510006475006</v>
      </c>
      <c r="BE11">
        <f t="shared" ref="BE11" si="42">PI()*BE10^2</f>
        <v>40.715040790523759</v>
      </c>
      <c r="BF11">
        <f t="shared" ref="BF11" si="43">PI()*BF10^2</f>
        <v>43.008403427644311</v>
      </c>
      <c r="BG11">
        <f t="shared" ref="BG11" si="44">PI()*BG10^2</f>
        <v>45.364597917836662</v>
      </c>
      <c r="BH11">
        <f t="shared" ref="BH11" si="45">PI()*BH10^2</f>
        <v>47.783624261100805</v>
      </c>
      <c r="BI11">
        <f t="shared" ref="BI11" si="46">PI()*BI10^2</f>
        <v>50.265482457436732</v>
      </c>
      <c r="BJ11">
        <f t="shared" ref="BJ11" si="47">PI()*BJ10^2</f>
        <v>52.810172506844459</v>
      </c>
      <c r="BK11">
        <f t="shared" ref="BK11" si="48">PI()*BK10^2</f>
        <v>55.417694409323971</v>
      </c>
      <c r="BL11">
        <f t="shared" ref="BL11" si="49">PI()*BL10^2</f>
        <v>58.088048164875289</v>
      </c>
      <c r="BM11">
        <f t="shared" ref="BM11" si="50">PI()*BM10^2</f>
        <v>60.821233773498406</v>
      </c>
      <c r="BN11">
        <f t="shared" ref="BN11" si="51">PI()*BN10^2</f>
        <v>63.617251235193308</v>
      </c>
      <c r="BO11">
        <f t="shared" ref="BO11" si="52">PI()*BO10^2</f>
        <v>66.476100549960009</v>
      </c>
      <c r="BP11">
        <f t="shared" ref="BP11" si="53">PI()*BP10^2</f>
        <v>69.397781717798509</v>
      </c>
      <c r="BQ11">
        <f t="shared" ref="BQ11" si="54">PI()*BQ10^2</f>
        <v>72.382294738708794</v>
      </c>
      <c r="BR11">
        <f t="shared" ref="BR11" si="55">PI()*BR10^2</f>
        <v>75.429639612690892</v>
      </c>
      <c r="BS11">
        <f t="shared" ref="BS11" si="56">PI()*BS10^2</f>
        <v>78.539816339744775</v>
      </c>
      <c r="BT11">
        <f t="shared" ref="BT11" si="57">PI()*BT10^2</f>
        <v>81.712824919870442</v>
      </c>
      <c r="BU11">
        <f t="shared" ref="BU11" si="58">PI()*BU10^2</f>
        <v>84.948665353067923</v>
      </c>
      <c r="BV11">
        <f t="shared" ref="BV11" si="59">PI()*BV10^2</f>
        <v>88.247337639337204</v>
      </c>
      <c r="BW11">
        <f t="shared" ref="BW11" si="60">PI()*BW10^2</f>
        <v>91.608841778678254</v>
      </c>
      <c r="BX11">
        <f t="shared" ref="BX11" si="61">PI()*BX10^2</f>
        <v>95.033177771091118</v>
      </c>
      <c r="BY11">
        <f t="shared" ref="BY11" si="62">PI()*BY10^2</f>
        <v>98.520345616575781</v>
      </c>
      <c r="BZ11">
        <f t="shared" ref="BZ11" si="63">PI()*BZ10^2</f>
        <v>102.07034531513223</v>
      </c>
      <c r="CA11">
        <f t="shared" ref="CA11" si="64">PI()*CA10^2</f>
        <v>105.68317686676046</v>
      </c>
      <c r="CB11">
        <f t="shared" ref="CB11" si="65">PI()*CB10^2</f>
        <v>109.35884027146051</v>
      </c>
      <c r="CC11">
        <f t="shared" ref="CC11" si="66">PI()*CC10^2</f>
        <v>113.09733552923235</v>
      </c>
      <c r="CD11">
        <f t="shared" ref="CD11" si="67">PI()*CD10^2</f>
        <v>116.89866264007598</v>
      </c>
      <c r="CE11">
        <f t="shared" ref="CE11" si="68">PI()*CE10^2</f>
        <v>120.76282160399141</v>
      </c>
      <c r="CF11">
        <f t="shared" ref="CF11" si="69">PI()*CF10^2</f>
        <v>124.68981242097864</v>
      </c>
      <c r="CG11">
        <f t="shared" ref="CG11" si="70">PI()*CG10^2</f>
        <v>128.67963509103765</v>
      </c>
      <c r="CH11">
        <f t="shared" ref="CH11" si="71">PI()*CH10^2</f>
        <v>132.73228961416848</v>
      </c>
      <c r="CI11">
        <f t="shared" ref="CI11" si="72">PI()*CI10^2</f>
        <v>136.84777599037108</v>
      </c>
      <c r="CJ11">
        <f t="shared" ref="CJ11" si="73">PI()*CJ10^2</f>
        <v>141.02609421964547</v>
      </c>
      <c r="CK11">
        <f t="shared" ref="CK11" si="74">PI()*CK10^2</f>
        <v>145.2672443019917</v>
      </c>
      <c r="CL11">
        <f t="shared" ref="CL11" si="75">PI()*CL10^2</f>
        <v>149.57122623740969</v>
      </c>
      <c r="CM11">
        <f t="shared" ref="CM11" si="76">PI()*CM10^2</f>
        <v>153.93804002589945</v>
      </c>
      <c r="CN11">
        <f t="shared" ref="CN11" si="77">PI()*CN10^2</f>
        <v>158.36768566746105</v>
      </c>
      <c r="CO11">
        <f t="shared" ref="CO11" si="78">PI()*CO10^2</f>
        <v>162.86016316209444</v>
      </c>
      <c r="CP11">
        <f t="shared" ref="CP11" si="79">PI()*CP10^2</f>
        <v>167.41547250979963</v>
      </c>
      <c r="CQ11">
        <f t="shared" ref="CQ11" si="80">PI()*CQ10^2</f>
        <v>172.03361371057659</v>
      </c>
      <c r="CR11">
        <f t="shared" ref="CR11" si="81">PI()*CR10^2</f>
        <v>176.71458676442538</v>
      </c>
      <c r="CS11">
        <f t="shared" ref="CS11" si="82">PI()*CS10^2</f>
        <v>181.45839167134594</v>
      </c>
      <c r="CT11">
        <f t="shared" ref="CT11" si="83">PI()*CT10^2</f>
        <v>186.26502843133827</v>
      </c>
      <c r="CU11">
        <f t="shared" ref="CU11" si="84">PI()*CU10^2</f>
        <v>191.13449704440245</v>
      </c>
      <c r="CV11">
        <f t="shared" ref="CV11" si="85">PI()*CV10^2</f>
        <v>196.06679751053841</v>
      </c>
      <c r="CW11">
        <f t="shared" ref="CW11" si="86">PI()*CW10^2</f>
        <v>201.06192982974613</v>
      </c>
      <c r="CX11">
        <f t="shared" ref="CX11" si="87">PI()*CX10^2</f>
        <v>206.11989400202566</v>
      </c>
      <c r="CY11">
        <f t="shared" ref="CY11" si="88">PI()*CY10^2</f>
        <v>211.24069002737701</v>
      </c>
      <c r="CZ11">
        <f t="shared" ref="CZ11" si="89">PI()*CZ10^2</f>
        <v>216.42431790580014</v>
      </c>
      <c r="DA11">
        <f t="shared" ref="DA11" si="90">PI()*DA10^2</f>
        <v>221.67077763729506</v>
      </c>
      <c r="DB11">
        <f t="shared" ref="DB11" si="91">PI()*DB10^2</f>
        <v>226.98006922186178</v>
      </c>
      <c r="DC11">
        <f t="shared" ref="DC11" si="92">PI()*DC10^2</f>
        <v>232.35219265950033</v>
      </c>
      <c r="DD11">
        <f t="shared" ref="DD11" si="93">PI()*DD10^2</f>
        <v>237.78714795021062</v>
      </c>
      <c r="DE11">
        <f t="shared" ref="DE11" si="94">PI()*DE10^2</f>
        <v>243.28493509399271</v>
      </c>
      <c r="DF11">
        <f t="shared" ref="DF11" si="95">PI()*DF10^2</f>
        <v>248.84555409084663</v>
      </c>
      <c r="DG11">
        <f t="shared" ref="DG11" si="96">PI()*DG10^2</f>
        <v>254.46900494077235</v>
      </c>
      <c r="DH11">
        <f t="shared" ref="DH11" si="97">PI()*DH10^2</f>
        <v>260.15528764376984</v>
      </c>
      <c r="DI11">
        <f t="shared" ref="DI11" si="98">PI()*DI10^2</f>
        <v>265.90440219983913</v>
      </c>
      <c r="DJ11">
        <f t="shared" ref="DJ11" si="99">PI()*DJ10^2</f>
        <v>271.71634860898018</v>
      </c>
      <c r="DK11">
        <f t="shared" ref="DK11" si="100">PI()*DK10^2</f>
        <v>277.59112687119307</v>
      </c>
      <c r="DL11">
        <f t="shared" ref="DL11" si="101">PI()*DL10^2</f>
        <v>283.52873698647778</v>
      </c>
      <c r="DM11">
        <f t="shared" ref="DM11" si="102">PI()*DM10^2</f>
        <v>289.52917895483426</v>
      </c>
      <c r="DN11">
        <f t="shared" ref="DN11" si="103">PI()*DN10^2</f>
        <v>295.59245277626252</v>
      </c>
      <c r="DO11">
        <f t="shared" ref="DO11" si="104">PI()*DO10^2</f>
        <v>301.7185584507626</v>
      </c>
      <c r="DP11">
        <f t="shared" ref="DP11" si="105">PI()*DP10^2</f>
        <v>307.90749597833445</v>
      </c>
      <c r="DQ11">
        <f t="shared" ref="DQ11" si="106">PI()*DQ10^2</f>
        <v>314.15926535897808</v>
      </c>
      <c r="DR11">
        <f t="shared" ref="DR11" si="107">PI()*DR10^2</f>
        <v>320.47386659269353</v>
      </c>
      <c r="DS11">
        <f t="shared" ref="DS11" si="108">PI()*DS10^2</f>
        <v>326.85129967948075</v>
      </c>
      <c r="DT11">
        <f t="shared" ref="DT11" si="109">PI()*DT10^2</f>
        <v>333.29156461933979</v>
      </c>
      <c r="DU11">
        <f t="shared" ref="DU11" si="110">PI()*DU10^2</f>
        <v>339.79466141227067</v>
      </c>
      <c r="DV11">
        <f t="shared" ref="DV11" si="111">PI()*DV10^2</f>
        <v>346.36059005827326</v>
      </c>
      <c r="DW11">
        <f t="shared" ref="DW11" si="112">PI()*DW10^2</f>
        <v>352.98935055734773</v>
      </c>
      <c r="DX11">
        <f t="shared" ref="DX11" si="113">PI()*DX10^2</f>
        <v>359.68094290949392</v>
      </c>
      <c r="DY11">
        <f t="shared" ref="DY11" si="114">PI()*DY10^2</f>
        <v>366.43536711471194</v>
      </c>
      <c r="DZ11">
        <f t="shared" ref="DZ11" si="115">PI()*DZ10^2</f>
        <v>373.25262317300178</v>
      </c>
      <c r="EA11">
        <f t="shared" ref="EA11" si="116">PI()*EA10^2</f>
        <v>380.13271108436334</v>
      </c>
      <c r="EB11">
        <f t="shared" ref="EB11" si="117">PI()*EB10^2</f>
        <v>387.07563084879678</v>
      </c>
      <c r="EC11">
        <f t="shared" ref="EC11" si="118">PI()*EC10^2</f>
        <v>394.08138246630199</v>
      </c>
      <c r="ED11">
        <f t="shared" ref="ED11" si="119">PI()*ED10^2</f>
        <v>401.14996593687897</v>
      </c>
      <c r="EE11">
        <f t="shared" ref="EE11" si="120">PI()*EE10^2</f>
        <v>408.28138126052778</v>
      </c>
      <c r="EF11">
        <f t="shared" ref="EF11" si="121">PI()*EF10^2</f>
        <v>415.47562843724836</v>
      </c>
      <c r="EG11">
        <f t="shared" ref="EG11" si="122">PI()*EG10^2</f>
        <v>422.73270746704071</v>
      </c>
      <c r="EH11">
        <f t="shared" ref="EH11" si="123">PI()*EH10^2</f>
        <v>430.05261834990489</v>
      </c>
      <c r="EI11">
        <f t="shared" ref="EI11" si="124">PI()*EI10^2</f>
        <v>437.43536108584084</v>
      </c>
      <c r="EJ11">
        <f t="shared" ref="EJ11" si="125">PI()*EJ10^2</f>
        <v>444.88093567484867</v>
      </c>
      <c r="EK11">
        <f t="shared" ref="EK11" si="126">PI()*EK10^2</f>
        <v>452.38934211692822</v>
      </c>
      <c r="EL11">
        <f t="shared" ref="EL11" si="127">PI()*EL10^2</f>
        <v>459.96058041207954</v>
      </c>
      <c r="EM11">
        <f t="shared" ref="EM11" si="128">PI()*EM10^2</f>
        <v>467.59465056030268</v>
      </c>
      <c r="EN11">
        <f t="shared" ref="EN11" si="129">PI()*EN10^2</f>
        <v>475.29155256159765</v>
      </c>
      <c r="EO11">
        <f t="shared" ref="EO11" si="130">PI()*EO10^2</f>
        <v>483.0512864159644</v>
      </c>
      <c r="EP11">
        <f t="shared" ref="EP11" si="131">PI()*EP10^2</f>
        <v>490.87385212340297</v>
      </c>
      <c r="EQ11">
        <f t="shared" ref="EQ11" si="132">PI()*EQ10^2</f>
        <v>498.75924968391331</v>
      </c>
      <c r="ER11">
        <f t="shared" ref="ER11" si="133">PI()*ER10^2</f>
        <v>506.70747909749537</v>
      </c>
      <c r="ES11">
        <f t="shared" ref="ES11" si="134">PI()*ES10^2</f>
        <v>514.71854036414925</v>
      </c>
      <c r="ET11">
        <f t="shared" ref="ET11" si="135">PI()*ET10^2</f>
        <v>522.79243348387502</v>
      </c>
      <c r="EU11">
        <f t="shared" ref="EU11" si="136">PI()*EU10^2</f>
        <v>530.92915845667255</v>
      </c>
      <c r="EV11">
        <f t="shared" ref="EV11" si="137">PI()*EV10^2</f>
        <v>539.12871528254186</v>
      </c>
      <c r="EW11">
        <f t="shared" ref="EW11" si="138">PI()*EW10^2</f>
        <v>547.39110396148294</v>
      </c>
      <c r="EX11">
        <f t="shared" ref="EX11" si="139">PI()*EX10^2</f>
        <v>555.7163244934959</v>
      </c>
      <c r="EY11">
        <f t="shared" ref="EY11" si="140">PI()*EY10^2</f>
        <v>564.10437687858052</v>
      </c>
      <c r="EZ11">
        <f t="shared" ref="EZ11" si="141">PI()*EZ10^2</f>
        <v>572.55526111673714</v>
      </c>
      <c r="FA11">
        <f t="shared" ref="FA11" si="142">PI()*FA10^2</f>
        <v>581.06897720796542</v>
      </c>
      <c r="FB11">
        <f t="shared" ref="FB11" si="143">PI()*FB10^2</f>
        <v>589.64552515226546</v>
      </c>
      <c r="FC11">
        <f t="shared" ref="FC11" si="144">PI()*FC10^2</f>
        <v>598.28490494963728</v>
      </c>
      <c r="FD11">
        <f t="shared" ref="FD11" si="145">PI()*FD10^2</f>
        <v>606.98711660008098</v>
      </c>
      <c r="FE11">
        <f t="shared" ref="FE11" si="146">PI()*FE10^2</f>
        <v>615.75216010359645</v>
      </c>
      <c r="FF11">
        <f t="shared" ref="FF11" si="147">PI()*FF10^2</f>
        <v>624.58003546018369</v>
      </c>
      <c r="FG11">
        <f t="shared" ref="FG11" si="148">PI()*FG10^2</f>
        <v>633.47074266984282</v>
      </c>
      <c r="FH11">
        <f t="shared" ref="FH11" si="149">PI()*FH10^2</f>
        <v>642.42428173257372</v>
      </c>
      <c r="FI11">
        <f t="shared" ref="FI11" si="150">PI()*FI10^2</f>
        <v>651.44065264837639</v>
      </c>
      <c r="FJ11">
        <f t="shared" ref="FJ11" si="151">PI()*FJ10^2</f>
        <v>660.51985541725082</v>
      </c>
      <c r="FK11">
        <f t="shared" ref="FK11" si="152">PI()*FK10^2</f>
        <v>669.66189003919703</v>
      </c>
      <c r="FL11">
        <f t="shared" ref="FL11" si="153">PI()*FL10^2</f>
        <v>678.86675651421501</v>
      </c>
      <c r="FM11">
        <f t="shared" ref="FM11" si="154">PI()*FM10^2</f>
        <v>688.13445484230488</v>
      </c>
      <c r="FN11">
        <f t="shared" ref="FN11" si="155">PI()*FN10^2</f>
        <v>697.46498502346651</v>
      </c>
      <c r="FO11">
        <f t="shared" ref="FO11" si="156">PI()*FO10^2</f>
        <v>706.85834705769992</v>
      </c>
      <c r="FP11">
        <f t="shared" ref="FP11" si="157">PI()*FP10^2</f>
        <v>716.31454094500509</v>
      </c>
      <c r="FQ11">
        <f t="shared" ref="FQ11" si="158">PI()*FQ10^2</f>
        <v>725.83356668538215</v>
      </c>
      <c r="FR11">
        <f t="shared" ref="FR11" si="159">PI()*FR10^2</f>
        <v>735.41542427883098</v>
      </c>
      <c r="FS11">
        <f t="shared" ref="FS11" si="160">PI()*FS10^2</f>
        <v>745.06011372535158</v>
      </c>
      <c r="FT11">
        <f t="shared" ref="FT11" si="161">PI()*FT10^2</f>
        <v>754.76763502494396</v>
      </c>
      <c r="FU11">
        <f t="shared" ref="FU11" si="162">PI()*FU10^2</f>
        <v>764.53798817760821</v>
      </c>
      <c r="FV11">
        <f t="shared" ref="FV11" si="163">PI()*FV10^2</f>
        <v>774.37117318334424</v>
      </c>
      <c r="FW11">
        <f t="shared" ref="FW11" si="164">PI()*FW10^2</f>
        <v>784.26719004215204</v>
      </c>
      <c r="FX11">
        <f t="shared" ref="FX11" si="165">PI()*FX10^2</f>
        <v>794.22603875403161</v>
      </c>
      <c r="FY11">
        <f t="shared" ref="FY11" si="166">PI()*FY10^2</f>
        <v>804.24771931898294</v>
      </c>
      <c r="FZ11">
        <f t="shared" ref="FZ11" si="167">PI()*FZ10^2</f>
        <v>814.33223173700605</v>
      </c>
      <c r="GA11">
        <f t="shared" ref="GA11" si="168">PI()*GA10^2</f>
        <v>824.47957600810116</v>
      </c>
      <c r="GB11">
        <f t="shared" ref="GB11" si="169">PI()*GB10^2</f>
        <v>834.68975213226815</v>
      </c>
      <c r="GC11">
        <f t="shared" ref="GC11" si="170">PI()*GC10^2</f>
        <v>844.96276010950692</v>
      </c>
      <c r="GD11">
        <f t="shared" ref="GD11" si="171">PI()*GD10^2</f>
        <v>855.29859993981745</v>
      </c>
      <c r="GE11">
        <f t="shared" ref="GE11" si="172">PI()*GE10^2</f>
        <v>865.69727162319987</v>
      </c>
      <c r="GF11">
        <f t="shared" ref="GF11" si="173">PI()*GF10^2</f>
        <v>876.15877515965394</v>
      </c>
      <c r="GG11">
        <f t="shared" ref="GG11" si="174">PI()*GG10^2</f>
        <v>886.6831105491799</v>
      </c>
      <c r="GH11">
        <f t="shared" ref="GH11" si="175">PI()*GH10^2</f>
        <v>897.27027779177763</v>
      </c>
      <c r="GI11">
        <f t="shared" ref="GI11" si="176">PI()*GI10^2</f>
        <v>907.92027688744713</v>
      </c>
      <c r="GJ11">
        <f t="shared" ref="GJ11" si="177">PI()*GJ10^2</f>
        <v>918.6331078361884</v>
      </c>
      <c r="GK11">
        <f t="shared" ref="GK11" si="178">PI()*GK10^2</f>
        <v>929.40877063800167</v>
      </c>
      <c r="GL11">
        <f t="shared" ref="GL11" si="179">PI()*GL10^2</f>
        <v>940.2472652928866</v>
      </c>
      <c r="GM11">
        <f t="shared" ref="GM11" si="180">PI()*GM10^2</f>
        <v>951.14859180084329</v>
      </c>
      <c r="GN11">
        <f t="shared" ref="GN11" si="181">PI()*GN10^2</f>
        <v>962.11275016187187</v>
      </c>
      <c r="GO11">
        <f t="shared" ref="GO11" si="182">PI()*GO10^2</f>
        <v>973.13974037597211</v>
      </c>
      <c r="GP11">
        <f t="shared" ref="GP11" si="183">PI()*GP10^2</f>
        <v>984.22956244314423</v>
      </c>
      <c r="GQ11">
        <f t="shared" ref="GQ11" si="184">PI()*GQ10^2</f>
        <v>995.38221636338824</v>
      </c>
      <c r="GR11">
        <f t="shared" ref="GR11" si="185">PI()*GR10^2</f>
        <v>1006.5977021367039</v>
      </c>
      <c r="GS11">
        <f t="shared" ref="GS11" si="186">PI()*GS10^2</f>
        <v>1017.8760197630913</v>
      </c>
      <c r="GT11">
        <f t="shared" ref="GT11" si="187">PI()*GT10^2</f>
        <v>1029.2171692425507</v>
      </c>
      <c r="GU11">
        <f t="shared" ref="GU11" si="188">PI()*GU10^2</f>
        <v>1040.6211505750819</v>
      </c>
      <c r="GV11">
        <f t="shared" ref="GV11" si="189">PI()*GV10^2</f>
        <v>1052.0879637606847</v>
      </c>
      <c r="GW11">
        <f t="shared" ref="GW11" si="190">PI()*GW10^2</f>
        <v>1063.6176087993592</v>
      </c>
      <c r="GX11">
        <f t="shared" ref="GX11" si="191">PI()*GX10^2</f>
        <v>1075.2100856911059</v>
      </c>
      <c r="GY11">
        <f t="shared" ref="GY11" si="192">PI()*GY10^2</f>
        <v>1086.8653944359241</v>
      </c>
      <c r="GZ11">
        <f t="shared" ref="GZ11" si="193">PI()*GZ10^2</f>
        <v>1098.5835350338143</v>
      </c>
      <c r="HA11">
        <f t="shared" ref="HA11" si="194">PI()*HA10^2</f>
        <v>1110.3645074847761</v>
      </c>
      <c r="HB11">
        <f t="shared" ref="HB11" si="195">PI()*HB10^2</f>
        <v>1122.2083117888099</v>
      </c>
      <c r="HC11">
        <f t="shared" ref="HC11" si="196">PI()*HC10^2</f>
        <v>1134.1149479459152</v>
      </c>
      <c r="HD11">
        <f t="shared" ref="HD11" si="197">PI()*HD10^2</f>
        <v>1146.0844159560927</v>
      </c>
      <c r="HE11">
        <f t="shared" ref="HE11" si="198">PI()*HE10^2</f>
        <v>1158.1167158193416</v>
      </c>
      <c r="HF11">
        <f t="shared" ref="HF11" si="199">PI()*HF10^2</f>
        <v>1170.2118475356626</v>
      </c>
      <c r="HG11">
        <f t="shared" ref="HG11" si="200">PI()*HG10^2</f>
        <v>1182.3698111050553</v>
      </c>
      <c r="HH11">
        <f t="shared" ref="HH11" si="201">PI()*HH10^2</f>
        <v>1194.5906065275196</v>
      </c>
      <c r="HI11">
        <f t="shared" ref="HI11" si="202">PI()*HI10^2</f>
        <v>1206.8742338030559</v>
      </c>
      <c r="HJ11">
        <f t="shared" ref="HJ11" si="203">PI()*HJ10^2</f>
        <v>1219.220692931664</v>
      </c>
      <c r="HK11">
        <f t="shared" ref="HK11" si="204">PI()*HK10^2</f>
        <v>1231.6299839133439</v>
      </c>
      <c r="HL11">
        <f t="shared" ref="HL11" si="205">PI()*HL10^2</f>
        <v>1244.1021067480956</v>
      </c>
      <c r="HM11">
        <f t="shared" ref="HM11" si="206">PI()*HM10^2</f>
        <v>1256.6370614359191</v>
      </c>
      <c r="HN11">
        <f t="shared" ref="HN11" si="207">PI()*HN10^2</f>
        <v>1269.2348479768143</v>
      </c>
      <c r="HO11">
        <f t="shared" ref="HO11" si="208">PI()*HO10^2</f>
        <v>1281.8954663707814</v>
      </c>
      <c r="HP11">
        <f t="shared" ref="HP11" si="209">PI()*HP10^2</f>
        <v>1294.6189166178203</v>
      </c>
      <c r="HQ11">
        <f t="shared" ref="HQ11" si="210">PI()*HQ10^2</f>
        <v>1307.4051987179309</v>
      </c>
      <c r="HR11">
        <f t="shared" ref="HR11" si="211">PI()*HR10^2</f>
        <v>1320.2543126711132</v>
      </c>
      <c r="HS11">
        <f t="shared" ref="HS11" si="212">PI()*HS10^2</f>
        <v>1333.1662584773676</v>
      </c>
      <c r="HT11">
        <f t="shared" ref="HT11" si="213">PI()*HT10^2</f>
        <v>1346.1410361366936</v>
      </c>
      <c r="HU11">
        <f t="shared" ref="HU11" si="214">PI()*HU10^2</f>
        <v>1359.1786456490915</v>
      </c>
      <c r="HV11">
        <f t="shared" ref="HV11" si="215">PI()*HV10^2</f>
        <v>1372.2790870145611</v>
      </c>
      <c r="HW11">
        <f t="shared" ref="HW11" si="216">PI()*HW10^2</f>
        <v>1385.4423602331026</v>
      </c>
      <c r="HX11">
        <f t="shared" ref="HX11" si="217">PI()*HX10^2</f>
        <v>1398.6684653047159</v>
      </c>
      <c r="HY11">
        <f t="shared" ref="HY11" si="218">PI()*HY10^2</f>
        <v>1411.9574022294007</v>
      </c>
      <c r="HZ11">
        <f t="shared" ref="HZ11" si="219">PI()*HZ10^2</f>
        <v>1425.3091710071576</v>
      </c>
      <c r="IA11">
        <f t="shared" ref="IA11" si="220">PI()*IA10^2</f>
        <v>1438.7237716379861</v>
      </c>
      <c r="IB11">
        <f t="shared" ref="IB11" si="221">PI()*IB10^2</f>
        <v>1452.2012041218866</v>
      </c>
      <c r="IC11">
        <f t="shared" ref="IC11" si="222">PI()*IC10^2</f>
        <v>1465.7414684588589</v>
      </c>
      <c r="ID11">
        <f t="shared" ref="ID11" si="223">PI()*ID10^2</f>
        <v>1479.3445646489031</v>
      </c>
      <c r="IE11">
        <f t="shared" ref="IE11" si="224">PI()*IE10^2</f>
        <v>1493.0104926920187</v>
      </c>
      <c r="IF11">
        <f t="shared" ref="IF11" si="225">PI()*IF10^2</f>
        <v>1506.7392525882065</v>
      </c>
      <c r="IG11">
        <f t="shared" ref="IG11" si="226">PI()*IG10^2</f>
        <v>1520.5308443374659</v>
      </c>
      <c r="IH11">
        <f t="shared" ref="IH11" si="227">PI()*IH10^2</f>
        <v>1534.3852679397969</v>
      </c>
      <c r="II11">
        <f t="shared" ref="II11" si="228">PI()*II10^2</f>
        <v>1548.3025233952001</v>
      </c>
      <c r="IJ11">
        <f t="shared" ref="IJ11" si="229">PI()*IJ10^2</f>
        <v>1562.2826107036747</v>
      </c>
      <c r="IK11">
        <f t="shared" ref="IK11" si="230">PI()*IK10^2</f>
        <v>1576.3255298652214</v>
      </c>
      <c r="IL11">
        <f t="shared" ref="IL11" si="231">PI()*IL10^2</f>
        <v>1590.4312808798397</v>
      </c>
      <c r="IM11">
        <f t="shared" ref="IM11" si="232">PI()*IM10^2</f>
        <v>1604.59986374753</v>
      </c>
      <c r="IN11">
        <f t="shared" ref="IN11" si="233">PI()*IN10^2</f>
        <v>1618.8312784682919</v>
      </c>
      <c r="IO11">
        <f t="shared" ref="IO11" si="234">PI()*IO10^2</f>
        <v>1633.1255250421257</v>
      </c>
      <c r="IP11">
        <f t="shared" ref="IP11" si="235">PI()*IP10^2</f>
        <v>1647.4826034690316</v>
      </c>
      <c r="IQ11">
        <f t="shared" ref="IQ11" si="236">PI()*IQ10^2</f>
        <v>1661.9025137490087</v>
      </c>
      <c r="IR11">
        <f t="shared" ref="IR11" si="237">PI()*IR10^2</f>
        <v>1676.3852558820581</v>
      </c>
      <c r="IS11">
        <f t="shared" ref="IS11" si="238">PI()*IS10^2</f>
        <v>1690.9308298681788</v>
      </c>
      <c r="IT11">
        <f t="shared" ref="IT11" si="239">PI()*IT10^2</f>
        <v>1705.5392357073717</v>
      </c>
      <c r="IU11">
        <f t="shared" ref="IU11" si="240">PI()*IU10^2</f>
        <v>1720.2104733996362</v>
      </c>
      <c r="IV11">
        <f t="shared" ref="IV11" si="241">PI()*IV10^2</f>
        <v>1734.9445429449725</v>
      </c>
      <c r="IW11">
        <f t="shared" ref="IW11" si="242">PI()*IW10^2</f>
        <v>1749.7414443433809</v>
      </c>
      <c r="IX11">
        <f t="shared" ref="IX11" si="243">PI()*IX10^2</f>
        <v>1764.6011775948607</v>
      </c>
      <c r="IY11">
        <f t="shared" ref="IY11" si="244">PI()*IY10^2</f>
        <v>1779.5237426994127</v>
      </c>
      <c r="IZ11">
        <f t="shared" ref="IZ11" si="245">PI()*IZ10^2</f>
        <v>1794.5091396570363</v>
      </c>
      <c r="JA11">
        <f t="shared" ref="JA11" si="246">PI()*JA10^2</f>
        <v>1809.5573684677315</v>
      </c>
      <c r="JB11">
        <f t="shared" ref="JB11" si="247">PI()*JB10^2</f>
        <v>1824.6684291314987</v>
      </c>
      <c r="JC11">
        <f t="shared" ref="JC11" si="248">PI()*JC10^2</f>
        <v>1839.8423216483379</v>
      </c>
      <c r="JD11">
        <f t="shared" ref="JD11" si="249">PI()*JD10^2</f>
        <v>1855.0790460182484</v>
      </c>
      <c r="JE11">
        <f t="shared" ref="JE11" si="250">PI()*JE10^2</f>
        <v>1870.378602241231</v>
      </c>
      <c r="JF11">
        <f t="shared" ref="JF11" si="251">PI()*JF10^2</f>
        <v>1885.7409903172854</v>
      </c>
      <c r="JG11">
        <f t="shared" ref="JG11" si="252">PI()*JG10^2</f>
        <v>1901.1662102464115</v>
      </c>
      <c r="JH11">
        <f t="shared" ref="JH11" si="253">PI()*JH10^2</f>
        <v>1916.6542620286095</v>
      </c>
      <c r="JI11">
        <f t="shared" ref="JI11" si="254">PI()*JI10^2</f>
        <v>1932.2051456638792</v>
      </c>
      <c r="JJ11">
        <f t="shared" ref="JJ11" si="255">PI()*JJ10^2</f>
        <v>1947.8188611522207</v>
      </c>
      <c r="JK11">
        <f t="shared" ref="JK11" si="256">PI()*JK10^2</f>
        <v>1963.4954084936342</v>
      </c>
      <c r="JL11">
        <f t="shared" ref="JL11" si="257">PI()*JL10^2</f>
        <v>1979.234787688119</v>
      </c>
      <c r="JM11">
        <f t="shared" ref="JM11" si="258">PI()*JM10^2</f>
        <v>1995.036998735676</v>
      </c>
      <c r="JN11">
        <f t="shared" ref="JN11" si="259">PI()*JN10^2</f>
        <v>2010.9020416363051</v>
      </c>
      <c r="JO11">
        <f t="shared" ref="JO11" si="260">PI()*JO10^2</f>
        <v>2026.8299163900056</v>
      </c>
      <c r="JP11">
        <f t="shared" ref="JP11" si="261">PI()*JP10^2</f>
        <v>2042.8206229967777</v>
      </c>
      <c r="JQ11">
        <f t="shared" ref="JQ11" si="262">PI()*JQ10^2</f>
        <v>2058.874161456622</v>
      </c>
      <c r="JR11">
        <f t="shared" ref="JR11" si="263">PI()*JR10^2</f>
        <v>2074.9905317695379</v>
      </c>
      <c r="JS11">
        <f t="shared" ref="JS11" si="264">PI()*JS10^2</f>
        <v>2091.1697339355255</v>
      </c>
      <c r="JT11">
        <f t="shared" ref="JT11" si="265">PI()*JT10^2</f>
        <v>2107.4117679545852</v>
      </c>
      <c r="JU11">
        <f t="shared" ref="JU11" si="266">PI()*JU10^2</f>
        <v>2123.7166338267166</v>
      </c>
      <c r="JV11">
        <f t="shared" ref="JV11" si="267">PI()*JV10^2</f>
        <v>2140.0843315519196</v>
      </c>
      <c r="JW11">
        <f t="shared" ref="JW11" si="268">PI()*JW10^2</f>
        <v>2156.5148611301947</v>
      </c>
      <c r="JX11">
        <f t="shared" ref="JX11" si="269">PI()*JX10^2</f>
        <v>2173.0082225615415</v>
      </c>
      <c r="JY11">
        <f t="shared" ref="JY11" si="270">PI()*JY10^2</f>
        <v>2189.56441584596</v>
      </c>
      <c r="JZ11">
        <f t="shared" ref="JZ11" si="271">PI()*JZ10^2</f>
        <v>2206.1834409834501</v>
      </c>
      <c r="KA11">
        <f t="shared" ref="KA11" si="272">PI()*KA10^2</f>
        <v>2222.8652979740123</v>
      </c>
      <c r="KB11">
        <f t="shared" ref="KB11" si="273">PI()*KB10^2</f>
        <v>2239.6099868176461</v>
      </c>
      <c r="KC11">
        <f t="shared" ref="KC11" si="274">PI()*KC10^2</f>
        <v>2256.4175075143517</v>
      </c>
      <c r="KD11">
        <f t="shared" ref="KD11" si="275">PI()*KD10^2</f>
        <v>2273.2878600641293</v>
      </c>
      <c r="KE11">
        <f t="shared" ref="KE11" si="276">PI()*KE10^2</f>
        <v>2290.2210444669786</v>
      </c>
      <c r="KF11">
        <f t="shared" ref="KF11" si="277">PI()*KF10^2</f>
        <v>2307.2170607228995</v>
      </c>
      <c r="KG11">
        <f t="shared" ref="KG11" si="278">PI()*KG10^2</f>
        <v>2324.2759088318921</v>
      </c>
      <c r="KH11">
        <f t="shared" ref="KH11" si="279">PI()*KH10^2</f>
        <v>2341.3975887939573</v>
      </c>
      <c r="KI11">
        <f t="shared" ref="KI11" si="280">PI()*KI10^2</f>
        <v>2358.5821006090937</v>
      </c>
      <c r="KJ11">
        <f t="shared" ref="KJ11" si="281">PI()*KJ10^2</f>
        <v>2375.8294442773017</v>
      </c>
      <c r="KK11">
        <f t="shared" ref="KK11" si="282">PI()*KK10^2</f>
        <v>2393.1396197985819</v>
      </c>
      <c r="KL11">
        <f t="shared" ref="KL11" si="283">PI()*KL10^2</f>
        <v>2410.5126271729341</v>
      </c>
      <c r="KM11">
        <f t="shared" ref="KM11" si="284">PI()*KM10^2</f>
        <v>2427.9484664003576</v>
      </c>
      <c r="KN11">
        <f t="shared" ref="KN11" si="285">PI()*KN10^2</f>
        <v>2445.4471374808527</v>
      </c>
      <c r="KO11">
        <f t="shared" ref="KO11" si="286">PI()*KO10^2</f>
        <v>2463.0086404144204</v>
      </c>
      <c r="KP11">
        <f t="shared" ref="KP11" si="287">PI()*KP10^2</f>
        <v>2480.6329752010593</v>
      </c>
      <c r="KQ11">
        <f t="shared" ref="KQ11" si="288">PI()*KQ10^2</f>
        <v>2498.3201418407702</v>
      </c>
      <c r="KR11">
        <f t="shared" ref="KR11" si="289">PI()*KR10^2</f>
        <v>2516.0701403335529</v>
      </c>
      <c r="KS11">
        <f t="shared" ref="KS11" si="290">PI()*KS10^2</f>
        <v>2533.8829706794072</v>
      </c>
      <c r="KT11">
        <f t="shared" ref="KT11" si="291">PI()*KT10^2</f>
        <v>2551.7586328783336</v>
      </c>
      <c r="KU11">
        <f t="shared" ref="KU11" si="292">PI()*KU10^2</f>
        <v>2569.6971269303317</v>
      </c>
      <c r="KV11">
        <f t="shared" ref="KV11" si="293">PI()*KV10^2</f>
        <v>2587.6984528354014</v>
      </c>
      <c r="KW11">
        <f t="shared" ref="KW11" si="294">PI()*KW10^2</f>
        <v>2605.7626105935433</v>
      </c>
      <c r="KX11">
        <f t="shared" ref="KX11" si="295">PI()*KX10^2</f>
        <v>2623.8896002047568</v>
      </c>
      <c r="KY11">
        <f t="shared" ref="KY11" si="296">PI()*KY10^2</f>
        <v>2642.0794216690419</v>
      </c>
      <c r="KZ11">
        <f t="shared" ref="KZ11" si="297">PI()*KZ10^2</f>
        <v>2660.3320749863988</v>
      </c>
      <c r="LA11">
        <f t="shared" ref="LA11" si="298">PI()*LA10^2</f>
        <v>2678.6475601568281</v>
      </c>
      <c r="LB11">
        <f t="shared" ref="LB11" si="299">PI()*LB10^2</f>
        <v>2697.0258771803283</v>
      </c>
      <c r="LC11">
        <f t="shared" ref="LC11" si="300">PI()*LC10^2</f>
        <v>2715.467026056901</v>
      </c>
      <c r="LD11">
        <f t="shared" ref="LD11" si="301">PI()*LD10^2</f>
        <v>2733.9710067865449</v>
      </c>
      <c r="LE11">
        <f t="shared" ref="LE11" si="302">PI()*LE10^2</f>
        <v>2752.5378193692613</v>
      </c>
      <c r="LF11">
        <f t="shared" ref="LF11" si="303">PI()*LF10^2</f>
        <v>2771.167463805049</v>
      </c>
      <c r="LG11">
        <f t="shared" ref="LG11" si="304">PI()*LG10^2</f>
        <v>2789.8599400939088</v>
      </c>
      <c r="LH11">
        <f t="shared" ref="LH11" si="305">PI()*LH10^2</f>
        <v>2808.6152482358402</v>
      </c>
      <c r="LI11">
        <f t="shared" ref="LI11" si="306">PI()*LI10^2</f>
        <v>2827.4333882308429</v>
      </c>
      <c r="LJ11">
        <f t="shared" ref="LJ11" si="307">PI()*LJ10^2</f>
        <v>2846.3143600789185</v>
      </c>
      <c r="LK11">
        <f t="shared" ref="LK11" si="308">PI()*LK10^2</f>
        <v>2865.2581637800649</v>
      </c>
      <c r="LL11">
        <f t="shared" ref="LL11" si="309">PI()*LL10^2</f>
        <v>2884.2647993342835</v>
      </c>
      <c r="LM11">
        <f t="shared" ref="LM11" si="310">PI()*LM10^2</f>
        <v>2903.3342667415741</v>
      </c>
      <c r="LN11">
        <f t="shared" ref="LN11" si="311">PI()*LN10^2</f>
        <v>2922.4665660019364</v>
      </c>
      <c r="LO11">
        <f t="shared" ref="LO11" si="312">PI()*LO10^2</f>
        <v>2941.6616971153703</v>
      </c>
      <c r="LP11">
        <f t="shared" ref="LP11" si="313">PI()*LP10^2</f>
        <v>2960.9196600818764</v>
      </c>
      <c r="LQ11">
        <f t="shared" ref="LQ11" si="314">PI()*LQ10^2</f>
        <v>2980.2404549014536</v>
      </c>
      <c r="LR11">
        <f t="shared" ref="LR11" si="315">PI()*LR10^2</f>
        <v>2999.624081574103</v>
      </c>
      <c r="LS11">
        <f t="shared" ref="LS11" si="316">PI()*LS10^2</f>
        <v>3019.0705400998245</v>
      </c>
      <c r="LT11">
        <f t="shared" ref="LT11" si="317">PI()*LT10^2</f>
        <v>3038.5798304786176</v>
      </c>
      <c r="LU11">
        <f t="shared" ref="LU11" si="318">PI()*LU10^2</f>
        <v>3058.1519527104824</v>
      </c>
      <c r="LV11">
        <f t="shared" ref="LV11" si="319">PI()*LV10^2</f>
        <v>3077.7869067954189</v>
      </c>
      <c r="LW11">
        <f t="shared" ref="LW11" si="320">PI()*LW10^2</f>
        <v>3097.484692733427</v>
      </c>
      <c r="LX11">
        <f t="shared" ref="LX11" si="321">PI()*LX10^2</f>
        <v>3117.2453105245072</v>
      </c>
      <c r="LY11">
        <f t="shared" ref="LY11" si="322">PI()*LY10^2</f>
        <v>3137.0687601686595</v>
      </c>
      <c r="LZ11">
        <f t="shared" ref="LZ11" si="323">PI()*LZ10^2</f>
        <v>3156.9550416658831</v>
      </c>
      <c r="MA11">
        <f t="shared" ref="MA11" si="324">PI()*MA10^2</f>
        <v>3176.9041550161787</v>
      </c>
      <c r="MB11">
        <f t="shared" ref="MB11" si="325">PI()*MB10^2</f>
        <v>3196.916100219546</v>
      </c>
      <c r="MC11">
        <f t="shared" ref="MC11" si="326">PI()*MC10^2</f>
        <v>3216.9908772759854</v>
      </c>
      <c r="MD11">
        <f t="shared" ref="MD11" si="327">PI()*MD10^2</f>
        <v>3237.1284861854961</v>
      </c>
      <c r="ME11">
        <f t="shared" ref="ME11" si="328">PI()*ME10^2</f>
        <v>3257.3289269480788</v>
      </c>
      <c r="MF11">
        <f t="shared" ref="MF11" si="329">PI()*MF10^2</f>
        <v>3277.5921995637336</v>
      </c>
      <c r="MG11">
        <f t="shared" ref="MG11" si="330">PI()*MG10^2</f>
        <v>3297.9183040324597</v>
      </c>
      <c r="MH11">
        <f t="shared" ref="MH11" si="331">PI()*MH10^2</f>
        <v>3318.3072403542583</v>
      </c>
      <c r="MI11">
        <f t="shared" ref="MI11" si="332">PI()*MI10^2</f>
        <v>3338.7590085291276</v>
      </c>
      <c r="MJ11">
        <f t="shared" ref="MJ11" si="333">PI()*MJ10^2</f>
        <v>3359.2736085570696</v>
      </c>
      <c r="MK11">
        <f t="shared" ref="MK11" si="334">PI()*MK10^2</f>
        <v>3379.8510404380836</v>
      </c>
      <c r="ML11">
        <f t="shared" ref="ML11" si="335">PI()*ML10^2</f>
        <v>3400.4913041721688</v>
      </c>
      <c r="MM11">
        <f t="shared" ref="MM11" si="336">PI()*MM10^2</f>
        <v>3421.1943997593262</v>
      </c>
      <c r="MN11">
        <f t="shared" ref="MN11" si="337">PI()*MN10^2</f>
        <v>3441.9603271995552</v>
      </c>
      <c r="MO11">
        <f t="shared" ref="MO11" si="338">PI()*MO10^2</f>
        <v>3462.7890864928559</v>
      </c>
      <c r="MP11">
        <f t="shared" ref="MP11" si="339">PI()*MP10^2</f>
        <v>3483.6806776392282</v>
      </c>
      <c r="MQ11">
        <f t="shared" ref="MQ11" si="340">PI()*MQ10^2</f>
        <v>3504.6351006386722</v>
      </c>
      <c r="MR11">
        <f t="shared" ref="MR11" si="341">PI()*MR10^2</f>
        <v>3525.6523554911887</v>
      </c>
      <c r="MS11">
        <f t="shared" ref="MS11" si="342">PI()*MS10^2</f>
        <v>3546.7324421967764</v>
      </c>
      <c r="MT11">
        <f t="shared" ref="MT11" si="343">PI()*MT10^2</f>
        <v>3567.8753607554368</v>
      </c>
      <c r="MU11">
        <f t="shared" ref="MU11" si="344">PI()*MU10^2</f>
        <v>3589.0811111671678</v>
      </c>
      <c r="MV11">
        <f t="shared" ref="MV11" si="345">PI()*MV10^2</f>
        <v>3610.3496934319714</v>
      </c>
      <c r="MW11">
        <f t="shared" ref="MW11" si="346">PI()*MW10^2</f>
        <v>3631.6811075498467</v>
      </c>
      <c r="MX11">
        <f t="shared" ref="MX11" si="347">PI()*MX10^2</f>
        <v>3653.0753535207937</v>
      </c>
      <c r="MY11">
        <f t="shared" ref="MY11" si="348">PI()*MY10^2</f>
        <v>3674.5324313448123</v>
      </c>
      <c r="MZ11">
        <f t="shared" ref="MZ11" si="349">PI()*MZ10^2</f>
        <v>3696.052341021903</v>
      </c>
      <c r="NA11">
        <f t="shared" ref="NA11" si="350">PI()*NA10^2</f>
        <v>3717.6350825520653</v>
      </c>
      <c r="NB11">
        <f t="shared" ref="NB11" si="351">PI()*NB10^2</f>
        <v>3739.2806559352989</v>
      </c>
      <c r="NC11">
        <f t="shared" ref="NC11" si="352">PI()*NC10^2</f>
        <v>3760.989061171605</v>
      </c>
      <c r="ND11">
        <f t="shared" ref="ND11" si="353">PI()*ND10^2</f>
        <v>3782.7602982609824</v>
      </c>
      <c r="NE11">
        <f t="shared" ref="NE11" si="354">PI()*NE10^2</f>
        <v>3804.5943672034323</v>
      </c>
      <c r="NF11">
        <f t="shared" ref="NF11" si="355">PI()*NF10^2</f>
        <v>3826.4912679989534</v>
      </c>
      <c r="NG11">
        <f t="shared" ref="NG11" si="356">PI()*NG10^2</f>
        <v>3848.4510006475466</v>
      </c>
      <c r="NH11">
        <f t="shared" ref="NH11" si="357">PI()*NH10^2</f>
        <v>3870.4735651492115</v>
      </c>
      <c r="NI11">
        <f t="shared" ref="NI11" si="358">PI()*NI10^2</f>
        <v>3892.558961503948</v>
      </c>
      <c r="NJ11">
        <f t="shared" ref="NJ11" si="359">PI()*NJ10^2</f>
        <v>3914.7071897117567</v>
      </c>
      <c r="NK11">
        <f t="shared" ref="NK11" si="360">PI()*NK10^2</f>
        <v>3936.918249772637</v>
      </c>
      <c r="NL11">
        <f t="shared" ref="NL11" si="361">PI()*NL10^2</f>
        <v>3959.1921416865889</v>
      </c>
      <c r="NM11">
        <f t="shared" ref="NM11" si="362">PI()*NM10^2</f>
        <v>3981.5288654536125</v>
      </c>
      <c r="NN11">
        <f t="shared" ref="NN11" si="363">PI()*NN10^2</f>
        <v>4003.9284210737083</v>
      </c>
      <c r="NO11">
        <f t="shared" ref="NO11" si="364">PI()*NO10^2</f>
        <v>4026.3908085468765</v>
      </c>
      <c r="NP11">
        <f t="shared" ref="NP11" si="365">PI()*NP10^2</f>
        <v>4048.9160278731156</v>
      </c>
      <c r="NQ11">
        <f t="shared" ref="NQ11" si="366">PI()*NQ10^2</f>
        <v>4071.5040790524263</v>
      </c>
      <c r="NR11">
        <f t="shared" ref="NR11" si="367">PI()*NR10^2</f>
        <v>4094.1549620848095</v>
      </c>
      <c r="NS11">
        <f t="shared" ref="NS11" si="368">PI()*NS10^2</f>
        <v>4116.8686769702645</v>
      </c>
      <c r="NT11">
        <f t="shared" ref="NT11" si="369">PI()*NT10^2</f>
        <v>4139.6452237087906</v>
      </c>
      <c r="NU11">
        <f t="shared" ref="NU11" si="370">PI()*NU10^2</f>
        <v>4162.4846023003893</v>
      </c>
      <c r="NV11">
        <f t="shared" ref="NV11" si="371">PI()*NV10^2</f>
        <v>4185.3868127450587</v>
      </c>
      <c r="NW11">
        <f t="shared" ref="NW11" si="372">PI()*NW10^2</f>
        <v>4208.3518550428007</v>
      </c>
      <c r="NX11">
        <f t="shared" ref="NX11" si="373">PI()*NX10^2</f>
        <v>4231.3797291936144</v>
      </c>
      <c r="NY11">
        <f t="shared" ref="NY11" si="374">PI()*NY10^2</f>
        <v>4254.4704351974997</v>
      </c>
      <c r="NZ11">
        <f t="shared" ref="NZ11" si="375">PI()*NZ10^2</f>
        <v>4277.6239730544576</v>
      </c>
      <c r="OA11">
        <f t="shared" ref="OA11" si="376">PI()*OA10^2</f>
        <v>4300.8403427644862</v>
      </c>
      <c r="OB11">
        <f t="shared" ref="OB11" si="377">PI()*OB10^2</f>
        <v>4324.1195443275874</v>
      </c>
      <c r="OC11">
        <f t="shared" ref="OC11" si="378">PI()*OC10^2</f>
        <v>4347.4615777437593</v>
      </c>
      <c r="OD11">
        <f t="shared" ref="OD11" si="379">PI()*OD10^2</f>
        <v>4370.8664430130038</v>
      </c>
      <c r="OE11">
        <f t="shared" ref="OE11" si="380">PI()*OE10^2</f>
        <v>4394.33414013532</v>
      </c>
      <c r="OF11">
        <f t="shared" ref="OF11" si="381">PI()*OF10^2</f>
        <v>4417.8646691107087</v>
      </c>
      <c r="OG11">
        <f t="shared" ref="OG11" si="382">PI()*OG10^2</f>
        <v>4441.4580299391682</v>
      </c>
      <c r="OH11">
        <f t="shared" ref="OH11" si="383">PI()*OH10^2</f>
        <v>4465.1142226206994</v>
      </c>
      <c r="OI11">
        <f t="shared" ref="OI11" si="384">PI()*OI10^2</f>
        <v>4488.8332471553031</v>
      </c>
      <c r="OJ11">
        <f t="shared" ref="OJ11" si="385">PI()*OJ10^2</f>
        <v>4512.6151035429784</v>
      </c>
      <c r="OK11">
        <f t="shared" ref="OK11" si="386">PI()*OK10^2</f>
        <v>4536.4597917837254</v>
      </c>
      <c r="OL11">
        <f t="shared" ref="OL11" si="387">PI()*OL10^2</f>
        <v>4560.3673118775441</v>
      </c>
      <c r="OM11">
        <f t="shared" ref="OM11" si="388">PI()*OM10^2</f>
        <v>4584.3376638244354</v>
      </c>
      <c r="ON11">
        <f t="shared" ref="ON11" si="389">PI()*ON10^2</f>
        <v>4608.3708476243974</v>
      </c>
      <c r="OO11">
        <f t="shared" ref="OO11" si="390">PI()*OO10^2</f>
        <v>4632.4668632774319</v>
      </c>
      <c r="OP11">
        <f t="shared" ref="OP11" si="391">PI()*OP10^2</f>
        <v>4656.6257107835381</v>
      </c>
      <c r="OQ11">
        <f t="shared" ref="OQ11" si="392">PI()*OQ10^2</f>
        <v>4680.8473901427151</v>
      </c>
      <c r="OR11">
        <f t="shared" ref="OR11" si="393">PI()*OR10^2</f>
        <v>4705.1319013549655</v>
      </c>
      <c r="OS11">
        <f t="shared" ref="OS11" si="394">PI()*OS10^2</f>
        <v>4729.4792444202867</v>
      </c>
      <c r="OT11">
        <f t="shared" ref="OT11" si="395">PI()*OT10^2</f>
        <v>4753.8894193386805</v>
      </c>
      <c r="OU11">
        <f t="shared" ref="OU11" si="396">PI()*OU10^2</f>
        <v>4778.362426110145</v>
      </c>
      <c r="OV11">
        <f t="shared" ref="OV11" si="397">PI()*OV10^2</f>
        <v>4802.8982647346811</v>
      </c>
      <c r="OW11">
        <f t="shared" ref="OW11" si="398">PI()*OW10^2</f>
        <v>4827.4969352122907</v>
      </c>
      <c r="OX11">
        <f t="shared" ref="OX11" si="399">PI()*OX10^2</f>
        <v>4852.1584375429711</v>
      </c>
      <c r="OY11">
        <f t="shared" ref="OY11" si="400">PI()*OY10^2</f>
        <v>4876.8827717267231</v>
      </c>
      <c r="OZ11">
        <f t="shared" ref="OZ11" si="401">PI()*OZ10^2</f>
        <v>4901.6699377635468</v>
      </c>
      <c r="PA11">
        <f t="shared" ref="PA11" si="402">PI()*PA10^2</f>
        <v>4926.5199356534431</v>
      </c>
      <c r="PB11">
        <f t="shared" ref="PB11" si="403">PI()*PB10^2</f>
        <v>4951.4327653964101</v>
      </c>
      <c r="PC11">
        <f t="shared" ref="PC11" si="404">PI()*PC10^2</f>
        <v>4976.4084269924497</v>
      </c>
      <c r="PD11">
        <f t="shared" ref="PD11" si="405">PI()*PD10^2</f>
        <v>5001.4469204415609</v>
      </c>
      <c r="PE11">
        <f t="shared" ref="PE11" si="406">PI()*PE10^2</f>
        <v>5026.5482457437438</v>
      </c>
      <c r="PF11">
        <f t="shared" ref="PF11" si="407">PI()*PF10^2</f>
        <v>5051.7124028989992</v>
      </c>
      <c r="PG11">
        <f t="shared" ref="PG11" si="408">PI()*PG10^2</f>
        <v>5076.9393919073254</v>
      </c>
      <c r="PH11">
        <f t="shared" ref="PH11" si="409">PI()*PH10^2</f>
        <v>5102.2292127687242</v>
      </c>
      <c r="PI11">
        <f t="shared" ref="PI11" si="410">PI()*PI10^2</f>
        <v>5127.5818654831937</v>
      </c>
      <c r="PJ11">
        <f t="shared" ref="PJ11" si="411">PI()*PJ10^2</f>
        <v>5152.9973500507358</v>
      </c>
      <c r="PK11">
        <f t="shared" ref="PK11" si="412">PI()*PK10^2</f>
        <v>5178.4756664713495</v>
      </c>
      <c r="PL11">
        <f t="shared" ref="PL11" si="413">PI()*PL10^2</f>
        <v>5204.0168147450349</v>
      </c>
      <c r="PM11">
        <f t="shared" ref="PM11" si="414">PI()*PM10^2</f>
        <v>5229.6207948717929</v>
      </c>
      <c r="PN11">
        <f t="shared" ref="PN11" si="415">PI()*PN10^2</f>
        <v>5255.2876068516216</v>
      </c>
      <c r="PO11">
        <f t="shared" ref="PO11" si="416">PI()*PO10^2</f>
        <v>5281.0172506845229</v>
      </c>
      <c r="PP11">
        <f t="shared" ref="PP11" si="417">PI()*PP10^2</f>
        <v>5306.8097263704949</v>
      </c>
      <c r="PQ11">
        <f t="shared" ref="PQ11" si="418">PI()*PQ10^2</f>
        <v>5332.6650339095404</v>
      </c>
      <c r="PR11">
        <f t="shared" ref="PR11" si="419">PI()*PR10^2</f>
        <v>5358.5831733016566</v>
      </c>
      <c r="PS11">
        <f t="shared" ref="PS11" si="420">PI()*PS10^2</f>
        <v>5384.5641445468445</v>
      </c>
      <c r="PT11">
        <f t="shared" ref="PT11" si="421">PI()*PT10^2</f>
        <v>5410.607947645105</v>
      </c>
      <c r="PU11">
        <f t="shared" ref="PU11" si="422">PI()*PU10^2</f>
        <v>5436.7145825964362</v>
      </c>
      <c r="PV11">
        <f t="shared" ref="PV11" si="423">PI()*PV10^2</f>
        <v>5462.88404940084</v>
      </c>
      <c r="PW11">
        <f t="shared" ref="PW11" si="424">PI()*PW10^2</f>
        <v>5489.1163480583155</v>
      </c>
      <c r="PX11">
        <f t="shared" ref="PX11" si="425">PI()*PX10^2</f>
        <v>5515.4114785688625</v>
      </c>
      <c r="PY11">
        <f t="shared" ref="PY11" si="426">PI()*PY10^2</f>
        <v>5541.7694409324813</v>
      </c>
      <c r="PZ11">
        <f t="shared" ref="PZ11" si="427">PI()*PZ10^2</f>
        <v>5568.1902351491717</v>
      </c>
      <c r="QA11">
        <f t="shared" ref="QA11" si="428">PI()*QA10^2</f>
        <v>5594.6738612189347</v>
      </c>
      <c r="QB11">
        <f t="shared" ref="QB11" si="429">PI()*QB10^2</f>
        <v>5621.2203191417684</v>
      </c>
      <c r="QC11">
        <f t="shared" ref="QC11" si="430">PI()*QC10^2</f>
        <v>5647.8296089176747</v>
      </c>
      <c r="QD11">
        <f t="shared" ref="QD11" si="431">PI()*QD10^2</f>
        <v>5674.5017305466527</v>
      </c>
      <c r="QE11">
        <f t="shared" ref="QE11" si="432">PI()*QE10^2</f>
        <v>5701.2366840287032</v>
      </c>
      <c r="QF11">
        <f t="shared" ref="QF11" si="433">PI()*QF10^2</f>
        <v>5728.0344693638244</v>
      </c>
      <c r="QG11">
        <f t="shared" ref="QG11" si="434">PI()*QG10^2</f>
        <v>5754.8950865520173</v>
      </c>
      <c r="QH11">
        <f t="shared" ref="QH11" si="435">PI()*QH10^2</f>
        <v>5781.8185355932828</v>
      </c>
      <c r="QI11">
        <f t="shared" ref="QI11" si="436">PI()*QI10^2</f>
        <v>5808.80481648762</v>
      </c>
      <c r="QJ11">
        <f t="shared" ref="QJ11" si="437">PI()*QJ10^2</f>
        <v>5835.8539292350279</v>
      </c>
      <c r="QK11">
        <f t="shared" ref="QK11" si="438">PI()*QK10^2</f>
        <v>5862.9658738355092</v>
      </c>
      <c r="QL11">
        <f t="shared" ref="QL11" si="439">PI()*QL10^2</f>
        <v>5890.1406502890613</v>
      </c>
      <c r="QM11">
        <f t="shared" ref="QM11" si="440">PI()*QM10^2</f>
        <v>5917.3782585956851</v>
      </c>
      <c r="QN11">
        <f t="shared" ref="QN11" si="441">PI()*QN10^2</f>
        <v>5944.6786987553814</v>
      </c>
      <c r="QO11">
        <f t="shared" ref="QO11" si="442">PI()*QO10^2</f>
        <v>5972.0419707681485</v>
      </c>
      <c r="QP11">
        <f t="shared" ref="QP11" si="443">PI()*QP10^2</f>
        <v>5999.4680746339882</v>
      </c>
      <c r="QQ11">
        <f t="shared" ref="QQ11" si="444">PI()*QQ10^2</f>
        <v>6026.9570103529004</v>
      </c>
      <c r="QR11">
        <f t="shared" ref="QR11" si="445">PI()*QR10^2</f>
        <v>6054.5087779248825</v>
      </c>
      <c r="QS11">
        <f t="shared" ref="QS11" si="446">PI()*QS10^2</f>
        <v>6082.123377349938</v>
      </c>
      <c r="QT11">
        <f t="shared" ref="QT11" si="447">PI()*QT10^2</f>
        <v>6109.8008086280643</v>
      </c>
      <c r="QU11">
        <f t="shared" ref="QU11" si="448">PI()*QU10^2</f>
        <v>6137.5410717592631</v>
      </c>
      <c r="QV11">
        <f t="shared" ref="QV11" si="449">PI()*QV10^2</f>
        <v>6165.3441667435327</v>
      </c>
      <c r="QW11">
        <f t="shared" ref="QW11" si="450">PI()*QW10^2</f>
        <v>6193.2100935808749</v>
      </c>
      <c r="QX11">
        <f t="shared" ref="QX11" si="451">PI()*QX10^2</f>
        <v>6221.1388522712896</v>
      </c>
      <c r="QY11">
        <f t="shared" ref="QY11" si="452">PI()*QY10^2</f>
        <v>6249.1304428147741</v>
      </c>
      <c r="QZ11">
        <f t="shared" ref="QZ11" si="453">PI()*QZ10^2</f>
        <v>6277.1848652113322</v>
      </c>
      <c r="RA11">
        <f t="shared" ref="RA11" si="454">PI()*RA10^2</f>
        <v>6305.3021194609619</v>
      </c>
      <c r="RB11">
        <f t="shared" ref="RB11" si="455">PI()*RB10^2</f>
        <v>6333.4822055636623</v>
      </c>
      <c r="RC11">
        <f t="shared" ref="RC11" si="456">PI()*RC10^2</f>
        <v>6361.7251235194353</v>
      </c>
      <c r="RD11">
        <f t="shared" ref="RD11" si="457">PI()*RD10^2</f>
        <v>6390.03087332828</v>
      </c>
      <c r="RE11">
        <f t="shared" ref="RE11" si="458">PI()*RE10^2</f>
        <v>6418.3994549901963</v>
      </c>
      <c r="RF11">
        <f t="shared" ref="RF11" si="459">PI()*RF10^2</f>
        <v>6446.8308685051843</v>
      </c>
      <c r="RG11">
        <f t="shared" ref="RG11" si="460">PI()*RG10^2</f>
        <v>6475.3251138732448</v>
      </c>
      <c r="RH11">
        <f t="shared" ref="RH11" si="461">PI()*RH10^2</f>
        <v>6503.8821910943761</v>
      </c>
      <c r="RI11">
        <f t="shared" ref="RI11" si="462">PI()*RI10^2</f>
        <v>6532.5021001685809</v>
      </c>
      <c r="RJ11">
        <f t="shared" ref="RJ11" si="463">PI()*RJ10^2</f>
        <v>6561.1848410958564</v>
      </c>
      <c r="RK11">
        <f t="shared" ref="RK11" si="464">PI()*RK10^2</f>
        <v>6589.9304138762036</v>
      </c>
      <c r="RL11">
        <f t="shared" ref="RL11" si="465">PI()*RL10^2</f>
        <v>6618.7388185096215</v>
      </c>
      <c r="RM11">
        <f t="shared" ref="RM11" si="466">PI()*RM10^2</f>
        <v>6647.6100549961138</v>
      </c>
      <c r="RN11">
        <f t="shared" ref="RN11" si="467">PI()*RN10^2</f>
        <v>6676.544123335676</v>
      </c>
      <c r="RO11">
        <f t="shared" ref="RO11" si="468">PI()*RO10^2</f>
        <v>6705.5410235283098</v>
      </c>
      <c r="RP11">
        <f t="shared" ref="RP11" si="469">PI()*RP10^2</f>
        <v>6734.6007555740171</v>
      </c>
      <c r="RQ11">
        <f t="shared" ref="RQ11" si="470">PI()*RQ10^2</f>
        <v>6763.7233194727942</v>
      </c>
      <c r="RR11">
        <f t="shared" ref="RR11" si="471">PI()*RR10^2</f>
        <v>6792.9087152246448</v>
      </c>
      <c r="RS11">
        <f t="shared" ref="RS11" si="472">PI()*RS10^2</f>
        <v>6822.156942829567</v>
      </c>
      <c r="RT11">
        <f t="shared" ref="RT11" si="473">PI()*RT10^2</f>
        <v>6851.4680022875591</v>
      </c>
      <c r="RU11">
        <f t="shared" ref="RU11" si="474">PI()*RU10^2</f>
        <v>6880.8418935986247</v>
      </c>
      <c r="RV11">
        <f t="shared" ref="RV11" si="475">PI()*RV10^2</f>
        <v>6910.2786167627628</v>
      </c>
      <c r="RW11">
        <f t="shared" ref="RW11" si="476">PI()*RW10^2</f>
        <v>6939.7781717799699</v>
      </c>
      <c r="RX11">
        <f t="shared" ref="RX11" si="477">PI()*RX10^2</f>
        <v>6969.3405586502513</v>
      </c>
      <c r="RY11">
        <f t="shared" ref="RY11" si="478">PI()*RY10^2</f>
        <v>6998.9657773736035</v>
      </c>
      <c r="RZ11">
        <f t="shared" ref="RZ11" si="479">PI()*RZ10^2</f>
        <v>7028.6538279500282</v>
      </c>
      <c r="SA11">
        <f t="shared" ref="SA11" si="480">PI()*SA10^2</f>
        <v>7058.4047103795247</v>
      </c>
      <c r="SB11">
        <f t="shared" ref="SB11" si="481">PI()*SB10^2</f>
        <v>7088.2184246620918</v>
      </c>
      <c r="SC11">
        <f t="shared" ref="SC11" si="482">PI()*SC10^2</f>
        <v>7118.0949707977315</v>
      </c>
      <c r="SD11">
        <f t="shared" ref="SD11" si="483">PI()*SD10^2</f>
        <v>7148.0343487864429</v>
      </c>
      <c r="SE11">
        <f t="shared" ref="SE11" si="484">PI()*SE10^2</f>
        <v>7178.036558628226</v>
      </c>
      <c r="SF11">
        <f t="shared" ref="SF11" si="485">PI()*SF10^2</f>
        <v>7208.1016003230807</v>
      </c>
      <c r="SG11">
        <f t="shared" ref="SG11" si="486">PI()*SG10^2</f>
        <v>7238.2294738710079</v>
      </c>
      <c r="SH11">
        <f t="shared" ref="SH11" si="487">PI()*SH10^2</f>
        <v>7268.420179272006</v>
      </c>
      <c r="SI11">
        <f t="shared" ref="SI11" si="488">PI()*SI10^2</f>
        <v>7298.6737165260756</v>
      </c>
      <c r="SJ11">
        <f t="shared" ref="SJ11" si="489">PI()*SJ10^2</f>
        <v>7328.9900856332188</v>
      </c>
      <c r="SK11">
        <f t="shared" ref="SK11" si="490">PI()*SK10^2</f>
        <v>7359.3692865934327</v>
      </c>
      <c r="SL11">
        <f t="shared" ref="SL11" si="491">PI()*SL10^2</f>
        <v>7389.8113194067182</v>
      </c>
      <c r="SM11">
        <f t="shared" ref="SM11" si="492">PI()*SM10^2</f>
        <v>7420.3161840730763</v>
      </c>
      <c r="SN11">
        <f t="shared" ref="SN11" si="493">PI()*SN10^2</f>
        <v>7450.8838805925052</v>
      </c>
      <c r="SO11">
        <f t="shared" ref="SO11" si="494">PI()*SO10^2</f>
        <v>7481.5144089650075</v>
      </c>
      <c r="SP11">
        <f t="shared" ref="SP11" si="495">PI()*SP10^2</f>
        <v>7512.2077691905797</v>
      </c>
      <c r="SQ11">
        <f t="shared" ref="SQ11" si="496">PI()*SQ10^2</f>
        <v>7542.9639612692245</v>
      </c>
      <c r="SR11">
        <f t="shared" ref="SR11" si="497">PI()*SR10^2</f>
        <v>7573.7829852009409</v>
      </c>
      <c r="SS11">
        <f t="shared" ref="SS11" si="498">PI()*SS10^2</f>
        <v>7604.6648409857289</v>
      </c>
      <c r="ST11">
        <f t="shared" ref="ST11" si="499">PI()*ST10^2</f>
        <v>7635.6095286235895</v>
      </c>
      <c r="SU11">
        <f t="shared" ref="SU11" si="500">PI()*SU10^2</f>
        <v>7666.6170481145218</v>
      </c>
      <c r="SV11">
        <f t="shared" ref="SV11" si="501">PI()*SV10^2</f>
        <v>7697.6873994585249</v>
      </c>
      <c r="SW11">
        <f t="shared" ref="SW11" si="502">PI()*SW10^2</f>
        <v>7728.8205826556004</v>
      </c>
      <c r="SX11">
        <f t="shared" ref="SX11" si="503">PI()*SX10^2</f>
        <v>7760.0165977057486</v>
      </c>
      <c r="SY11">
        <f t="shared" ref="SY11" si="504">PI()*SY10^2</f>
        <v>7791.2754446089675</v>
      </c>
      <c r="SZ11">
        <f t="shared" ref="SZ11" si="505">PI()*SZ10^2</f>
        <v>7822.597123365259</v>
      </c>
      <c r="TA11">
        <f t="shared" ref="TA11" si="506">PI()*TA10^2</f>
        <v>7853.9816339746212</v>
      </c>
    </row>
    <row r="12" spans="1:521" x14ac:dyDescent="0.3">
      <c r="A12" s="4" t="s">
        <v>269</v>
      </c>
      <c r="B12" s="17">
        <v>50</v>
      </c>
      <c r="C12" s="17">
        <v>2</v>
      </c>
      <c r="D12" s="49"/>
      <c r="E12" s="4"/>
      <c r="F12" s="17"/>
      <c r="G12" s="17"/>
      <c r="H12" s="49"/>
      <c r="I12" s="4" t="s">
        <v>313</v>
      </c>
      <c r="J12" s="17">
        <v>40</v>
      </c>
      <c r="K12" s="17">
        <v>2</v>
      </c>
      <c r="S12" t="s">
        <v>915</v>
      </c>
      <c r="T12" s="34">
        <f>SUM(V12:TA12)</f>
        <v>0.99999999999999978</v>
      </c>
      <c r="U12" t="s">
        <v>913</v>
      </c>
      <c r="V12">
        <f>V11/$T$11</f>
        <v>2.392816764074219E-8</v>
      </c>
      <c r="W12">
        <f t="shared" ref="W12" si="507">W11/$T$11</f>
        <v>9.5712670562968761E-8</v>
      </c>
      <c r="X12">
        <f t="shared" ref="X12" si="508">X11/$T$11</f>
        <v>2.1535350876667975E-7</v>
      </c>
      <c r="Y12">
        <f t="shared" ref="Y12" si="509">Y11/$T$11</f>
        <v>3.8285068225187504E-7</v>
      </c>
      <c r="Z12">
        <f t="shared" ref="Z12" si="510">Z11/$T$11</f>
        <v>5.9820419101855469E-7</v>
      </c>
      <c r="AA12">
        <f t="shared" ref="AA12" si="511">AA11/$T$11</f>
        <v>8.6141403506671878E-7</v>
      </c>
      <c r="AB12">
        <f t="shared" ref="AB12" si="512">AB11/$T$11</f>
        <v>1.172480214396367E-6</v>
      </c>
      <c r="AC12">
        <f t="shared" ref="AC12" si="513">AC11/$T$11</f>
        <v>1.5314027290074998E-6</v>
      </c>
      <c r="AD12">
        <f t="shared" ref="AD12" si="514">AD11/$T$11</f>
        <v>1.9381815789001167E-6</v>
      </c>
      <c r="AE12">
        <f t="shared" ref="AE12" si="515">AE11/$T$11</f>
        <v>2.3928167640742183E-6</v>
      </c>
      <c r="AF12">
        <f t="shared" ref="AF12" si="516">AF11/$T$11</f>
        <v>2.8953082845298043E-6</v>
      </c>
      <c r="AG12">
        <f t="shared" ref="AG12" si="517">AG11/$T$11</f>
        <v>3.4456561402668751E-6</v>
      </c>
      <c r="AH12">
        <f t="shared" ref="AH12" si="518">AH11/$T$11</f>
        <v>4.0438603312854303E-6</v>
      </c>
      <c r="AI12">
        <f t="shared" ref="AI12" si="519">AI11/$T$11</f>
        <v>4.6899208575854704E-6</v>
      </c>
      <c r="AJ12">
        <f t="shared" ref="AJ12" si="520">AJ11/$T$11</f>
        <v>5.3838377191669944E-6</v>
      </c>
      <c r="AK12">
        <f t="shared" ref="AK12" si="521">AK11/$T$11</f>
        <v>6.1256109160300024E-6</v>
      </c>
      <c r="AL12">
        <f t="shared" ref="AL12" si="522">AL11/$T$11</f>
        <v>6.9152404481744952E-6</v>
      </c>
      <c r="AM12">
        <f t="shared" ref="AM12" si="523">AM11/$T$11</f>
        <v>7.752726315600472E-6</v>
      </c>
      <c r="AN12">
        <f t="shared" ref="AN12" si="524">AN11/$T$11</f>
        <v>8.6380685183079345E-6</v>
      </c>
      <c r="AO12">
        <f t="shared" ref="AO12" si="525">AO11/$T$11</f>
        <v>9.5712670562968801E-6</v>
      </c>
      <c r="AP12">
        <f t="shared" ref="AP12" si="526">AP11/$T$11</f>
        <v>1.0552321929567309E-5</v>
      </c>
      <c r="AQ12">
        <f t="shared" ref="AQ12" si="527">AQ11/$T$11</f>
        <v>1.1581233138119226E-5</v>
      </c>
      <c r="AR12">
        <f t="shared" ref="AR12" si="528">AR11/$T$11</f>
        <v>1.2658000681952626E-5</v>
      </c>
      <c r="AS12">
        <f t="shared" ref="AS12" si="529">AS11/$T$11</f>
        <v>1.3782624561067512E-5</v>
      </c>
      <c r="AT12">
        <f t="shared" ref="AT12" si="530">AT11/$T$11</f>
        <v>1.4955104775463879E-5</v>
      </c>
      <c r="AU12">
        <f t="shared" ref="AU12" si="531">AU11/$T$11</f>
        <v>1.6175441325141732E-5</v>
      </c>
      <c r="AV12">
        <f t="shared" ref="AV12" si="532">AV11/$T$11</f>
        <v>1.7443634210101068E-5</v>
      </c>
      <c r="AW12">
        <f t="shared" ref="AW12" si="533">AW11/$T$11</f>
        <v>1.8759683430341892E-5</v>
      </c>
      <c r="AX12">
        <f t="shared" ref="AX12" si="534">AX11/$T$11</f>
        <v>2.0123588985864197E-5</v>
      </c>
      <c r="AY12">
        <f t="shared" ref="AY12" si="535">AY11/$T$11</f>
        <v>2.1535350876667984E-5</v>
      </c>
      <c r="AZ12">
        <f t="shared" ref="AZ12" si="536">AZ11/$T$11</f>
        <v>2.2994969102753263E-5</v>
      </c>
      <c r="BA12">
        <f t="shared" ref="BA12" si="537">BA11/$T$11</f>
        <v>2.4502443664120023E-5</v>
      </c>
      <c r="BB12">
        <f t="shared" ref="BB12" si="538">BB11/$T$11</f>
        <v>2.6057774560768271E-5</v>
      </c>
      <c r="BC12">
        <f t="shared" ref="BC12" si="539">BC11/$T$11</f>
        <v>2.7660961792697998E-5</v>
      </c>
      <c r="BD12">
        <f t="shared" ref="BD12" si="540">BD11/$T$11</f>
        <v>2.9312005359909212E-5</v>
      </c>
      <c r="BE12">
        <f t="shared" ref="BE12" si="541">BE11/$T$11</f>
        <v>3.1010905262401908E-5</v>
      </c>
      <c r="BF12">
        <f t="shared" ref="BF12" si="542">BF11/$T$11</f>
        <v>3.2757661500176086E-5</v>
      </c>
      <c r="BG12">
        <f t="shared" ref="BG12" si="543">BG11/$T$11</f>
        <v>3.4552274073231758E-5</v>
      </c>
      <c r="BH12">
        <f t="shared" ref="BH12" si="544">BH11/$T$11</f>
        <v>3.6394742981568905E-5</v>
      </c>
      <c r="BI12">
        <f t="shared" ref="BI12" si="545">BI11/$T$11</f>
        <v>3.8285068225187534E-5</v>
      </c>
      <c r="BJ12">
        <f t="shared" ref="BJ12" si="546">BJ11/$T$11</f>
        <v>4.0223249804087644E-5</v>
      </c>
      <c r="BK12">
        <f t="shared" ref="BK12" si="547">BK11/$T$11</f>
        <v>4.2209287718269235E-5</v>
      </c>
      <c r="BL12">
        <f t="shared" ref="BL12" si="548">BL11/$T$11</f>
        <v>4.4243181967732315E-5</v>
      </c>
      <c r="BM12">
        <f t="shared" ref="BM12" si="549">BM11/$T$11</f>
        <v>4.6324932552476883E-5</v>
      </c>
      <c r="BN12">
        <f t="shared" ref="BN12" si="550">BN11/$T$11</f>
        <v>4.8454539472502932E-5</v>
      </c>
      <c r="BO12">
        <f t="shared" ref="BO12" si="551">BO11/$T$11</f>
        <v>5.0632002727810462E-5</v>
      </c>
      <c r="BP12">
        <f t="shared" ref="BP12" si="552">BP11/$T$11</f>
        <v>5.2857322318399475E-5</v>
      </c>
      <c r="BQ12">
        <f t="shared" ref="BQ12" si="553">BQ11/$T$11</f>
        <v>5.5130498244269968E-5</v>
      </c>
      <c r="BR12">
        <f t="shared" ref="BR12" si="554">BR11/$T$11</f>
        <v>5.7451530505421963E-5</v>
      </c>
      <c r="BS12">
        <f t="shared" ref="BS12" si="555">BS11/$T$11</f>
        <v>5.9820419101855427E-5</v>
      </c>
      <c r="BT12">
        <f t="shared" ref="BT12" si="556">BT11/$T$11</f>
        <v>6.2237164033570371E-5</v>
      </c>
      <c r="BU12">
        <f t="shared" ref="BU12" si="557">BU11/$T$11</f>
        <v>6.4701765300566818E-5</v>
      </c>
      <c r="BV12">
        <f t="shared" ref="BV12" si="558">BV11/$T$11</f>
        <v>6.7214222902844739E-5</v>
      </c>
      <c r="BW12">
        <f t="shared" ref="BW12" si="559">BW11/$T$11</f>
        <v>6.9774536840404134E-5</v>
      </c>
      <c r="BX12">
        <f t="shared" ref="BX12" si="560">BX11/$T$11</f>
        <v>7.2382707113245032E-5</v>
      </c>
      <c r="BY12">
        <f t="shared" ref="BY12" si="561">BY11/$T$11</f>
        <v>7.5038733721367404E-5</v>
      </c>
      <c r="BZ12">
        <f t="shared" ref="BZ12" si="562">BZ11/$T$11</f>
        <v>7.7742616664771251E-5</v>
      </c>
      <c r="CA12">
        <f t="shared" ref="CA12" si="563">CA11/$T$11</f>
        <v>8.0494355943456586E-5</v>
      </c>
      <c r="CB12">
        <f t="shared" ref="CB12" si="564">CB11/$T$11</f>
        <v>8.3293951557423409E-5</v>
      </c>
      <c r="CC12">
        <f t="shared" ref="CC12" si="565">CC11/$T$11</f>
        <v>8.6141403506671721E-5</v>
      </c>
      <c r="CD12">
        <f t="shared" ref="CD12" si="566">CD11/$T$11</f>
        <v>8.903671179120152E-5</v>
      </c>
      <c r="CE12">
        <f t="shared" ref="CE12" si="567">CE11/$T$11</f>
        <v>9.1979876411012795E-5</v>
      </c>
      <c r="CF12">
        <f t="shared" ref="CF12" si="568">CF11/$T$11</f>
        <v>9.4970897366105557E-5</v>
      </c>
      <c r="CG12">
        <f t="shared" ref="CG12" si="569">CG11/$T$11</f>
        <v>9.8009774656479794E-5</v>
      </c>
      <c r="CH12">
        <f t="shared" ref="CH12" si="570">CH11/$T$11</f>
        <v>1.0109650828213553E-4</v>
      </c>
      <c r="CI12">
        <f t="shared" ref="CI12" si="571">CI11/$T$11</f>
        <v>1.0423109824307273E-4</v>
      </c>
      <c r="CJ12">
        <f t="shared" ref="CJ12" si="572">CJ11/$T$11</f>
        <v>1.0741354453929142E-4</v>
      </c>
      <c r="CK12">
        <f t="shared" ref="CK12" si="573">CK11/$T$11</f>
        <v>1.1064384717079163E-4</v>
      </c>
      <c r="CL12">
        <f t="shared" ref="CL12" si="574">CL11/$T$11</f>
        <v>1.1392200613757329E-4</v>
      </c>
      <c r="CM12">
        <f t="shared" ref="CM12" si="575">CM11/$T$11</f>
        <v>1.1724802143963642E-4</v>
      </c>
      <c r="CN12">
        <f t="shared" ref="CN12" si="576">CN11/$T$11</f>
        <v>1.2062189307698104E-4</v>
      </c>
      <c r="CO12">
        <f t="shared" ref="CO12" si="577">CO11/$T$11</f>
        <v>1.2404362104960717E-4</v>
      </c>
      <c r="CP12">
        <f t="shared" ref="CP12" si="578">CP11/$T$11</f>
        <v>1.2751320535751479E-4</v>
      </c>
      <c r="CQ12">
        <f t="shared" ref="CQ12" si="579">CQ11/$T$11</f>
        <v>1.3103064600070386E-4</v>
      </c>
      <c r="CR12">
        <f t="shared" ref="CR12" si="580">CR11/$T$11</f>
        <v>1.3459594297917445E-4</v>
      </c>
      <c r="CS12">
        <f t="shared" ref="CS12" si="581">CS11/$T$11</f>
        <v>1.3820909629292649E-4</v>
      </c>
      <c r="CT12">
        <f t="shared" ref="CT12" si="582">CT11/$T$11</f>
        <v>1.4187010594196001E-4</v>
      </c>
      <c r="CU12">
        <f t="shared" ref="CU12" si="583">CU11/$T$11</f>
        <v>1.4557897192627505E-4</v>
      </c>
      <c r="CV12">
        <f t="shared" ref="CV12" si="584">CV11/$T$11</f>
        <v>1.4933569424587154E-4</v>
      </c>
      <c r="CW12">
        <f t="shared" ref="CW12" si="585">CW11/$T$11</f>
        <v>1.5314027290074954E-4</v>
      </c>
      <c r="CX12">
        <f t="shared" ref="CX12" si="586">CX11/$T$11</f>
        <v>1.5699270789090898E-4</v>
      </c>
      <c r="CY12">
        <f t="shared" ref="CY12" si="587">CY11/$T$11</f>
        <v>1.6089299921634995E-4</v>
      </c>
      <c r="CZ12">
        <f t="shared" ref="CZ12" si="588">CZ11/$T$11</f>
        <v>1.648411468770724E-4</v>
      </c>
      <c r="DA12">
        <f t="shared" ref="DA12" si="589">DA11/$T$11</f>
        <v>1.6883715087307632E-4</v>
      </c>
      <c r="DB12">
        <f t="shared" ref="DB12" si="590">DB11/$T$11</f>
        <v>1.7288101120436171E-4</v>
      </c>
      <c r="DC12">
        <f t="shared" ref="DC12" si="591">DC11/$T$11</f>
        <v>1.7697272787092864E-4</v>
      </c>
      <c r="DD12">
        <f t="shared" ref="DD12" si="592">DD11/$T$11</f>
        <v>1.8111230087277701E-4</v>
      </c>
      <c r="DE12">
        <f t="shared" ref="DE12" si="593">DE11/$T$11</f>
        <v>1.8529973020990685E-4</v>
      </c>
      <c r="DF12">
        <f t="shared" ref="DF12" si="594">DF11/$T$11</f>
        <v>1.895350158823182E-4</v>
      </c>
      <c r="DG12">
        <f t="shared" ref="DG12" si="595">DG11/$T$11</f>
        <v>1.9381815789001105E-4</v>
      </c>
      <c r="DH12">
        <f t="shared" ref="DH12" si="596">DH11/$T$11</f>
        <v>1.9814915623298535E-4</v>
      </c>
      <c r="DI12">
        <f t="shared" ref="DI12" si="597">DI11/$T$11</f>
        <v>2.0252801091124115E-4</v>
      </c>
      <c r="DJ12">
        <f t="shared" ref="DJ12" si="598">DJ11/$T$11</f>
        <v>2.0695472192477842E-4</v>
      </c>
      <c r="DK12">
        <f t="shared" ref="DK12" si="599">DK11/$T$11</f>
        <v>2.1142928927359717E-4</v>
      </c>
      <c r="DL12">
        <f t="shared" ref="DL12" si="600">DL11/$T$11</f>
        <v>2.1595171295769744E-4</v>
      </c>
      <c r="DM12">
        <f t="shared" ref="DM12" si="601">DM11/$T$11</f>
        <v>2.2052199297707919E-4</v>
      </c>
      <c r="DN12">
        <f t="shared" ref="DN12" si="602">DN11/$T$11</f>
        <v>2.2514012933174239E-4</v>
      </c>
      <c r="DO12">
        <f t="shared" ref="DO12" si="603">DO11/$T$11</f>
        <v>2.2980612202168712E-4</v>
      </c>
      <c r="DP12">
        <f t="shared" ref="DP12" si="604">DP11/$T$11</f>
        <v>2.345199710469133E-4</v>
      </c>
      <c r="DQ12">
        <f t="shared" ref="DQ12" si="605">DQ11/$T$11</f>
        <v>2.3928167640742095E-4</v>
      </c>
      <c r="DR12">
        <f t="shared" ref="DR12" si="606">DR11/$T$11</f>
        <v>2.440912381032101E-4</v>
      </c>
      <c r="DS12">
        <f t="shared" ref="DS12" si="607">DS11/$T$11</f>
        <v>2.4894865613428073E-4</v>
      </c>
      <c r="DT12">
        <f t="shared" ref="DT12" si="608">DT11/$T$11</f>
        <v>2.5385393050063283E-4</v>
      </c>
      <c r="DU12">
        <f t="shared" ref="DU12" si="609">DU11/$T$11</f>
        <v>2.5880706120226646E-4</v>
      </c>
      <c r="DV12">
        <f t="shared" ref="DV12" si="610">DV11/$T$11</f>
        <v>2.6380804823918156E-4</v>
      </c>
      <c r="DW12">
        <f t="shared" ref="DW12" si="611">DW11/$T$11</f>
        <v>2.6885689161137814E-4</v>
      </c>
      <c r="DX12">
        <f t="shared" ref="DX12" si="612">DX11/$T$11</f>
        <v>2.739535913188562E-4</v>
      </c>
      <c r="DY12">
        <f t="shared" ref="DY12" si="613">DY11/$T$11</f>
        <v>2.7909814736161572E-4</v>
      </c>
      <c r="DZ12">
        <f t="shared" ref="DZ12" si="614">DZ11/$T$11</f>
        <v>2.8429055973965678E-4</v>
      </c>
      <c r="EA12">
        <f t="shared" ref="EA12" si="615">EA11/$T$11</f>
        <v>2.8953082845297926E-4</v>
      </c>
      <c r="EB12">
        <f t="shared" ref="EB12" si="616">EB11/$T$11</f>
        <v>2.9481895350158327E-4</v>
      </c>
      <c r="EC12">
        <f t="shared" ref="EC12" si="617">EC11/$T$11</f>
        <v>3.0015493488546875E-4</v>
      </c>
      <c r="ED12">
        <f t="shared" ref="ED12" si="618">ED11/$T$11</f>
        <v>3.0553877260463571E-4</v>
      </c>
      <c r="EE12">
        <f t="shared" ref="EE12" si="619">EE11/$T$11</f>
        <v>3.1097046665908414E-4</v>
      </c>
      <c r="EF12">
        <f t="shared" ref="EF12" si="620">EF11/$T$11</f>
        <v>3.164500170488141E-4</v>
      </c>
      <c r="EG12">
        <f t="shared" ref="EG12" si="621">EG11/$T$11</f>
        <v>3.2197742377382548E-4</v>
      </c>
      <c r="EH12">
        <f t="shared" ref="EH12" si="622">EH11/$T$11</f>
        <v>3.2755268683411839E-4</v>
      </c>
      <c r="EI12">
        <f t="shared" ref="EI12" si="623">EI11/$T$11</f>
        <v>3.3317580622969272E-4</v>
      </c>
      <c r="EJ12">
        <f t="shared" ref="EJ12" si="624">EJ11/$T$11</f>
        <v>3.3884678196054868E-4</v>
      </c>
      <c r="EK12">
        <f t="shared" ref="EK12" si="625">EK11/$T$11</f>
        <v>3.4456561402668602E-4</v>
      </c>
      <c r="EL12">
        <f t="shared" ref="EL12" si="626">EL11/$T$11</f>
        <v>3.5033230242810482E-4</v>
      </c>
      <c r="EM12">
        <f t="shared" ref="EM12" si="627">EM11/$T$11</f>
        <v>3.5614684716480511E-4</v>
      </c>
      <c r="EN12">
        <f t="shared" ref="EN12" si="628">EN11/$T$11</f>
        <v>3.6200924823678692E-4</v>
      </c>
      <c r="EO12">
        <f t="shared" ref="EO12" si="629">EO11/$T$11</f>
        <v>3.679195056440502E-4</v>
      </c>
      <c r="EP12">
        <f t="shared" ref="EP12" si="630">EP11/$T$11</f>
        <v>3.7387761938659502E-4</v>
      </c>
      <c r="EQ12">
        <f t="shared" ref="EQ12" si="631">EQ11/$T$11</f>
        <v>3.7988358946442125E-4</v>
      </c>
      <c r="ER12">
        <f t="shared" ref="ER12" si="632">ER11/$T$11</f>
        <v>3.8593741587752896E-4</v>
      </c>
      <c r="ES12">
        <f t="shared" ref="ES12" si="633">ES11/$T$11</f>
        <v>3.9203909862591815E-4</v>
      </c>
      <c r="ET12">
        <f t="shared" ref="ET12" si="634">ET11/$T$11</f>
        <v>3.9818863770958886E-4</v>
      </c>
      <c r="EU12">
        <f t="shared" ref="EU12" si="635">EU11/$T$11</f>
        <v>4.043860331285411E-4</v>
      </c>
      <c r="EV12">
        <f t="shared" ref="EV12" si="636">EV11/$T$11</f>
        <v>4.1063128488277477E-4</v>
      </c>
      <c r="EW12">
        <f t="shared" ref="EW12" si="637">EW11/$T$11</f>
        <v>4.169243929722899E-4</v>
      </c>
      <c r="EX12">
        <f t="shared" ref="EX12" si="638">EX11/$T$11</f>
        <v>4.2326535739708657E-4</v>
      </c>
      <c r="EY12">
        <f t="shared" ref="EY12" si="639">EY11/$T$11</f>
        <v>4.2965417815716466E-4</v>
      </c>
      <c r="EZ12">
        <f t="shared" ref="EZ12" si="640">EZ11/$T$11</f>
        <v>4.3609085525252438E-4</v>
      </c>
      <c r="FA12">
        <f t="shared" ref="FA12" si="641">FA11/$T$11</f>
        <v>4.4257538868316547E-4</v>
      </c>
      <c r="FB12">
        <f t="shared" ref="FB12" si="642">FB11/$T$11</f>
        <v>4.4910777844908798E-4</v>
      </c>
      <c r="FC12">
        <f t="shared" ref="FC12" si="643">FC11/$T$11</f>
        <v>4.5568802455029202E-4</v>
      </c>
      <c r="FD12">
        <f t="shared" ref="FD12" si="644">FD11/$T$11</f>
        <v>4.6231612698677759E-4</v>
      </c>
      <c r="FE12">
        <f t="shared" ref="FE12" si="645">FE11/$T$11</f>
        <v>4.6899208575854463E-4</v>
      </c>
      <c r="FF12">
        <f t="shared" ref="FF12" si="646">FF11/$T$11</f>
        <v>4.757159008655931E-4</v>
      </c>
      <c r="FG12">
        <f t="shared" ref="FG12" si="647">FG11/$T$11</f>
        <v>4.8248757230792314E-4</v>
      </c>
      <c r="FH12">
        <f t="shared" ref="FH12" si="648">FH11/$T$11</f>
        <v>4.8930710008553461E-4</v>
      </c>
      <c r="FI12">
        <f t="shared" ref="FI12" si="649">FI11/$T$11</f>
        <v>4.9617448419842761E-4</v>
      </c>
      <c r="FJ12">
        <f t="shared" ref="FJ12" si="650">FJ11/$T$11</f>
        <v>5.0308972464660213E-4</v>
      </c>
      <c r="FK12">
        <f t="shared" ref="FK12" si="651">FK11/$T$11</f>
        <v>5.1005282143005797E-4</v>
      </c>
      <c r="FL12">
        <f t="shared" ref="FL12" si="652">FL11/$T$11</f>
        <v>5.1706377454879533E-4</v>
      </c>
      <c r="FM12">
        <f t="shared" ref="FM12" si="653">FM11/$T$11</f>
        <v>5.2412258400281434E-4</v>
      </c>
      <c r="FN12">
        <f t="shared" ref="FN12" si="654">FN11/$T$11</f>
        <v>5.3122924979211465E-4</v>
      </c>
      <c r="FO12">
        <f t="shared" ref="FO12" si="655">FO11/$T$11</f>
        <v>5.383837719166965E-4</v>
      </c>
      <c r="FP12">
        <f t="shared" ref="FP12" si="656">FP11/$T$11</f>
        <v>5.4558615037655987E-4</v>
      </c>
      <c r="FQ12">
        <f t="shared" ref="FQ12" si="657">FQ11/$T$11</f>
        <v>5.5283638517170477E-4</v>
      </c>
      <c r="FR12">
        <f t="shared" ref="FR12" si="658">FR11/$T$11</f>
        <v>5.6013447630213109E-4</v>
      </c>
      <c r="FS12">
        <f t="shared" ref="FS12" si="659">FS11/$T$11</f>
        <v>5.6748042376783883E-4</v>
      </c>
      <c r="FT12">
        <f t="shared" ref="FT12" si="660">FT11/$T$11</f>
        <v>5.7487422756882811E-4</v>
      </c>
      <c r="FU12">
        <f t="shared" ref="FU12" si="661">FU11/$T$11</f>
        <v>5.8231588770509901E-4</v>
      </c>
      <c r="FV12">
        <f t="shared" ref="FV12" si="662">FV11/$T$11</f>
        <v>5.8980540417665124E-4</v>
      </c>
      <c r="FW12">
        <f t="shared" ref="FW12" si="663">FW11/$T$11</f>
        <v>5.9734277698348499E-4</v>
      </c>
      <c r="FX12">
        <f t="shared" ref="FX12" si="664">FX11/$T$11</f>
        <v>6.0492800612560026E-4</v>
      </c>
      <c r="FY12">
        <f t="shared" ref="FY12" si="665">FY11/$T$11</f>
        <v>6.1256109160299685E-4</v>
      </c>
      <c r="FZ12">
        <f t="shared" ref="FZ12" si="666">FZ11/$T$11</f>
        <v>6.2024203341567508E-4</v>
      </c>
      <c r="GA12">
        <f t="shared" ref="GA12" si="667">GA11/$T$11</f>
        <v>6.2797083156363484E-4</v>
      </c>
      <c r="GB12">
        <f t="shared" ref="GB12" si="668">GB11/$T$11</f>
        <v>6.3574748604687612E-4</v>
      </c>
      <c r="GC12">
        <f t="shared" ref="GC12" si="669">GC11/$T$11</f>
        <v>6.4357199686539894E-4</v>
      </c>
      <c r="GD12">
        <f t="shared" ref="GD12" si="670">GD11/$T$11</f>
        <v>6.5144436401920328E-4</v>
      </c>
      <c r="GE12">
        <f t="shared" ref="GE12" si="671">GE11/$T$11</f>
        <v>6.5936458750828905E-4</v>
      </c>
      <c r="GF12">
        <f t="shared" ref="GF12" si="672">GF11/$T$11</f>
        <v>6.6733266733265623E-4</v>
      </c>
      <c r="GG12">
        <f t="shared" ref="GG12" si="673">GG11/$T$11</f>
        <v>6.7534860349230505E-4</v>
      </c>
      <c r="GH12">
        <f t="shared" ref="GH12" si="674">GH11/$T$11</f>
        <v>6.8341239598723518E-4</v>
      </c>
      <c r="GI12">
        <f t="shared" ref="GI12" si="675">GI11/$T$11</f>
        <v>6.9152404481744685E-4</v>
      </c>
      <c r="GJ12">
        <f t="shared" ref="GJ12" si="676">GJ11/$T$11</f>
        <v>6.9968354998294004E-4</v>
      </c>
      <c r="GK12">
        <f t="shared" ref="GK12" si="677">GK11/$T$11</f>
        <v>7.0789091148371487E-4</v>
      </c>
      <c r="GL12">
        <f t="shared" ref="GL12" si="678">GL11/$T$11</f>
        <v>7.1614612931977101E-4</v>
      </c>
      <c r="GM12">
        <f t="shared" ref="GM12" si="679">GM11/$T$11</f>
        <v>7.2444920349110857E-4</v>
      </c>
      <c r="GN12">
        <f t="shared" ref="GN12" si="680">GN11/$T$11</f>
        <v>7.3280013399772777E-4</v>
      </c>
      <c r="GO12">
        <f t="shared" ref="GO12" si="681">GO11/$T$11</f>
        <v>7.4119892083962839E-4</v>
      </c>
      <c r="GP12">
        <f t="shared" ref="GP12" si="682">GP11/$T$11</f>
        <v>7.4964556401681042E-4</v>
      </c>
      <c r="GQ12">
        <f t="shared" ref="GQ12" si="683">GQ11/$T$11</f>
        <v>7.581400635292741E-4</v>
      </c>
      <c r="GR12">
        <f t="shared" ref="GR12" si="684">GR11/$T$11</f>
        <v>7.666824193770192E-4</v>
      </c>
      <c r="GS12">
        <f t="shared" ref="GS12" si="685">GS11/$T$11</f>
        <v>7.7527263156004561E-4</v>
      </c>
      <c r="GT12">
        <f t="shared" ref="GT12" si="686">GT11/$T$11</f>
        <v>7.8391070007835376E-4</v>
      </c>
      <c r="GU12">
        <f t="shared" ref="GU12" si="687">GU11/$T$11</f>
        <v>7.9259662493194334E-4</v>
      </c>
      <c r="GV12">
        <f t="shared" ref="GV12" si="688">GV11/$T$11</f>
        <v>8.0133040612081433E-4</v>
      </c>
      <c r="GW12">
        <f t="shared" ref="GW12" si="689">GW11/$T$11</f>
        <v>8.1011204364496664E-4</v>
      </c>
      <c r="GX12">
        <f t="shared" ref="GX12" si="690">GX11/$T$11</f>
        <v>8.189415375044008E-4</v>
      </c>
      <c r="GY12">
        <f t="shared" ref="GY12" si="691">GY11/$T$11</f>
        <v>8.2781888769911628E-4</v>
      </c>
      <c r="GZ12">
        <f t="shared" ref="GZ12" si="692">GZ11/$T$11</f>
        <v>8.3674409422911328E-4</v>
      </c>
      <c r="HA12">
        <f t="shared" ref="HA12" si="693">HA11/$T$11</f>
        <v>8.4571715709439159E-4</v>
      </c>
      <c r="HB12">
        <f t="shared" ref="HB12" si="694">HB11/$T$11</f>
        <v>8.5473807629495155E-4</v>
      </c>
      <c r="HC12">
        <f t="shared" ref="HC12" si="695">HC11/$T$11</f>
        <v>8.6380685183079292E-4</v>
      </c>
      <c r="HD12">
        <f t="shared" ref="HD12" si="696">HD11/$T$11</f>
        <v>8.7292348370191593E-4</v>
      </c>
      <c r="HE12">
        <f t="shared" ref="HE12" si="697">HE11/$T$11</f>
        <v>8.8208797190832025E-4</v>
      </c>
      <c r="HF12">
        <f t="shared" ref="HF12" si="698">HF11/$T$11</f>
        <v>8.9130031645000621E-4</v>
      </c>
      <c r="HG12">
        <f t="shared" ref="HG12" si="699">HG11/$T$11</f>
        <v>9.0056051732697359E-4</v>
      </c>
      <c r="HH12">
        <f t="shared" ref="HH12" si="700">HH11/$T$11</f>
        <v>9.0986857453922228E-4</v>
      </c>
      <c r="HI12">
        <f t="shared" ref="HI12" si="701">HI11/$T$11</f>
        <v>9.1922448808675261E-4</v>
      </c>
      <c r="HJ12">
        <f t="shared" ref="HJ12" si="702">HJ11/$T$11</f>
        <v>9.2862825796956447E-4</v>
      </c>
      <c r="HK12">
        <f t="shared" ref="HK12" si="703">HK11/$T$11</f>
        <v>9.3807988418765785E-4</v>
      </c>
      <c r="HL12">
        <f t="shared" ref="HL12" si="704">HL11/$T$11</f>
        <v>9.4757936674103266E-4</v>
      </c>
      <c r="HM12">
        <f t="shared" ref="HM12" si="705">HM11/$T$11</f>
        <v>9.5712670562968899E-4</v>
      </c>
      <c r="HN12">
        <f t="shared" ref="HN12" si="706">HN11/$T$11</f>
        <v>9.6672190085362664E-4</v>
      </c>
      <c r="HO12">
        <f t="shared" ref="HO12" si="707">HO11/$T$11</f>
        <v>9.7636495241284593E-4</v>
      </c>
      <c r="HP12">
        <f t="shared" ref="HP12" si="708">HP11/$T$11</f>
        <v>9.8605586030734663E-4</v>
      </c>
      <c r="HQ12">
        <f t="shared" ref="HQ12" si="709">HQ11/$T$11</f>
        <v>9.9579462453712898E-4</v>
      </c>
      <c r="HR12">
        <f t="shared" ref="HR12" si="710">HR11/$T$11</f>
        <v>1.0055812451021924E-3</v>
      </c>
      <c r="HS12">
        <f t="shared" ref="HS12" si="711">HS11/$T$11</f>
        <v>1.0154157220025378E-3</v>
      </c>
      <c r="HT12">
        <f t="shared" ref="HT12" si="712">HT11/$T$11</f>
        <v>1.0252980552381645E-3</v>
      </c>
      <c r="HU12">
        <f t="shared" ref="HU12" si="713">HU11/$T$11</f>
        <v>1.0352282448090728E-3</v>
      </c>
      <c r="HV12">
        <f t="shared" ref="HV12" si="714">HV11/$T$11</f>
        <v>1.0452062907152623E-3</v>
      </c>
      <c r="HW12">
        <f t="shared" ref="HW12" si="715">HW11/$T$11</f>
        <v>1.0552321929567334E-3</v>
      </c>
      <c r="HX12">
        <f t="shared" ref="HX12" si="716">HX11/$T$11</f>
        <v>1.065305951533486E-3</v>
      </c>
      <c r="HY12">
        <f t="shared" ref="HY12" si="717">HY11/$T$11</f>
        <v>1.0754275664455199E-3</v>
      </c>
      <c r="HZ12">
        <f t="shared" ref="HZ12" si="718">HZ11/$T$11</f>
        <v>1.0855970376928356E-3</v>
      </c>
      <c r="IA12">
        <f t="shared" ref="IA12" si="719">IA11/$T$11</f>
        <v>1.0958143652754326E-3</v>
      </c>
      <c r="IB12">
        <f t="shared" ref="IB12" si="720">IB11/$T$11</f>
        <v>1.1060795491933113E-3</v>
      </c>
      <c r="IC12">
        <f t="shared" ref="IC12" si="721">IC11/$T$11</f>
        <v>1.1163925894464714E-3</v>
      </c>
      <c r="ID12">
        <f t="shared" ref="ID12" si="722">ID11/$T$11</f>
        <v>1.1267534860349129E-3</v>
      </c>
      <c r="IE12">
        <f t="shared" ref="IE12" si="723">IE11/$T$11</f>
        <v>1.1371622389586358E-3</v>
      </c>
      <c r="IF12">
        <f t="shared" ref="IF12" si="724">IF11/$T$11</f>
        <v>1.1476188482176404E-3</v>
      </c>
      <c r="IG12">
        <f t="shared" ref="IG12" si="725">IG11/$T$11</f>
        <v>1.1581233138119264E-3</v>
      </c>
      <c r="IH12">
        <f t="shared" ref="IH12" si="726">IH11/$T$11</f>
        <v>1.1686756357414938E-3</v>
      </c>
      <c r="II12">
        <f t="shared" ref="II12" si="727">II11/$T$11</f>
        <v>1.1792758140063428E-3</v>
      </c>
      <c r="IJ12">
        <f t="shared" ref="IJ12" si="728">IJ11/$T$11</f>
        <v>1.1899238486064731E-3</v>
      </c>
      <c r="IK12">
        <f t="shared" ref="IK12" si="729">IK11/$T$11</f>
        <v>1.2006197395418852E-3</v>
      </c>
      <c r="IL12">
        <f t="shared" ref="IL12" si="730">IL11/$T$11</f>
        <v>1.2113634868125786E-3</v>
      </c>
      <c r="IM12">
        <f t="shared" ref="IM12" si="731">IM11/$T$11</f>
        <v>1.2221550904185534E-3</v>
      </c>
      <c r="IN12">
        <f t="shared" ref="IN12" si="732">IN11/$T$11</f>
        <v>1.2329945503598099E-3</v>
      </c>
      <c r="IO12">
        <f t="shared" ref="IO12" si="733">IO11/$T$11</f>
        <v>1.2438818666363478E-3</v>
      </c>
      <c r="IP12">
        <f t="shared" ref="IP12" si="734">IP11/$T$11</f>
        <v>1.2548170392481673E-3</v>
      </c>
      <c r="IQ12">
        <f t="shared" ref="IQ12" si="735">IQ11/$T$11</f>
        <v>1.2658000681952679E-3</v>
      </c>
      <c r="IR12">
        <f t="shared" ref="IR12" si="736">IR11/$T$11</f>
        <v>1.2768309534776504E-3</v>
      </c>
      <c r="IS12">
        <f t="shared" ref="IS12" si="737">IS11/$T$11</f>
        <v>1.287909695095314E-3</v>
      </c>
      <c r="IT12">
        <f t="shared" ref="IT12" si="738">IT11/$T$11</f>
        <v>1.2990362930482594E-3</v>
      </c>
      <c r="IU12">
        <f t="shared" ref="IU12" si="739">IU11/$T$11</f>
        <v>1.3102107473364861E-3</v>
      </c>
      <c r="IV12">
        <f t="shared" ref="IV12" si="740">IV11/$T$11</f>
        <v>1.3214330579599943E-3</v>
      </c>
      <c r="IW12">
        <f t="shared" ref="IW12" si="741">IW11/$T$11</f>
        <v>1.3327032249187843E-3</v>
      </c>
      <c r="IX12">
        <f t="shared" ref="IX12" si="742">IX11/$T$11</f>
        <v>1.3440212482128554E-3</v>
      </c>
      <c r="IY12">
        <f t="shared" ref="IY12" si="743">IY11/$T$11</f>
        <v>1.3553871278422084E-3</v>
      </c>
      <c r="IZ12">
        <f t="shared" ref="IZ12" si="744">IZ11/$T$11</f>
        <v>1.3668008638068425E-3</v>
      </c>
      <c r="JA12">
        <f t="shared" ref="JA12" si="745">JA11/$T$11</f>
        <v>1.3782624561067582E-3</v>
      </c>
      <c r="JB12">
        <f t="shared" ref="JB12" si="746">JB11/$T$11</f>
        <v>1.3897719047419553E-3</v>
      </c>
      <c r="JC12">
        <f t="shared" ref="JC12" si="747">JC11/$T$11</f>
        <v>1.4013292097124343E-3</v>
      </c>
      <c r="JD12">
        <f t="shared" ref="JD12" si="748">JD11/$T$11</f>
        <v>1.4129343710181943E-3</v>
      </c>
      <c r="JE12">
        <f t="shared" ref="JE12" si="749">JE11/$T$11</f>
        <v>1.4245873886592358E-3</v>
      </c>
      <c r="JF12">
        <f t="shared" ref="JF12" si="750">JF11/$T$11</f>
        <v>1.4362882626355591E-3</v>
      </c>
      <c r="JG12">
        <f t="shared" ref="JG12" si="751">JG11/$T$11</f>
        <v>1.4480369929471637E-3</v>
      </c>
      <c r="JH12">
        <f t="shared" ref="JH12" si="752">JH11/$T$11</f>
        <v>1.4598335795940498E-3</v>
      </c>
      <c r="JI12">
        <f t="shared" ref="JI12" si="753">JI11/$T$11</f>
        <v>1.4716780225762173E-3</v>
      </c>
      <c r="JJ12">
        <f t="shared" ref="JJ12" si="754">JJ11/$T$11</f>
        <v>1.4835703218936665E-3</v>
      </c>
      <c r="JK12">
        <f t="shared" ref="JK12" si="755">JK11/$T$11</f>
        <v>1.495510477546397E-3</v>
      </c>
      <c r="JL12">
        <f t="shared" ref="JL12" si="756">JL11/$T$11</f>
        <v>1.5074984895344088E-3</v>
      </c>
      <c r="JM12">
        <f t="shared" ref="JM12" si="757">JM11/$T$11</f>
        <v>1.5195343578577024E-3</v>
      </c>
      <c r="JN12">
        <f t="shared" ref="JN12" si="758">JN11/$T$11</f>
        <v>1.5316180825162777E-3</v>
      </c>
      <c r="JO12">
        <f t="shared" ref="JO12" si="759">JO11/$T$11</f>
        <v>1.5437496635101341E-3</v>
      </c>
      <c r="JP12">
        <f t="shared" ref="JP12" si="760">JP11/$T$11</f>
        <v>1.555929100839272E-3</v>
      </c>
      <c r="JQ12">
        <f t="shared" ref="JQ12" si="761">JQ11/$T$11</f>
        <v>1.5681563945036917E-3</v>
      </c>
      <c r="JR12">
        <f t="shared" ref="JR12" si="762">JR11/$T$11</f>
        <v>1.5804315445033927E-3</v>
      </c>
      <c r="JS12">
        <f t="shared" ref="JS12" si="763">JS11/$T$11</f>
        <v>1.592754550838375E-3</v>
      </c>
      <c r="JT12">
        <f t="shared" ref="JT12" si="764">JT11/$T$11</f>
        <v>1.605125413508639E-3</v>
      </c>
      <c r="JU12">
        <f t="shared" ref="JU12" si="765">JU11/$T$11</f>
        <v>1.6175441325141844E-3</v>
      </c>
      <c r="JV12">
        <f t="shared" ref="JV12" si="766">JV11/$T$11</f>
        <v>1.6300107078550112E-3</v>
      </c>
      <c r="JW12">
        <f t="shared" ref="JW12" si="767">JW11/$T$11</f>
        <v>1.6425251395311199E-3</v>
      </c>
      <c r="JX12">
        <f t="shared" ref="JX12" si="768">JX11/$T$11</f>
        <v>1.6550874275425098E-3</v>
      </c>
      <c r="JY12">
        <f t="shared" ref="JY12" si="769">JY11/$T$11</f>
        <v>1.6676975718891811E-3</v>
      </c>
      <c r="JZ12">
        <f t="shared" ref="JZ12" si="770">JZ11/$T$11</f>
        <v>1.6803555725711336E-3</v>
      </c>
      <c r="KA12">
        <f t="shared" ref="KA12" si="771">KA11/$T$11</f>
        <v>1.6930614295883682E-3</v>
      </c>
      <c r="KB12">
        <f t="shared" ref="KB12" si="772">KB11/$T$11</f>
        <v>1.705815142940884E-3</v>
      </c>
      <c r="KC12">
        <f t="shared" ref="KC12" si="773">KC11/$T$11</f>
        <v>1.7186167126286812E-3</v>
      </c>
      <c r="KD12">
        <f t="shared" ref="KD12" si="774">KD11/$T$11</f>
        <v>1.7314661386517601E-3</v>
      </c>
      <c r="KE12">
        <f t="shared" ref="KE12" si="775">KE11/$T$11</f>
        <v>1.7443634210101203E-3</v>
      </c>
      <c r="KF12">
        <f t="shared" ref="KF12" si="776">KF11/$T$11</f>
        <v>1.757308559703762E-3</v>
      </c>
      <c r="KG12">
        <f t="shared" ref="KG12" si="777">KG11/$T$11</f>
        <v>1.7703015547326851E-3</v>
      </c>
      <c r="KH12">
        <f t="shared" ref="KH12" si="778">KH11/$T$11</f>
        <v>1.7833424060968901E-3</v>
      </c>
      <c r="KI12">
        <f t="shared" ref="KI12" si="779">KI11/$T$11</f>
        <v>1.7964311137963762E-3</v>
      </c>
      <c r="KJ12">
        <f t="shared" ref="KJ12" si="780">KJ11/$T$11</f>
        <v>1.8095676778311436E-3</v>
      </c>
      <c r="KK12">
        <f t="shared" ref="KK12" si="781">KK11/$T$11</f>
        <v>1.822752098201193E-3</v>
      </c>
      <c r="KL12">
        <f t="shared" ref="KL12" si="782">KL11/$T$11</f>
        <v>1.8359843749065239E-3</v>
      </c>
      <c r="KM12">
        <f t="shared" ref="KM12" si="783">KM11/$T$11</f>
        <v>1.8492645079471359E-3</v>
      </c>
      <c r="KN12">
        <f t="shared" ref="KN12" si="784">KN11/$T$11</f>
        <v>1.8625924973230293E-3</v>
      </c>
      <c r="KO12">
        <f t="shared" ref="KO12" si="785">KO11/$T$11</f>
        <v>1.8759683430342048E-3</v>
      </c>
      <c r="KP12">
        <f t="shared" ref="KP12" si="786">KP11/$T$11</f>
        <v>1.8893920450806611E-3</v>
      </c>
      <c r="KQ12">
        <f t="shared" ref="KQ12" si="787">KQ11/$T$11</f>
        <v>1.9028636034623995E-3</v>
      </c>
      <c r="KR12">
        <f t="shared" ref="KR12" si="788">KR11/$T$11</f>
        <v>1.9163830181794189E-3</v>
      </c>
      <c r="KS12">
        <f t="shared" ref="KS12" si="789">KS11/$T$11</f>
        <v>1.9299502892317199E-3</v>
      </c>
      <c r="KT12">
        <f t="shared" ref="KT12" si="790">KT11/$T$11</f>
        <v>1.9435654166193026E-3</v>
      </c>
      <c r="KU12">
        <f t="shared" ref="KU12" si="791">KU11/$T$11</f>
        <v>1.9572284003421666E-3</v>
      </c>
      <c r="KV12">
        <f t="shared" ref="KV12" si="792">KV11/$T$11</f>
        <v>1.9709392404003122E-3</v>
      </c>
      <c r="KW12">
        <f t="shared" ref="KW12" si="793">KW11/$T$11</f>
        <v>1.9846979367937395E-3</v>
      </c>
      <c r="KX12">
        <f t="shared" ref="KX12" si="794">KX11/$T$11</f>
        <v>1.9985044895224477E-3</v>
      </c>
      <c r="KY12">
        <f t="shared" ref="KY12" si="795">KY11/$T$11</f>
        <v>2.0123588985864376E-3</v>
      </c>
      <c r="KZ12">
        <f t="shared" ref="KZ12" si="796">KZ11/$T$11</f>
        <v>2.0262611639857092E-3</v>
      </c>
      <c r="LA12">
        <f t="shared" ref="LA12" si="797">LA11/$T$11</f>
        <v>2.0402112857202627E-3</v>
      </c>
      <c r="LB12">
        <f t="shared" ref="LB12" si="798">LB11/$T$11</f>
        <v>2.0542092637900965E-3</v>
      </c>
      <c r="LC12">
        <f t="shared" ref="LC12" si="799">LC11/$T$11</f>
        <v>2.0682550981952126E-3</v>
      </c>
      <c r="LD12">
        <f t="shared" ref="LD12" si="800">LD11/$T$11</f>
        <v>2.0823487889356099E-3</v>
      </c>
      <c r="LE12">
        <f t="shared" ref="LE12" si="801">LE11/$T$11</f>
        <v>2.096490336011289E-3</v>
      </c>
      <c r="LF12">
        <f t="shared" ref="LF12" si="802">LF11/$T$11</f>
        <v>2.1106797394222494E-3</v>
      </c>
      <c r="LG12">
        <f t="shared" ref="LG12" si="803">LG11/$T$11</f>
        <v>2.1249169991684911E-3</v>
      </c>
      <c r="LH12">
        <f t="shared" ref="LH12" si="804">LH11/$T$11</f>
        <v>2.1392021152500146E-3</v>
      </c>
      <c r="LI12">
        <f t="shared" ref="LI12" si="805">LI11/$T$11</f>
        <v>2.1535350876668189E-3</v>
      </c>
      <c r="LJ12">
        <f t="shared" ref="LJ12" si="806">LJ11/$T$11</f>
        <v>2.1679159164189059E-3</v>
      </c>
      <c r="LK12">
        <f t="shared" ref="LK12" si="807">LK11/$T$11</f>
        <v>2.1823446015062733E-3</v>
      </c>
      <c r="LL12">
        <f t="shared" ref="LL12" si="808">LL11/$T$11</f>
        <v>2.1968211429289224E-3</v>
      </c>
      <c r="LM12">
        <f t="shared" ref="LM12" si="809">LM11/$T$11</f>
        <v>2.2113455406868538E-3</v>
      </c>
      <c r="LN12">
        <f t="shared" ref="LN12" si="810">LN11/$T$11</f>
        <v>2.225917794780066E-3</v>
      </c>
      <c r="LO12">
        <f t="shared" ref="LO12" si="811">LO11/$T$11</f>
        <v>2.2405379052085595E-3</v>
      </c>
      <c r="LP12">
        <f t="shared" ref="LP12" si="812">LP11/$T$11</f>
        <v>2.2552058719723352E-3</v>
      </c>
      <c r="LQ12">
        <f t="shared" ref="LQ12" si="813">LQ11/$T$11</f>
        <v>2.2699216950713913E-3</v>
      </c>
      <c r="LR12">
        <f t="shared" ref="LR12" si="814">LR11/$T$11</f>
        <v>2.2846853745057297E-3</v>
      </c>
      <c r="LS12">
        <f t="shared" ref="LS12" si="815">LS11/$T$11</f>
        <v>2.2994969102753497E-3</v>
      </c>
      <c r="LT12">
        <f t="shared" ref="LT12" si="816">LT11/$T$11</f>
        <v>2.3143563023802511E-3</v>
      </c>
      <c r="LU12">
        <f t="shared" ref="LU12" si="817">LU11/$T$11</f>
        <v>2.3292635508204338E-3</v>
      </c>
      <c r="LV12">
        <f t="shared" ref="LV12" si="818">LV11/$T$11</f>
        <v>2.3442186555958978E-3</v>
      </c>
      <c r="LW12">
        <f t="shared" ref="LW12" si="819">LW11/$T$11</f>
        <v>2.3592216167066431E-3</v>
      </c>
      <c r="LX12">
        <f t="shared" ref="LX12" si="820">LX11/$T$11</f>
        <v>2.3742724341526702E-3</v>
      </c>
      <c r="LY12">
        <f t="shared" ref="LY12" si="821">LY11/$T$11</f>
        <v>2.389371107933979E-3</v>
      </c>
      <c r="LZ12">
        <f t="shared" ref="LZ12" si="822">LZ11/$T$11</f>
        <v>2.4045176380505691E-3</v>
      </c>
      <c r="MA12">
        <f t="shared" ref="MA12" si="823">MA11/$T$11</f>
        <v>2.4197120245024405E-3</v>
      </c>
      <c r="MB12">
        <f t="shared" ref="MB12" si="824">MB11/$T$11</f>
        <v>2.4349542672895937E-3</v>
      </c>
      <c r="MC12">
        <f t="shared" ref="MC12" si="825">MC11/$T$11</f>
        <v>2.4502443664120286E-3</v>
      </c>
      <c r="MD12">
        <f t="shared" ref="MD12" si="826">MD11/$T$11</f>
        <v>2.4655823218697444E-3</v>
      </c>
      <c r="ME12">
        <f t="shared" ref="ME12" si="827">ME11/$T$11</f>
        <v>2.480968133662742E-3</v>
      </c>
      <c r="MF12">
        <f t="shared" ref="MF12" si="828">MF11/$T$11</f>
        <v>2.4964018017910208E-3</v>
      </c>
      <c r="MG12">
        <f t="shared" ref="MG12" si="829">MG11/$T$11</f>
        <v>2.5118833262545814E-3</v>
      </c>
      <c r="MH12">
        <f t="shared" ref="MH12" si="830">MH11/$T$11</f>
        <v>2.5274127070534238E-3</v>
      </c>
      <c r="MI12">
        <f t="shared" ref="MI12" si="831">MI11/$T$11</f>
        <v>2.5429899441875466E-3</v>
      </c>
      <c r="MJ12">
        <f t="shared" ref="MJ12" si="832">MJ11/$T$11</f>
        <v>2.5586150376569515E-3</v>
      </c>
      <c r="MK12">
        <f t="shared" ref="MK12" si="833">MK11/$T$11</f>
        <v>2.5742879874616387E-3</v>
      </c>
      <c r="ML12">
        <f t="shared" ref="ML12" si="834">ML11/$T$11</f>
        <v>2.5900087936016063E-3</v>
      </c>
      <c r="MM12">
        <f t="shared" ref="MM12" si="835">MM11/$T$11</f>
        <v>2.6057774560768561E-3</v>
      </c>
      <c r="MN12">
        <f t="shared" ref="MN12" si="836">MN11/$T$11</f>
        <v>2.6215939748873867E-3</v>
      </c>
      <c r="MO12">
        <f t="shared" ref="MO12" si="837">MO11/$T$11</f>
        <v>2.6374583500331991E-3</v>
      </c>
      <c r="MP12">
        <f t="shared" ref="MP12" si="838">MP11/$T$11</f>
        <v>2.6533705815142928E-3</v>
      </c>
      <c r="MQ12">
        <f t="shared" ref="MQ12" si="839">MQ11/$T$11</f>
        <v>2.6693306693306679E-3</v>
      </c>
      <c r="MR12">
        <f t="shared" ref="MR12" si="840">MR11/$T$11</f>
        <v>2.6853386134823251E-3</v>
      </c>
      <c r="MS12">
        <f t="shared" ref="MS12" si="841">MS11/$T$11</f>
        <v>2.7013944139692631E-3</v>
      </c>
      <c r="MT12">
        <f t="shared" ref="MT12" si="842">MT11/$T$11</f>
        <v>2.7174980707914834E-3</v>
      </c>
      <c r="MU12">
        <f t="shared" ref="MU12" si="843">MU11/$T$11</f>
        <v>2.7336495839489845E-3</v>
      </c>
      <c r="MV12">
        <f t="shared" ref="MV12" si="844">MV11/$T$11</f>
        <v>2.7498489534417674E-3</v>
      </c>
      <c r="MW12">
        <f t="shared" ref="MW12" si="845">MW11/$T$11</f>
        <v>2.7660961792698321E-3</v>
      </c>
      <c r="MX12">
        <f t="shared" ref="MX12" si="846">MX11/$T$11</f>
        <v>2.7823912614331776E-3</v>
      </c>
      <c r="MY12">
        <f t="shared" ref="MY12" si="847">MY11/$T$11</f>
        <v>2.7987341999318048E-3</v>
      </c>
      <c r="MZ12">
        <f t="shared" ref="MZ12" si="848">MZ11/$T$11</f>
        <v>2.8151249947657138E-3</v>
      </c>
      <c r="NA12">
        <f t="shared" ref="NA12" si="849">NA11/$T$11</f>
        <v>2.8315636459349041E-3</v>
      </c>
      <c r="NB12">
        <f t="shared" ref="NB12" si="850">NB11/$T$11</f>
        <v>2.8480501534393753E-3</v>
      </c>
      <c r="NC12">
        <f t="shared" ref="NC12" si="851">NC11/$T$11</f>
        <v>2.8645845172791287E-3</v>
      </c>
      <c r="ND12">
        <f t="shared" ref="ND12" si="852">ND11/$T$11</f>
        <v>2.8811667374541629E-3</v>
      </c>
      <c r="NE12">
        <f t="shared" ref="NE12" si="853">NE11/$T$11</f>
        <v>2.8977968139644794E-3</v>
      </c>
      <c r="NF12">
        <f t="shared" ref="NF12" si="854">NF11/$T$11</f>
        <v>2.9144747468100771E-3</v>
      </c>
      <c r="NG12">
        <f t="shared" ref="NG12" si="855">NG11/$T$11</f>
        <v>2.9312005359909562E-3</v>
      </c>
      <c r="NH12">
        <f t="shared" ref="NH12" si="856">NH11/$T$11</f>
        <v>2.947974181507117E-3</v>
      </c>
      <c r="NI12">
        <f t="shared" ref="NI12" si="857">NI11/$T$11</f>
        <v>2.9647956833585586E-3</v>
      </c>
      <c r="NJ12">
        <f t="shared" ref="NJ12" si="858">NJ11/$T$11</f>
        <v>2.9816650415452825E-3</v>
      </c>
      <c r="NK12">
        <f t="shared" ref="NK12" si="859">NK11/$T$11</f>
        <v>2.9985822560672877E-3</v>
      </c>
      <c r="NL12">
        <f t="shared" ref="NL12" si="860">NL11/$T$11</f>
        <v>3.0155473269245742E-3</v>
      </c>
      <c r="NM12">
        <f t="shared" ref="NM12" si="861">NM11/$T$11</f>
        <v>3.0325602541171419E-3</v>
      </c>
      <c r="NN12">
        <f t="shared" ref="NN12" si="862">NN11/$T$11</f>
        <v>3.0496210376449915E-3</v>
      </c>
      <c r="NO12">
        <f t="shared" ref="NO12" si="863">NO11/$T$11</f>
        <v>3.0667296775081232E-3</v>
      </c>
      <c r="NP12">
        <f t="shared" ref="NP12" si="864">NP11/$T$11</f>
        <v>3.0838861737065354E-3</v>
      </c>
      <c r="NQ12">
        <f t="shared" ref="NQ12" si="865">NQ11/$T$11</f>
        <v>3.1010905262402288E-3</v>
      </c>
      <c r="NR12">
        <f t="shared" ref="NR12" si="866">NR11/$T$11</f>
        <v>3.1183427351092049E-3</v>
      </c>
      <c r="NS12">
        <f t="shared" ref="NS12" si="867">NS11/$T$11</f>
        <v>3.1356428003134619E-3</v>
      </c>
      <c r="NT12">
        <f t="shared" ref="NT12" si="868">NT11/$T$11</f>
        <v>3.1529907218530002E-3</v>
      </c>
      <c r="NU12">
        <f t="shared" ref="NU12" si="869">NU11/$T$11</f>
        <v>3.1703864997278202E-3</v>
      </c>
      <c r="NV12">
        <f t="shared" ref="NV12" si="870">NV11/$T$11</f>
        <v>3.1878301339379215E-3</v>
      </c>
      <c r="NW12">
        <f t="shared" ref="NW12" si="871">NW11/$T$11</f>
        <v>3.2053216244833042E-3</v>
      </c>
      <c r="NX12">
        <f t="shared" ref="NX12" si="872">NX11/$T$11</f>
        <v>3.2228609713639686E-3</v>
      </c>
      <c r="NY12">
        <f t="shared" ref="NY12" si="873">NY11/$T$11</f>
        <v>3.2404481745799143E-3</v>
      </c>
      <c r="NZ12">
        <f t="shared" ref="NZ12" si="874">NZ11/$T$11</f>
        <v>3.2580832341311422E-3</v>
      </c>
      <c r="OA12">
        <f t="shared" ref="OA12" si="875">OA11/$T$11</f>
        <v>3.2757661500176509E-3</v>
      </c>
      <c r="OB12">
        <f t="shared" ref="OB12" si="876">OB11/$T$11</f>
        <v>3.2934969222394414E-3</v>
      </c>
      <c r="OC12">
        <f t="shared" ref="OC12" si="877">OC11/$T$11</f>
        <v>3.3112755507965128E-3</v>
      </c>
      <c r="OD12">
        <f t="shared" ref="OD12" si="878">OD11/$T$11</f>
        <v>3.3291020356888659E-3</v>
      </c>
      <c r="OE12">
        <f t="shared" ref="OE12" si="879">OE11/$T$11</f>
        <v>3.3469763769165008E-3</v>
      </c>
      <c r="OF12">
        <f t="shared" ref="OF12" si="880">OF11/$T$11</f>
        <v>3.3648985744794174E-3</v>
      </c>
      <c r="OG12">
        <f t="shared" ref="OG12" si="881">OG11/$T$11</f>
        <v>3.3828686283776149E-3</v>
      </c>
      <c r="OH12">
        <f t="shared" ref="OH12" si="882">OH11/$T$11</f>
        <v>3.4008865386110938E-3</v>
      </c>
      <c r="OI12">
        <f t="shared" ref="OI12" si="883">OI11/$T$11</f>
        <v>3.4189523051798548E-3</v>
      </c>
      <c r="OJ12">
        <f t="shared" ref="OJ12" si="884">OJ11/$T$11</f>
        <v>3.4370659280838971E-3</v>
      </c>
      <c r="OK12">
        <f t="shared" ref="OK12" si="885">OK11/$T$11</f>
        <v>3.4552274073232207E-3</v>
      </c>
      <c r="OL12">
        <f t="shared" ref="OL12" si="886">OL11/$T$11</f>
        <v>3.473436742897826E-3</v>
      </c>
      <c r="OM12">
        <f t="shared" ref="OM12" si="887">OM11/$T$11</f>
        <v>3.4916939348077131E-3</v>
      </c>
      <c r="ON12">
        <f t="shared" ref="ON12" si="888">ON11/$T$11</f>
        <v>3.5099989830528807E-3</v>
      </c>
      <c r="OO12">
        <f t="shared" ref="OO12" si="889">OO11/$T$11</f>
        <v>3.5283518876333309E-3</v>
      </c>
      <c r="OP12">
        <f t="shared" ref="OP12" si="890">OP11/$T$11</f>
        <v>3.5467526485490619E-3</v>
      </c>
      <c r="OQ12">
        <f t="shared" ref="OQ12" si="891">OQ11/$T$11</f>
        <v>3.5652012658000743E-3</v>
      </c>
      <c r="OR12">
        <f t="shared" ref="OR12" si="892">OR11/$T$11</f>
        <v>3.5836977393863688E-3</v>
      </c>
      <c r="OS12">
        <f t="shared" ref="OS12" si="893">OS11/$T$11</f>
        <v>3.6022420693079442E-3</v>
      </c>
      <c r="OT12">
        <f t="shared" ref="OT12" si="894">OT11/$T$11</f>
        <v>3.6208342555648018E-3</v>
      </c>
      <c r="OU12">
        <f t="shared" ref="OU12" si="895">OU11/$T$11</f>
        <v>3.6394742981569399E-3</v>
      </c>
      <c r="OV12">
        <f t="shared" ref="OV12" si="896">OV11/$T$11</f>
        <v>3.6581621970843592E-3</v>
      </c>
      <c r="OW12">
        <f t="shared" ref="OW12" si="897">OW11/$T$11</f>
        <v>3.6768979523470616E-3</v>
      </c>
      <c r="OX12">
        <f t="shared" ref="OX12" si="898">OX11/$T$11</f>
        <v>3.6956815639450449E-3</v>
      </c>
      <c r="OY12">
        <f t="shared" ref="OY12" si="899">OY11/$T$11</f>
        <v>3.714513031878309E-3</v>
      </c>
      <c r="OZ12">
        <f t="shared" ref="OZ12" si="900">OZ11/$T$11</f>
        <v>3.7333923561468549E-3</v>
      </c>
      <c r="PA12">
        <f t="shared" ref="PA12" si="901">PA11/$T$11</f>
        <v>3.7523195367506826E-3</v>
      </c>
      <c r="PB12">
        <f t="shared" ref="PB12" si="902">PB11/$T$11</f>
        <v>3.7712945736897911E-3</v>
      </c>
      <c r="PC12">
        <f t="shared" ref="PC12" si="903">PC11/$T$11</f>
        <v>3.7903174669641818E-3</v>
      </c>
      <c r="PD12">
        <f t="shared" ref="PD12" si="904">PD11/$T$11</f>
        <v>3.8093882165738538E-3</v>
      </c>
      <c r="PE12">
        <f t="shared" ref="PE12" si="905">PE11/$T$11</f>
        <v>3.8285068225188072E-3</v>
      </c>
      <c r="PF12">
        <f t="shared" ref="PF12" si="906">PF11/$T$11</f>
        <v>3.8476732847990427E-3</v>
      </c>
      <c r="PG12">
        <f t="shared" ref="PG12" si="907">PG11/$T$11</f>
        <v>3.8668876034145586E-3</v>
      </c>
      <c r="PH12">
        <f t="shared" ref="PH12" si="908">PH11/$T$11</f>
        <v>3.8861497783653567E-3</v>
      </c>
      <c r="PI12">
        <f t="shared" ref="PI12" si="909">PI11/$T$11</f>
        <v>3.9054598096514358E-3</v>
      </c>
      <c r="PJ12">
        <f t="shared" ref="PJ12" si="910">PJ11/$T$11</f>
        <v>3.9248176972727965E-3</v>
      </c>
      <c r="PK12">
        <f t="shared" ref="PK12" si="911">PK11/$T$11</f>
        <v>3.9442234412294386E-3</v>
      </c>
      <c r="PL12">
        <f t="shared" ref="PL12" si="912">PL11/$T$11</f>
        <v>3.9636770415213624E-3</v>
      </c>
      <c r="PM12">
        <f t="shared" ref="PM12" si="913">PM11/$T$11</f>
        <v>3.9831784981485679E-3</v>
      </c>
      <c r="PN12">
        <f t="shared" ref="PN12" si="914">PN11/$T$11</f>
        <v>4.0027278111110544E-3</v>
      </c>
      <c r="PO12">
        <f t="shared" ref="PO12" si="915">PO11/$T$11</f>
        <v>4.0223249804088234E-3</v>
      </c>
      <c r="PP12">
        <f t="shared" ref="PP12" si="916">PP11/$T$11</f>
        <v>4.0419700060418725E-3</v>
      </c>
      <c r="PQ12">
        <f t="shared" ref="PQ12" si="917">PQ11/$T$11</f>
        <v>4.0616628880102042E-3</v>
      </c>
      <c r="PR12">
        <f t="shared" ref="PR12" si="918">PR11/$T$11</f>
        <v>4.0814036263138167E-3</v>
      </c>
      <c r="PS12">
        <f t="shared" ref="PS12" si="919">PS11/$T$11</f>
        <v>4.101192220952711E-3</v>
      </c>
      <c r="PT12">
        <f t="shared" ref="PT12" si="920">PT11/$T$11</f>
        <v>4.1210286719268871E-3</v>
      </c>
      <c r="PU12">
        <f t="shared" ref="PU12" si="921">PU11/$T$11</f>
        <v>4.140912979236344E-3</v>
      </c>
      <c r="PV12">
        <f t="shared" ref="PV12" si="922">PV11/$T$11</f>
        <v>4.1608451428810827E-3</v>
      </c>
      <c r="PW12">
        <f t="shared" ref="PW12" si="923">PW11/$T$11</f>
        <v>4.1808251628611031E-3</v>
      </c>
      <c r="PX12">
        <f t="shared" ref="PX12" si="924">PX11/$T$11</f>
        <v>4.2008530391764044E-3</v>
      </c>
      <c r="PY12">
        <f t="shared" ref="PY12" si="925">PY11/$T$11</f>
        <v>4.2209287718269874E-3</v>
      </c>
      <c r="PZ12">
        <f t="shared" ref="PZ12" si="926">PZ11/$T$11</f>
        <v>4.2410523608128522E-3</v>
      </c>
      <c r="QA12">
        <f t="shared" ref="QA12" si="927">QA11/$T$11</f>
        <v>4.2612238061339987E-3</v>
      </c>
      <c r="QB12">
        <f t="shared" ref="QB12" si="928">QB11/$T$11</f>
        <v>4.2814431077904253E-3</v>
      </c>
      <c r="QC12">
        <f t="shared" ref="QC12" si="929">QC11/$T$11</f>
        <v>4.3017102657821344E-3</v>
      </c>
      <c r="QD12">
        <f t="shared" ref="QD12" si="930">QD11/$T$11</f>
        <v>4.3220252801091253E-3</v>
      </c>
      <c r="QE12">
        <f t="shared" ref="QE12" si="931">QE11/$T$11</f>
        <v>4.3423881507713979E-3</v>
      </c>
      <c r="QF12">
        <f t="shared" ref="QF12" si="932">QF11/$T$11</f>
        <v>4.3627988777689515E-3</v>
      </c>
      <c r="QG12">
        <f t="shared" ref="QG12" si="933">QG11/$T$11</f>
        <v>4.3832574611017859E-3</v>
      </c>
      <c r="QH12">
        <f t="shared" ref="QH12" si="934">QH11/$T$11</f>
        <v>4.4037639007699029E-3</v>
      </c>
      <c r="QI12">
        <f t="shared" ref="QI12" si="935">QI11/$T$11</f>
        <v>4.4243181967733008E-3</v>
      </c>
      <c r="QJ12">
        <f t="shared" ref="QJ12" si="936">QJ11/$T$11</f>
        <v>4.4449203491119796E-3</v>
      </c>
      <c r="QK12">
        <f t="shared" ref="QK12" si="937">QK11/$T$11</f>
        <v>4.4655703577859418E-3</v>
      </c>
      <c r="QL12">
        <f t="shared" ref="QL12" si="938">QL11/$T$11</f>
        <v>4.4862682227951841E-3</v>
      </c>
      <c r="QM12">
        <f t="shared" ref="QM12" si="939">QM11/$T$11</f>
        <v>4.5070139441397072E-3</v>
      </c>
      <c r="QN12">
        <f t="shared" ref="QN12" si="940">QN11/$T$11</f>
        <v>4.527807521819513E-3</v>
      </c>
      <c r="QO12">
        <f t="shared" ref="QO12" si="941">QO11/$T$11</f>
        <v>4.5486489558345996E-3</v>
      </c>
      <c r="QP12">
        <f t="shared" ref="QP12" si="942">QP11/$T$11</f>
        <v>4.569538246184968E-3</v>
      </c>
      <c r="QQ12">
        <f t="shared" ref="QQ12" si="943">QQ11/$T$11</f>
        <v>4.590475392870619E-3</v>
      </c>
      <c r="QR12">
        <f t="shared" ref="QR12" si="944">QR11/$T$11</f>
        <v>4.6114603958915491E-3</v>
      </c>
      <c r="QS12">
        <f t="shared" ref="QS12" si="945">QS11/$T$11</f>
        <v>4.6324932552477627E-3</v>
      </c>
      <c r="QT12">
        <f t="shared" ref="QT12" si="946">QT11/$T$11</f>
        <v>4.6535739709392563E-3</v>
      </c>
      <c r="QU12">
        <f t="shared" ref="QU12" si="947">QU11/$T$11</f>
        <v>4.6747025429660326E-3</v>
      </c>
      <c r="QV12">
        <f t="shared" ref="QV12" si="948">QV11/$T$11</f>
        <v>4.6958789713280897E-3</v>
      </c>
      <c r="QW12">
        <f t="shared" ref="QW12" si="949">QW11/$T$11</f>
        <v>4.7171032560254286E-3</v>
      </c>
      <c r="QX12">
        <f t="shared" ref="QX12" si="950">QX11/$T$11</f>
        <v>4.7383753970580492E-3</v>
      </c>
      <c r="QY12">
        <f t="shared" ref="QY12" si="951">QY11/$T$11</f>
        <v>4.7596953944259507E-3</v>
      </c>
      <c r="QZ12">
        <f t="shared" ref="QZ12" si="952">QZ11/$T$11</f>
        <v>4.7810632481291339E-3</v>
      </c>
      <c r="RA12">
        <f t="shared" ref="RA12" si="953">RA11/$T$11</f>
        <v>4.8024789581675989E-3</v>
      </c>
      <c r="RB12">
        <f t="shared" ref="RB12" si="954">RB11/$T$11</f>
        <v>4.8239425245413447E-3</v>
      </c>
      <c r="RC12">
        <f t="shared" ref="RC12" si="955">RC11/$T$11</f>
        <v>4.8454539472503723E-3</v>
      </c>
      <c r="RD12">
        <f t="shared" ref="RD12" si="956">RD11/$T$11</f>
        <v>4.8670132262946817E-3</v>
      </c>
      <c r="RE12">
        <f t="shared" ref="RE12" si="957">RE11/$T$11</f>
        <v>4.8886203616742719E-3</v>
      </c>
      <c r="RF12">
        <f t="shared" ref="RF12" si="958">RF11/$T$11</f>
        <v>4.9102753533891439E-3</v>
      </c>
      <c r="RG12">
        <f t="shared" ref="RG12" si="959">RG11/$T$11</f>
        <v>4.9319782014392985E-3</v>
      </c>
      <c r="RH12">
        <f t="shared" ref="RH12" si="960">RH11/$T$11</f>
        <v>4.9537289058247331E-3</v>
      </c>
      <c r="RI12">
        <f t="shared" ref="RI12" si="961">RI11/$T$11</f>
        <v>4.9755274665454503E-3</v>
      </c>
      <c r="RJ12">
        <f t="shared" ref="RJ12" si="962">RJ11/$T$11</f>
        <v>4.9973738836014484E-3</v>
      </c>
      <c r="RK12">
        <f t="shared" ref="RK12" si="963">RK11/$T$11</f>
        <v>5.0192681569927282E-3</v>
      </c>
      <c r="RL12">
        <f t="shared" ref="RL12" si="964">RL11/$T$11</f>
        <v>5.041210286719288E-3</v>
      </c>
      <c r="RM12">
        <f t="shared" ref="RM12" si="965">RM11/$T$11</f>
        <v>5.0632002727811322E-3</v>
      </c>
      <c r="RN12">
        <f t="shared" ref="RN12" si="966">RN11/$T$11</f>
        <v>5.0852381151782556E-3</v>
      </c>
      <c r="RO12">
        <f t="shared" ref="RO12" si="967">RO11/$T$11</f>
        <v>5.1073238139106606E-3</v>
      </c>
      <c r="RP12">
        <f t="shared" ref="RP12" si="968">RP11/$T$11</f>
        <v>5.1294573689783483E-3</v>
      </c>
      <c r="RQ12">
        <f t="shared" ref="RQ12" si="969">RQ11/$T$11</f>
        <v>5.151638780381316E-3</v>
      </c>
      <c r="RR12">
        <f t="shared" ref="RR12" si="970">RR11/$T$11</f>
        <v>5.1738680481195672E-3</v>
      </c>
      <c r="RS12">
        <f t="shared" ref="RS12" si="971">RS11/$T$11</f>
        <v>5.1961451721930993E-3</v>
      </c>
      <c r="RT12">
        <f t="shared" ref="RT12" si="972">RT11/$T$11</f>
        <v>5.2184701526019105E-3</v>
      </c>
      <c r="RU12">
        <f t="shared" ref="RU12" si="973">RU11/$T$11</f>
        <v>5.2408429893460052E-3</v>
      </c>
      <c r="RV12">
        <f t="shared" ref="RV12" si="974">RV11/$T$11</f>
        <v>5.2632636824253825E-3</v>
      </c>
      <c r="RW12">
        <f t="shared" ref="RW12" si="975">RW11/$T$11</f>
        <v>5.2857322318400381E-3</v>
      </c>
      <c r="RX12">
        <f t="shared" ref="RX12" si="976">RX11/$T$11</f>
        <v>5.308248637589978E-3</v>
      </c>
      <c r="RY12">
        <f t="shared" ref="RY12" si="977">RY11/$T$11</f>
        <v>5.3308128996751979E-3</v>
      </c>
      <c r="RZ12">
        <f t="shared" ref="RZ12" si="978">RZ11/$T$11</f>
        <v>5.3534250180957005E-3</v>
      </c>
      <c r="SA12">
        <f t="shared" ref="SA12" si="979">SA11/$T$11</f>
        <v>5.3760849928514839E-3</v>
      </c>
      <c r="SB12">
        <f t="shared" ref="SB12" si="980">SB11/$T$11</f>
        <v>5.3987928239425482E-3</v>
      </c>
      <c r="SC12">
        <f t="shared" ref="SC12" si="981">SC11/$T$11</f>
        <v>5.4215485113688951E-3</v>
      </c>
      <c r="SD12">
        <f t="shared" ref="SD12" si="982">SD11/$T$11</f>
        <v>5.4443520551305229E-3</v>
      </c>
      <c r="SE12">
        <f t="shared" ref="SE12" si="983">SE11/$T$11</f>
        <v>5.4672034552274316E-3</v>
      </c>
      <c r="SF12">
        <f t="shared" ref="SF12" si="984">SF11/$T$11</f>
        <v>5.490102711659622E-3</v>
      </c>
      <c r="SG12">
        <f t="shared" ref="SG12" si="985">SG11/$T$11</f>
        <v>5.5130498244270951E-3</v>
      </c>
      <c r="SH12">
        <f t="shared" ref="SH12" si="986">SH11/$T$11</f>
        <v>5.5360447935298481E-3</v>
      </c>
      <c r="SI12">
        <f t="shared" ref="SI12" si="987">SI11/$T$11</f>
        <v>5.5590876189678829E-3</v>
      </c>
      <c r="SJ12">
        <f t="shared" ref="SJ12" si="988">SJ11/$T$11</f>
        <v>5.5821783007412003E-3</v>
      </c>
      <c r="SK12">
        <f t="shared" ref="SK12" si="989">SK11/$T$11</f>
        <v>5.6053168388497986E-3</v>
      </c>
      <c r="SL12">
        <f t="shared" ref="SL12" si="990">SL11/$T$11</f>
        <v>5.6285032332936786E-3</v>
      </c>
      <c r="SM12">
        <f t="shared" ref="SM12" si="991">SM11/$T$11</f>
        <v>5.6517374840728395E-3</v>
      </c>
      <c r="SN12">
        <f t="shared" ref="SN12" si="992">SN11/$T$11</f>
        <v>5.6750195911872822E-3</v>
      </c>
      <c r="SO12">
        <f t="shared" ref="SO12" si="993">SO11/$T$11</f>
        <v>5.6983495546370075E-3</v>
      </c>
      <c r="SP12">
        <f t="shared" ref="SP12" si="994">SP11/$T$11</f>
        <v>5.7217273744220119E-3</v>
      </c>
      <c r="SQ12">
        <f t="shared" ref="SQ12" si="995">SQ11/$T$11</f>
        <v>5.7451530505422989E-3</v>
      </c>
      <c r="SR12">
        <f t="shared" ref="SR12" si="996">SR11/$T$11</f>
        <v>5.7686265829978677E-3</v>
      </c>
      <c r="SS12">
        <f t="shared" ref="SS12" si="997">SS11/$T$11</f>
        <v>5.7921479717887173E-3</v>
      </c>
      <c r="ST12">
        <f t="shared" ref="ST12" si="998">ST11/$T$11</f>
        <v>5.8157172169148496E-3</v>
      </c>
      <c r="SU12">
        <f t="shared" ref="SU12" si="999">SU11/$T$11</f>
        <v>5.8393343183762627E-3</v>
      </c>
      <c r="SV12">
        <f t="shared" ref="SV12" si="1000">SV11/$T$11</f>
        <v>5.8629992761729567E-3</v>
      </c>
      <c r="SW12">
        <f t="shared" ref="SW12" si="1001">SW11/$T$11</f>
        <v>5.8867120903049333E-3</v>
      </c>
      <c r="SX12">
        <f t="shared" ref="SX12" si="1002">SX11/$T$11</f>
        <v>5.9104727607721909E-3</v>
      </c>
      <c r="SY12">
        <f t="shared" ref="SY12" si="1003">SY11/$T$11</f>
        <v>5.9342812875747301E-3</v>
      </c>
      <c r="SZ12">
        <f t="shared" ref="SZ12" si="1004">SZ11/$T$11</f>
        <v>5.9581376707125511E-3</v>
      </c>
      <c r="TA12">
        <f t="shared" ref="TA12" si="1005">TA11/$T$11</f>
        <v>5.9820419101856521E-3</v>
      </c>
    </row>
    <row r="13" spans="1:521" x14ac:dyDescent="0.3">
      <c r="A13" s="4" t="s">
        <v>270</v>
      </c>
      <c r="B13" s="17">
        <v>50</v>
      </c>
      <c r="C13" s="17">
        <v>2</v>
      </c>
      <c r="D13" s="49"/>
      <c r="E13" s="4"/>
      <c r="F13" s="17"/>
      <c r="G13" s="17"/>
      <c r="H13" s="49"/>
      <c r="I13" s="4" t="s">
        <v>314</v>
      </c>
      <c r="J13" s="17">
        <v>125</v>
      </c>
      <c r="K13" s="17">
        <v>1</v>
      </c>
      <c r="S13" t="s">
        <v>916</v>
      </c>
      <c r="T13">
        <f>SUM(V13:TA13)</f>
        <v>37.537462537462844</v>
      </c>
      <c r="U13" t="s">
        <v>914</v>
      </c>
      <c r="V13">
        <f>V12*V10</f>
        <v>2.392816764074219E-9</v>
      </c>
      <c r="W13">
        <f t="shared" ref="W13" si="1006">W12*W10</f>
        <v>1.9142534112593752E-8</v>
      </c>
      <c r="X13">
        <f t="shared" ref="X13" si="1007">X12*X10</f>
        <v>6.4606052630003935E-8</v>
      </c>
      <c r="Y13">
        <f t="shared" ref="Y13" si="1008">Y12*Y10</f>
        <v>1.5314027290075002E-7</v>
      </c>
      <c r="Z13">
        <f t="shared" ref="Z13" si="1009">Z12*Z10</f>
        <v>2.9910209550927734E-7</v>
      </c>
      <c r="AA13">
        <f t="shared" ref="AA13" si="1010">AA12*AA10</f>
        <v>5.1684842104003127E-7</v>
      </c>
      <c r="AB13">
        <f t="shared" ref="AB13" si="1011">AB12*AB10</f>
        <v>8.2073615007745681E-7</v>
      </c>
      <c r="AC13">
        <f t="shared" ref="AC13" si="1012">AC12*AC10</f>
        <v>1.2251221832059997E-6</v>
      </c>
      <c r="AD13">
        <f t="shared" ref="AD13" si="1013">AD12*AD10</f>
        <v>1.7443634210101048E-6</v>
      </c>
      <c r="AE13">
        <f t="shared" ref="AE13" si="1014">AE12*AE10</f>
        <v>2.3928167640742179E-6</v>
      </c>
      <c r="AF13">
        <f t="shared" ref="AF13" si="1015">AF12*AF10</f>
        <v>3.1848391129827844E-6</v>
      </c>
      <c r="AG13">
        <f t="shared" ref="AG13" si="1016">AG12*AG10</f>
        <v>4.1347873683202502E-6</v>
      </c>
      <c r="AH13">
        <f t="shared" ref="AH13" si="1017">AH12*AH10</f>
        <v>5.2570184306710593E-6</v>
      </c>
      <c r="AI13">
        <f t="shared" ref="AI13" si="1018">AI12*AI10</f>
        <v>6.5658892006196595E-6</v>
      </c>
      <c r="AJ13">
        <f t="shared" ref="AJ13" si="1019">AJ12*AJ10</f>
        <v>8.075756578750492E-6</v>
      </c>
      <c r="AK13">
        <f t="shared" ref="AK13" si="1020">AK12*AK10</f>
        <v>9.8009774656480062E-6</v>
      </c>
      <c r="AL13">
        <f t="shared" ref="AL13" si="1021">AL12*AL10</f>
        <v>1.1755908761896645E-5</v>
      </c>
      <c r="AM13">
        <f t="shared" ref="AM13" si="1022">AM12*AM10</f>
        <v>1.3954907368080854E-5</v>
      </c>
      <c r="AN13">
        <f t="shared" ref="AN13" si="1023">AN12*AN10</f>
        <v>1.641233018478508E-5</v>
      </c>
      <c r="AO13">
        <f t="shared" ref="AO13" si="1024">AO12*AO10</f>
        <v>1.9142534112593763E-5</v>
      </c>
      <c r="AP13">
        <f t="shared" ref="AP13" si="1025">AP12*AP10</f>
        <v>2.2159876052091353E-5</v>
      </c>
      <c r="AQ13">
        <f t="shared" ref="AQ13" si="1026">AQ12*AQ10</f>
        <v>2.5478712903862305E-5</v>
      </c>
      <c r="AR13">
        <f t="shared" ref="AR13" si="1027">AR12*AR10</f>
        <v>2.9113401568491049E-5</v>
      </c>
      <c r="AS13">
        <f t="shared" ref="AS13" si="1028">AS12*AS10</f>
        <v>3.3078298946562042E-5</v>
      </c>
      <c r="AT13">
        <f t="shared" ref="AT13" si="1029">AT12*AT10</f>
        <v>3.7387761938659708E-5</v>
      </c>
      <c r="AU13">
        <f t="shared" ref="AU13" si="1030">AU12*AU10</f>
        <v>4.2056147445368515E-5</v>
      </c>
      <c r="AV13">
        <f t="shared" ref="AV13" si="1031">AV12*AV10</f>
        <v>4.7097812367272897E-5</v>
      </c>
      <c r="AW13">
        <f t="shared" ref="AW13" si="1032">AW12*AW10</f>
        <v>5.2527113604957317E-5</v>
      </c>
      <c r="AX13">
        <f t="shared" ref="AX13" si="1033">AX12*AX10</f>
        <v>5.8358408059006194E-5</v>
      </c>
      <c r="AY13">
        <f t="shared" ref="AY13" si="1034">AY12*AY10</f>
        <v>6.4606052630003977E-5</v>
      </c>
      <c r="AZ13">
        <f t="shared" ref="AZ13" si="1035">AZ12*AZ10</f>
        <v>7.1284404218535153E-5</v>
      </c>
      <c r="BA13">
        <f t="shared" ref="BA13" si="1036">BA12*BA10</f>
        <v>7.8407819725184117E-5</v>
      </c>
      <c r="BB13">
        <f t="shared" ref="BB13" si="1037">BB12*BB10</f>
        <v>8.5990656050535344E-5</v>
      </c>
      <c r="BC13">
        <f t="shared" ref="BC13" si="1038">BC12*BC10</f>
        <v>9.404727009517324E-5</v>
      </c>
      <c r="BD13">
        <f t="shared" ref="BD13" si="1039">BD12*BD10</f>
        <v>1.0259201875968229E-4</v>
      </c>
      <c r="BE13">
        <f t="shared" ref="BE13" si="1040">BE12*BE10</f>
        <v>1.1163925894464693E-4</v>
      </c>
      <c r="BF13">
        <f t="shared" ref="BF13" si="1041">BF12*BF10</f>
        <v>1.2120334755065159E-4</v>
      </c>
      <c r="BG13">
        <f t="shared" ref="BG13" si="1042">BG12*BG10</f>
        <v>1.3129864147828075E-4</v>
      </c>
      <c r="BH13">
        <f t="shared" ref="BH13" si="1043">BH12*BH10</f>
        <v>1.419394976281188E-4</v>
      </c>
      <c r="BI13">
        <f t="shared" ref="BI13" si="1044">BI12*BI10</f>
        <v>1.5314027290075022E-4</v>
      </c>
      <c r="BJ13">
        <f t="shared" ref="BJ13" si="1045">BJ12*BJ10</f>
        <v>1.6491532419675941E-4</v>
      </c>
      <c r="BK13">
        <f t="shared" ref="BK13" si="1046">BK12*BK10</f>
        <v>1.7727900841673082E-4</v>
      </c>
      <c r="BL13">
        <f t="shared" ref="BL13" si="1047">BL12*BL10</f>
        <v>1.9024568246124899E-4</v>
      </c>
      <c r="BM13">
        <f t="shared" ref="BM13" si="1048">BM12*BM10</f>
        <v>2.0382970323089831E-4</v>
      </c>
      <c r="BN13">
        <f t="shared" ref="BN13" si="1049">BN12*BN10</f>
        <v>2.1804542762626319E-4</v>
      </c>
      <c r="BO13">
        <f t="shared" ref="BO13" si="1050">BO12*BO10</f>
        <v>2.3290721254792812E-4</v>
      </c>
      <c r="BP13">
        <f t="shared" ref="BP13" si="1051">BP12*BP10</f>
        <v>2.4842941489647751E-4</v>
      </c>
      <c r="BQ13">
        <f t="shared" ref="BQ13" si="1052">BQ12*BQ10</f>
        <v>2.6462639157249579E-4</v>
      </c>
      <c r="BR13">
        <f t="shared" ref="BR13" si="1053">BR12*BR10</f>
        <v>2.8151249947656757E-4</v>
      </c>
      <c r="BS13">
        <f t="shared" ref="BS13" si="1054">BS12*BS10</f>
        <v>2.9910209550927701E-4</v>
      </c>
      <c r="BT13">
        <f t="shared" ref="BT13" si="1055">BT12*BT10</f>
        <v>3.1740953657120874E-4</v>
      </c>
      <c r="BU13">
        <f t="shared" ref="BU13" si="1056">BU12*BU10</f>
        <v>3.3644917956294731E-4</v>
      </c>
      <c r="BV13">
        <f t="shared" ref="BV13" si="1057">BV12*BV10</f>
        <v>3.5623538138507694E-4</v>
      </c>
      <c r="BW13">
        <f t="shared" ref="BW13" si="1058">BW12*BW10</f>
        <v>3.767824989381821E-4</v>
      </c>
      <c r="BX13">
        <f t="shared" ref="BX13" si="1059">BX12*BX10</f>
        <v>3.9810488912284743E-4</v>
      </c>
      <c r="BY13">
        <f t="shared" ref="BY13" si="1060">BY12*BY10</f>
        <v>4.2021690883965718E-4</v>
      </c>
      <c r="BZ13">
        <f t="shared" ref="BZ13" si="1061">BZ12*BZ10</f>
        <v>4.4313291498919579E-4</v>
      </c>
      <c r="CA13">
        <f t="shared" ref="CA13" si="1062">CA12*CA10</f>
        <v>4.6686726447204782E-4</v>
      </c>
      <c r="CB13">
        <f t="shared" ref="CB13" si="1063">CB12*CB10</f>
        <v>4.9143431418879771E-4</v>
      </c>
      <c r="CC13">
        <f t="shared" ref="CC13" si="1064">CC12*CC10</f>
        <v>5.1684842104002986E-4</v>
      </c>
      <c r="CD13">
        <f t="shared" ref="CD13" si="1065">CD12*CD10</f>
        <v>5.4312394192632877E-4</v>
      </c>
      <c r="CE13">
        <f t="shared" ref="CE13" si="1066">CE12*CE10</f>
        <v>5.7027523374827873E-4</v>
      </c>
      <c r="CF13">
        <f t="shared" ref="CF13" si="1067">CF12*CF10</f>
        <v>5.9831665340646446E-4</v>
      </c>
      <c r="CG13">
        <f t="shared" ref="CG13" si="1068">CG12*CG10</f>
        <v>6.2726255780147001E-4</v>
      </c>
      <c r="CH13">
        <f t="shared" ref="CH13" si="1069">CH12*CH10</f>
        <v>6.5712730383388023E-4</v>
      </c>
      <c r="CI13">
        <f t="shared" ref="CI13" si="1070">CI12*CI10</f>
        <v>6.8792524840427928E-4</v>
      </c>
      <c r="CJ13">
        <f t="shared" ref="CJ13" si="1071">CJ12*CJ10</f>
        <v>7.1967074841325167E-4</v>
      </c>
      <c r="CK13">
        <f t="shared" ref="CK13" si="1072">CK12*CK10</f>
        <v>7.5237816076138212E-4</v>
      </c>
      <c r="CL13">
        <f t="shared" ref="CL13" si="1073">CL12*CL10</f>
        <v>7.860618423492547E-4</v>
      </c>
      <c r="CM13">
        <f t="shared" ref="CM13" si="1074">CM12*CM10</f>
        <v>8.2073615007745391E-4</v>
      </c>
      <c r="CN13">
        <f t="shared" ref="CN13" si="1075">CN12*CN10</f>
        <v>8.5641544084656424E-4</v>
      </c>
      <c r="CO13">
        <f t="shared" ref="CO13" si="1076">CO12*CO10</f>
        <v>8.9311407155717043E-4</v>
      </c>
      <c r="CP13">
        <f t="shared" ref="CP13" si="1077">CP12*CP10</f>
        <v>9.3084639910985675E-4</v>
      </c>
      <c r="CQ13">
        <f t="shared" ref="CQ13" si="1078">CQ12*CQ10</f>
        <v>9.6962678040520716E-4</v>
      </c>
      <c r="CR13">
        <f t="shared" ref="CR13" si="1079">CR12*CR10</f>
        <v>1.0094695723438069E-3</v>
      </c>
      <c r="CS13">
        <f t="shared" ref="CS13" si="1080">CS12*CS10</f>
        <v>1.0503891318262399E-3</v>
      </c>
      <c r="CT13">
        <f t="shared" ref="CT13" si="1081">CT12*CT10</f>
        <v>1.0923998157530905E-3</v>
      </c>
      <c r="CU13">
        <f t="shared" ref="CU13" si="1082">CU12*CU10</f>
        <v>1.1355159810249437E-3</v>
      </c>
      <c r="CV13">
        <f t="shared" ref="CV13" si="1083">CV12*CV10</f>
        <v>1.1797519845423833E-3</v>
      </c>
      <c r="CW13">
        <f t="shared" ref="CW13" si="1084">CW12*CW10</f>
        <v>1.2251221832059944E-3</v>
      </c>
      <c r="CX13">
        <f t="shared" ref="CX13" si="1085">CX12*CX10</f>
        <v>1.2716409339163608E-3</v>
      </c>
      <c r="CY13">
        <f t="shared" ref="CY13" si="1086">CY12*CY10</f>
        <v>1.3193225935740674E-3</v>
      </c>
      <c r="CZ13">
        <f t="shared" ref="CZ13" si="1087">CZ12*CZ10</f>
        <v>1.3681815190796987E-3</v>
      </c>
      <c r="DA13">
        <f t="shared" ref="DA13" si="1088">DA12*DA10</f>
        <v>1.4182320673338388E-3</v>
      </c>
      <c r="DB13">
        <f t="shared" ref="DB13" si="1089">DB12*DB10</f>
        <v>1.469488595237072E-3</v>
      </c>
      <c r="DC13">
        <f t="shared" ref="DC13" si="1090">DC12*DC10</f>
        <v>1.5219654596899837E-3</v>
      </c>
      <c r="DD13">
        <f t="shared" ref="DD13" si="1091">DD12*DD10</f>
        <v>1.5756770175931573E-3</v>
      </c>
      <c r="DE13">
        <f t="shared" ref="DE13" si="1092">DE12*DE10</f>
        <v>1.6306376258471776E-3</v>
      </c>
      <c r="DF13">
        <f t="shared" ref="DF13" si="1093">DF12*DF10</f>
        <v>1.686861641352629E-3</v>
      </c>
      <c r="DG13">
        <f t="shared" ref="DG13" si="1094">DG12*DG10</f>
        <v>1.7443634210100964E-3</v>
      </c>
      <c r="DH13">
        <f t="shared" ref="DH13" si="1095">DH12*DH10</f>
        <v>1.8031573217201634E-3</v>
      </c>
      <c r="DI13">
        <f t="shared" ref="DI13" si="1096">DI12*DI10</f>
        <v>1.8632577003834152E-3</v>
      </c>
      <c r="DJ13">
        <f t="shared" ref="DJ13" si="1097">DJ12*DJ10</f>
        <v>1.9246789139004358E-3</v>
      </c>
      <c r="DK13">
        <f t="shared" ref="DK13" si="1098">DK12*DK10</f>
        <v>1.9874353191718097E-3</v>
      </c>
      <c r="DL13">
        <f t="shared" ref="DL13" si="1099">DL12*DL10</f>
        <v>2.0515412730981218E-3</v>
      </c>
      <c r="DM13">
        <f t="shared" ref="DM13" si="1100">DM12*DM10</f>
        <v>2.1170111325799564E-3</v>
      </c>
      <c r="DN13">
        <f t="shared" ref="DN13" si="1101">DN12*DN10</f>
        <v>2.183859254517897E-3</v>
      </c>
      <c r="DO13">
        <f t="shared" ref="DO13" si="1102">DO12*DO10</f>
        <v>2.2520999958125293E-3</v>
      </c>
      <c r="DP13">
        <f t="shared" ref="DP13" si="1103">DP12*DP10</f>
        <v>2.3217477133644373E-3</v>
      </c>
      <c r="DQ13">
        <f t="shared" ref="DQ13" si="1104">DQ12*DQ10</f>
        <v>2.3928167640742048E-3</v>
      </c>
      <c r="DR13">
        <f t="shared" ref="DR13" si="1105">DR12*DR10</f>
        <v>2.4653215048424174E-3</v>
      </c>
      <c r="DS13">
        <f t="shared" ref="DS13" si="1106">DS12*DS10</f>
        <v>2.5392762925696582E-3</v>
      </c>
      <c r="DT13">
        <f t="shared" ref="DT13" si="1107">DT12*DT10</f>
        <v>2.6146954841565128E-3</v>
      </c>
      <c r="DU13">
        <f t="shared" ref="DU13" si="1108">DU12*DU10</f>
        <v>2.6915934365035659E-3</v>
      </c>
      <c r="DV13">
        <f t="shared" ref="DV13" si="1109">DV12*DV10</f>
        <v>2.7699845065114006E-3</v>
      </c>
      <c r="DW13">
        <f t="shared" ref="DW13" si="1110">DW12*DW10</f>
        <v>2.8498830510806025E-3</v>
      </c>
      <c r="DX13">
        <f t="shared" ref="DX13" si="1111">DX12*DX10</f>
        <v>2.9313034271117554E-3</v>
      </c>
      <c r="DY13">
        <f t="shared" ref="DY13" si="1112">DY12*DY10</f>
        <v>3.0142599915054438E-3</v>
      </c>
      <c r="DZ13">
        <f t="shared" ref="DZ13" si="1113">DZ12*DZ10</f>
        <v>3.0987671011622523E-3</v>
      </c>
      <c r="EA13">
        <f t="shared" ref="EA13" si="1114">EA12*EA10</f>
        <v>3.1848391129827651E-3</v>
      </c>
      <c r="EB13">
        <f t="shared" ref="EB13" si="1115">EB12*EB10</f>
        <v>3.2724903838675674E-3</v>
      </c>
      <c r="EC13">
        <f t="shared" ref="EC13" si="1116">EC12*EC10</f>
        <v>3.3617352707172427E-3</v>
      </c>
      <c r="ED13">
        <f t="shared" ref="ED13" si="1117">ED12*ED10</f>
        <v>3.4525881304323762E-3</v>
      </c>
      <c r="EE13">
        <f t="shared" ref="EE13" si="1118">EE12*EE10</f>
        <v>3.5450633199135516E-3</v>
      </c>
      <c r="EF13">
        <f t="shared" ref="EF13" si="1119">EF12*EF10</f>
        <v>3.6391751960613544E-3</v>
      </c>
      <c r="EG13">
        <f t="shared" ref="EG13" si="1120">EG12*EG10</f>
        <v>3.7349381157763674E-3</v>
      </c>
      <c r="EH13">
        <f t="shared" ref="EH13" si="1121">EH12*EH10</f>
        <v>3.8323664359591766E-3</v>
      </c>
      <c r="EI13">
        <f t="shared" ref="EI13" si="1122">EI12*EI10</f>
        <v>3.9314745135103652E-3</v>
      </c>
      <c r="EJ13">
        <f t="shared" ref="EJ13" si="1123">EJ12*EJ10</f>
        <v>4.0322767053305201E-3</v>
      </c>
      <c r="EK13">
        <f t="shared" ref="EK13" si="1124">EK12*EK10</f>
        <v>4.1347873683202233E-3</v>
      </c>
      <c r="EL13">
        <f t="shared" ref="EL13" si="1125">EL12*EL10</f>
        <v>4.2390208593800589E-3</v>
      </c>
      <c r="EM13">
        <f t="shared" ref="EM13" si="1126">EM12*EM10</f>
        <v>4.3449915354106129E-3</v>
      </c>
      <c r="EN13">
        <f t="shared" ref="EN13" si="1127">EN12*EN10</f>
        <v>4.4527137533124693E-3</v>
      </c>
      <c r="EO13">
        <f t="shared" ref="EO13" si="1128">EO12*EO10</f>
        <v>4.5622018699862125E-3</v>
      </c>
      <c r="EP13">
        <f t="shared" ref="EP13" si="1129">EP12*EP10</f>
        <v>4.6734702423324274E-3</v>
      </c>
      <c r="EQ13">
        <f t="shared" ref="EQ13" si="1130">EQ12*EQ10</f>
        <v>4.7865332272516966E-3</v>
      </c>
      <c r="ER13">
        <f t="shared" ref="ER13" si="1131">ER12*ER10</f>
        <v>4.9014051816446066E-3</v>
      </c>
      <c r="ES13">
        <f t="shared" ref="ES13" si="1132">ES12*ES10</f>
        <v>5.018100462411741E-3</v>
      </c>
      <c r="ET13">
        <f t="shared" ref="ET13" si="1133">ET12*ET10</f>
        <v>5.1366334264536847E-3</v>
      </c>
      <c r="EU13">
        <f t="shared" ref="EU13" si="1134">EU12*EU10</f>
        <v>5.2570184306710219E-3</v>
      </c>
      <c r="EV13">
        <f t="shared" ref="EV13" si="1135">EV12*EV10</f>
        <v>5.3792698319643367E-3</v>
      </c>
      <c r="EW13">
        <f t="shared" ref="EW13" si="1136">EW12*EW10</f>
        <v>5.5034019872342134E-3</v>
      </c>
      <c r="EX13">
        <f t="shared" ref="EX13" si="1137">EX12*EX10</f>
        <v>5.6294292533812379E-3</v>
      </c>
      <c r="EY13">
        <f t="shared" ref="EY13" si="1138">EY12*EY10</f>
        <v>5.7573659873059926E-3</v>
      </c>
      <c r="EZ13">
        <f t="shared" ref="EZ13" si="1139">EZ12*EZ10</f>
        <v>5.8872265459090651E-3</v>
      </c>
      <c r="FA13">
        <f t="shared" ref="FA13" si="1140">FA12*FA10</f>
        <v>6.0190252860910362E-3</v>
      </c>
      <c r="FB13">
        <f t="shared" ref="FB13" si="1141">FB12*FB10</f>
        <v>6.1527765647524909E-3</v>
      </c>
      <c r="FC13">
        <f t="shared" ref="FC13" si="1142">FC12*FC10</f>
        <v>6.2884947387940151E-3</v>
      </c>
      <c r="FD13">
        <f t="shared" ref="FD13" si="1143">FD12*FD10</f>
        <v>6.4261941651161929E-3</v>
      </c>
      <c r="FE13">
        <f t="shared" ref="FE13" si="1144">FE12*FE10</f>
        <v>6.5658892006196087E-3</v>
      </c>
      <c r="FF13">
        <f t="shared" ref="FF13" si="1145">FF12*FF10</f>
        <v>6.7075942022048465E-3</v>
      </c>
      <c r="FG13">
        <f t="shared" ref="FG13" si="1146">FG12*FG10</f>
        <v>6.8513235267724923E-3</v>
      </c>
      <c r="FH13">
        <f t="shared" ref="FH13" si="1147">FH12*FH10</f>
        <v>6.9970915312231275E-3</v>
      </c>
      <c r="FI13">
        <f t="shared" ref="FI13" si="1148">FI12*FI10</f>
        <v>7.14491257245734E-3</v>
      </c>
      <c r="FJ13">
        <f t="shared" ref="FJ13" si="1149">FJ12*FJ10</f>
        <v>7.294801007375713E-3</v>
      </c>
      <c r="FK13">
        <f t="shared" ref="FK13" si="1150">FK12*FK10</f>
        <v>7.446771192878828E-3</v>
      </c>
      <c r="FL13">
        <f t="shared" ref="FL13" si="1151">FL12*FL10</f>
        <v>7.6008374858672727E-3</v>
      </c>
      <c r="FM13">
        <f t="shared" ref="FM13" si="1152">FM12*FM10</f>
        <v>7.757014243241633E-3</v>
      </c>
      <c r="FN13">
        <f t="shared" ref="FN13" si="1153">FN12*FN10</f>
        <v>7.9153158219024879E-3</v>
      </c>
      <c r="FO13">
        <f t="shared" ref="FO13" si="1154">FO12*FO10</f>
        <v>8.0757565787504277E-3</v>
      </c>
      <c r="FP13">
        <f t="shared" ref="FP13" si="1155">FP12*FP10</f>
        <v>8.2383508706860339E-3</v>
      </c>
      <c r="FQ13">
        <f t="shared" ref="FQ13" si="1156">FQ12*FQ10</f>
        <v>8.4031130546098915E-3</v>
      </c>
      <c r="FR13">
        <f t="shared" ref="FR13" si="1157">FR12*FR10</f>
        <v>8.5700574874225839E-3</v>
      </c>
      <c r="FS13">
        <f t="shared" ref="FS13" si="1158">FS12*FS10</f>
        <v>8.7391985260246961E-3</v>
      </c>
      <c r="FT13">
        <f t="shared" ref="FT13" si="1159">FT12*FT10</f>
        <v>8.9105505273168132E-3</v>
      </c>
      <c r="FU13">
        <f t="shared" ref="FU13" si="1160">FU12*FU10</f>
        <v>9.0841278481995219E-3</v>
      </c>
      <c r="FV13">
        <f t="shared" ref="FV13" si="1161">FV12*FV10</f>
        <v>9.2599448455734003E-3</v>
      </c>
      <c r="FW13">
        <f t="shared" ref="FW13" si="1162">FW12*FW10</f>
        <v>9.4380158763390388E-3</v>
      </c>
      <c r="FX13">
        <f t="shared" ref="FX13" si="1163">FX12*FX10</f>
        <v>9.6183552973970205E-3</v>
      </c>
      <c r="FY13">
        <f t="shared" ref="FY13" si="1164">FY12*FY10</f>
        <v>9.8009774656479254E-3</v>
      </c>
      <c r="FZ13">
        <f t="shared" ref="FZ13" si="1165">FZ12*FZ10</f>
        <v>9.9858967379923436E-3</v>
      </c>
      <c r="GA13">
        <f t="shared" ref="GA13" si="1166">GA12*GA10</f>
        <v>1.0173127471330859E-2</v>
      </c>
      <c r="GB13">
        <f t="shared" ref="GB13" si="1167">GB12*GB10</f>
        <v>1.0362684022564057E-2</v>
      </c>
      <c r="GC13">
        <f t="shared" ref="GC13" si="1168">GC12*GC10</f>
        <v>1.0554580748592519E-2</v>
      </c>
      <c r="GD13">
        <f t="shared" ref="GD13" si="1169">GD12*GD10</f>
        <v>1.0748832006316831E-2</v>
      </c>
      <c r="GE13">
        <f t="shared" ref="GE13" si="1170">GE12*GE10</f>
        <v>1.0945452152637576E-2</v>
      </c>
      <c r="GF13">
        <f t="shared" ref="GF13" si="1171">GF12*GF10</f>
        <v>1.1144455544455338E-2</v>
      </c>
      <c r="GG13">
        <f t="shared" ref="GG13" si="1172">GG12*GG10</f>
        <v>1.1345856538670703E-2</v>
      </c>
      <c r="GH13">
        <f t="shared" ref="GH13" si="1173">GH12*GH10</f>
        <v>1.1549669492184254E-2</v>
      </c>
      <c r="GI13">
        <f t="shared" ref="GI13" si="1174">GI12*GI10</f>
        <v>1.1755908761896576E-2</v>
      </c>
      <c r="GJ13">
        <f t="shared" ref="GJ13" si="1175">GJ12*GJ10</f>
        <v>1.1964588704708255E-2</v>
      </c>
      <c r="GK13">
        <f t="shared" ref="GK13" si="1176">GK12*GK10</f>
        <v>1.2175723677519878E-2</v>
      </c>
      <c r="GL13">
        <f t="shared" ref="GL13" si="1177">GL12*GL10</f>
        <v>1.2389328037232021E-2</v>
      </c>
      <c r="GM13">
        <f t="shared" ref="GM13" si="1178">GM12*GM10</f>
        <v>1.2605416140745273E-2</v>
      </c>
      <c r="GN13">
        <f t="shared" ref="GN13" si="1179">GN12*GN10</f>
        <v>1.2824002344960221E-2</v>
      </c>
      <c r="GO13">
        <f t="shared" ref="GO13" si="1180">GO12*GO10</f>
        <v>1.3045101006777445E-2</v>
      </c>
      <c r="GP13">
        <f t="shared" ref="GP13" si="1181">GP12*GP10</f>
        <v>1.3268726483097531E-2</v>
      </c>
      <c r="GQ13">
        <f t="shared" ref="GQ13" si="1182">GQ12*GQ10</f>
        <v>1.3494893130821067E-2</v>
      </c>
      <c r="GR13">
        <f t="shared" ref="GR13" si="1183">GR12*GR10</f>
        <v>1.3723615306848631E-2</v>
      </c>
      <c r="GS13">
        <f t="shared" ref="GS13" si="1184">GS12*GS10</f>
        <v>1.395490736808081E-2</v>
      </c>
      <c r="GT13">
        <f t="shared" ref="GT13" si="1185">GT12*GT10</f>
        <v>1.4188783671418194E-2</v>
      </c>
      <c r="GU13">
        <f t="shared" ref="GU13" si="1186">GU12*GU10</f>
        <v>1.4425258573761359E-2</v>
      </c>
      <c r="GV13">
        <f t="shared" ref="GV13" si="1187">GV12*GV10</f>
        <v>1.4664346432010894E-2</v>
      </c>
      <c r="GW13">
        <f t="shared" ref="GW13" si="1188">GW12*GW10</f>
        <v>1.4906061603067379E-2</v>
      </c>
      <c r="GX13">
        <f t="shared" ref="GX13" si="1189">GX12*GX10</f>
        <v>1.515041844383141E-2</v>
      </c>
      <c r="GY13">
        <f t="shared" ref="GY13" si="1190">GY12*GY10</f>
        <v>1.5397431311203557E-2</v>
      </c>
      <c r="GZ13">
        <f t="shared" ref="GZ13" si="1191">GZ12*GZ10</f>
        <v>1.5647114562084414E-2</v>
      </c>
      <c r="HA13">
        <f t="shared" ref="HA13" si="1192">HA12*HA10</f>
        <v>1.5899482553374561E-2</v>
      </c>
      <c r="HB13">
        <f t="shared" ref="HB13" si="1193">HB12*HB10</f>
        <v>1.6154549641974582E-2</v>
      </c>
      <c r="HC13">
        <f t="shared" ref="HC13" si="1194">HC12*HC10</f>
        <v>1.6412330184785065E-2</v>
      </c>
      <c r="HD13">
        <f t="shared" ref="HD13" si="1195">HD12*HD10</f>
        <v>1.6672838538706596E-2</v>
      </c>
      <c r="HE13">
        <f t="shared" ref="HE13" si="1196">HE12*HE10</f>
        <v>1.6936089060639752E-2</v>
      </c>
      <c r="HF13">
        <f t="shared" ref="HF13" si="1197">HF12*HF10</f>
        <v>1.7202096107485125E-2</v>
      </c>
      <c r="HG13">
        <f t="shared" ref="HG13" si="1198">HG12*HG10</f>
        <v>1.7470874036143294E-2</v>
      </c>
      <c r="HH13">
        <f t="shared" ref="HH13" si="1199">HH12*HH10</f>
        <v>1.774243720351484E-2</v>
      </c>
      <c r="HI13">
        <f t="shared" ref="HI13" si="1200">HI12*HI10</f>
        <v>1.8016799966500359E-2</v>
      </c>
      <c r="HJ13">
        <f t="shared" ref="HJ13" si="1201">HJ12*HJ10</f>
        <v>1.8293976682000428E-2</v>
      </c>
      <c r="HK13">
        <f t="shared" ref="HK13" si="1202">HK12*HK10</f>
        <v>1.8573981706915637E-2</v>
      </c>
      <c r="HL13">
        <f t="shared" ref="HL13" si="1203">HL12*HL10</f>
        <v>1.8856829398146563E-2</v>
      </c>
      <c r="HM13">
        <f t="shared" ref="HM13" si="1204">HM12*HM10</f>
        <v>1.9142534112593795E-2</v>
      </c>
      <c r="HN13">
        <f t="shared" ref="HN13" si="1205">HN12*HN10</f>
        <v>1.943111020715791E-2</v>
      </c>
      <c r="HO13">
        <f t="shared" ref="HO13" si="1206">HO12*HO10</f>
        <v>1.9722572038739505E-2</v>
      </c>
      <c r="HP13">
        <f t="shared" ref="HP13" si="1207">HP12*HP10</f>
        <v>2.0016933964239154E-2</v>
      </c>
      <c r="HQ13">
        <f t="shared" ref="HQ13" si="1208">HQ12*HQ10</f>
        <v>2.031421034055745E-2</v>
      </c>
      <c r="HR13">
        <f t="shared" ref="HR13" si="1209">HR12*HR10</f>
        <v>2.0614415524594965E-2</v>
      </c>
      <c r="HS13">
        <f t="shared" ref="HS13" si="1210">HS12*HS10</f>
        <v>2.09175638732523E-2</v>
      </c>
      <c r="HT13">
        <f t="shared" ref="HT13" si="1211">HT12*HT10</f>
        <v>2.122366974343003E-2</v>
      </c>
      <c r="HU13">
        <f t="shared" ref="HU13" si="1212">HU12*HU10</f>
        <v>2.1532747492028739E-2</v>
      </c>
      <c r="HV13">
        <f t="shared" ref="HV13" si="1213">HV12*HV10</f>
        <v>2.1844811475949012E-2</v>
      </c>
      <c r="HW13">
        <f t="shared" ref="HW13" si="1214">HW12*HW10</f>
        <v>2.215987605209143E-2</v>
      </c>
      <c r="HX13">
        <f t="shared" ref="HX13" si="1215">HX12*HX10</f>
        <v>2.2477955577356587E-2</v>
      </c>
      <c r="HY13">
        <f t="shared" ref="HY13" si="1216">HY12*HY10</f>
        <v>2.2799064408645056E-2</v>
      </c>
      <c r="HZ13">
        <f t="shared" ref="HZ13" si="1217">HZ12*HZ10</f>
        <v>2.3123216902857433E-2</v>
      </c>
      <c r="IA13">
        <f t="shared" ref="IA13" si="1218">IA12*IA10</f>
        <v>2.3450427416894296E-2</v>
      </c>
      <c r="IB13">
        <f t="shared" ref="IB13" si="1219">IB12*IB10</f>
        <v>2.3780710307656234E-2</v>
      </c>
      <c r="IC13">
        <f t="shared" ref="IC13" si="1220">IC12*IC10</f>
        <v>2.4114079932043824E-2</v>
      </c>
      <c r="ID13">
        <f t="shared" ref="ID13" si="1221">ID12*ID10</f>
        <v>2.4450550646957652E-2</v>
      </c>
      <c r="IE13">
        <f t="shared" ref="IE13" si="1222">IE12*IE10</f>
        <v>2.4790136809298306E-2</v>
      </c>
      <c r="IF13">
        <f t="shared" ref="IF13" si="1223">IF12*IF10</f>
        <v>2.5132852775966372E-2</v>
      </c>
      <c r="IG13">
        <f t="shared" ref="IG13" si="1224">IG12*IG10</f>
        <v>2.547871290386243E-2</v>
      </c>
      <c r="IH13">
        <f t="shared" ref="IH13" si="1225">IH12*IH10</f>
        <v>2.5827731549887066E-2</v>
      </c>
      <c r="II13">
        <f t="shared" ref="II13" si="1226">II12*II10</f>
        <v>2.6179923070940865E-2</v>
      </c>
      <c r="IJ13">
        <f t="shared" ref="IJ13" si="1227">IJ12*IJ10</f>
        <v>2.6535301823924405E-2</v>
      </c>
      <c r="IK13">
        <f t="shared" ref="IK13" si="1228">IK12*IK10</f>
        <v>2.6893882165738285E-2</v>
      </c>
      <c r="IL13">
        <f t="shared" ref="IL13" si="1229">IL12*IL10</f>
        <v>2.7255678453283076E-2</v>
      </c>
      <c r="IM13">
        <f t="shared" ref="IM13" si="1230">IM12*IM10</f>
        <v>2.762070504345937E-2</v>
      </c>
      <c r="IN13">
        <f t="shared" ref="IN13" si="1231">IN12*IN10</f>
        <v>2.7988976293167749E-2</v>
      </c>
      <c r="IO13">
        <f t="shared" ref="IO13" si="1232">IO12*IO10</f>
        <v>2.8360506559308798E-2</v>
      </c>
      <c r="IP13">
        <f t="shared" ref="IP13" si="1233">IP12*IP10</f>
        <v>2.8735310198783101E-2</v>
      </c>
      <c r="IQ13">
        <f t="shared" ref="IQ13" si="1234">IQ12*IQ10</f>
        <v>2.9113401568491234E-2</v>
      </c>
      <c r="IR13">
        <f t="shared" ref="IR13" si="1235">IR12*IR10</f>
        <v>2.9494795025333798E-2</v>
      </c>
      <c r="IS13">
        <f t="shared" ref="IS13" si="1236">IS12*IS10</f>
        <v>2.9879504926211362E-2</v>
      </c>
      <c r="IT13">
        <f t="shared" ref="IT13" si="1237">IT12*IT10</f>
        <v>3.0267545628024525E-2</v>
      </c>
      <c r="IU13">
        <f t="shared" ref="IU13" si="1238">IU12*IU10</f>
        <v>3.0658931487673857E-2</v>
      </c>
      <c r="IV13">
        <f t="shared" ref="IV13" si="1239">IV12*IV10</f>
        <v>3.105367686205995E-2</v>
      </c>
      <c r="IW13">
        <f t="shared" ref="IW13" si="1240">IW12*IW10</f>
        <v>3.1451796108083394E-2</v>
      </c>
      <c r="IX13">
        <f t="shared" ref="IX13" si="1241">IX12*IX10</f>
        <v>3.1853303582644765E-2</v>
      </c>
      <c r="IY13">
        <f t="shared" ref="IY13" si="1242">IY12*IY10</f>
        <v>3.2258213642644654E-2</v>
      </c>
      <c r="IZ13">
        <f t="shared" ref="IZ13" si="1243">IZ12*IZ10</f>
        <v>3.266654064498363E-2</v>
      </c>
      <c r="JA13">
        <f t="shared" ref="JA13" si="1244">JA12*JA10</f>
        <v>3.3078298946562293E-2</v>
      </c>
      <c r="JB13">
        <f t="shared" ref="JB13" si="1245">JB12*JB10</f>
        <v>3.3493502904281228E-2</v>
      </c>
      <c r="JC13">
        <f t="shared" ref="JC13" si="1246">JC12*JC10</f>
        <v>3.3912166875041012E-2</v>
      </c>
      <c r="JD13">
        <f t="shared" ref="JD13" si="1247">JD12*JD10</f>
        <v>3.4334305215742225E-2</v>
      </c>
      <c r="JE13">
        <f t="shared" ref="JE13" si="1248">JE12*JE10</f>
        <v>3.4759932283285465E-2</v>
      </c>
      <c r="JF13">
        <f t="shared" ref="JF13" si="1249">JF12*JF10</f>
        <v>3.518906243457131E-2</v>
      </c>
      <c r="JG13">
        <f t="shared" ref="JG13" si="1250">JG12*JG10</f>
        <v>3.5621710026500344E-2</v>
      </c>
      <c r="JH13">
        <f t="shared" ref="JH13" si="1251">JH12*JH10</f>
        <v>3.6057889415973148E-2</v>
      </c>
      <c r="JI13">
        <f t="shared" ref="JI13" si="1252">JI12*JI10</f>
        <v>3.6497614959890311E-2</v>
      </c>
      <c r="JJ13">
        <f t="shared" ref="JJ13" si="1253">JJ12*JJ10</f>
        <v>3.6940901015152419E-2</v>
      </c>
      <c r="JK13">
        <f t="shared" ref="JK13" si="1254">JK12*JK10</f>
        <v>3.7387761938660051E-2</v>
      </c>
      <c r="JL13">
        <f t="shared" ref="JL13" si="1255">JL12*JL10</f>
        <v>3.7838212087313791E-2</v>
      </c>
      <c r="JM13">
        <f t="shared" ref="JM13" si="1256">JM12*JM10</f>
        <v>3.8292265818014232E-2</v>
      </c>
      <c r="JN13">
        <f t="shared" ref="JN13" si="1257">JN12*JN10</f>
        <v>3.8749937487661965E-2</v>
      </c>
      <c r="JO13">
        <f t="shared" ref="JO13" si="1258">JO12*JO10</f>
        <v>3.9211241453157547E-2</v>
      </c>
      <c r="JP13">
        <f t="shared" ref="JP13" si="1259">JP12*JP10</f>
        <v>3.9676192071401578E-2</v>
      </c>
      <c r="JQ13">
        <f t="shared" ref="JQ13" si="1260">JQ12*JQ10</f>
        <v>4.0144803699294657E-2</v>
      </c>
      <c r="JR13">
        <f t="shared" ref="JR13" si="1261">JR12*JR10</f>
        <v>4.061709069373734E-2</v>
      </c>
      <c r="JS13">
        <f t="shared" ref="JS13" si="1262">JS12*JS10</f>
        <v>4.1093067411630227E-2</v>
      </c>
      <c r="JT13">
        <f t="shared" ref="JT13" si="1263">JT12*JT10</f>
        <v>4.157274820987391E-2</v>
      </c>
      <c r="JU13">
        <f t="shared" ref="JU13" si="1264">JU12*JU10</f>
        <v>4.2056147445368952E-2</v>
      </c>
      <c r="JV13">
        <f t="shared" ref="JV13" si="1265">JV12*JV10</f>
        <v>4.254327947501596E-2</v>
      </c>
      <c r="JW13">
        <f t="shared" ref="JW13" si="1266">JW12*JW10</f>
        <v>4.3034158655715506E-2</v>
      </c>
      <c r="JX13">
        <f t="shared" ref="JX13" si="1267">JX12*JX10</f>
        <v>4.352879934436818E-2</v>
      </c>
      <c r="JY13">
        <f t="shared" ref="JY13" si="1268">JY12*JY10</f>
        <v>4.4027215897874554E-2</v>
      </c>
      <c r="JZ13">
        <f t="shared" ref="JZ13" si="1269">JZ12*JZ10</f>
        <v>4.452942267313522E-2</v>
      </c>
      <c r="KA13">
        <f t="shared" ref="KA13" si="1270">KA12*KA10</f>
        <v>4.5035434027050777E-2</v>
      </c>
      <c r="KB13">
        <f t="shared" ref="KB13" si="1271">KB12*KB10</f>
        <v>4.554526431652179E-2</v>
      </c>
      <c r="KC13">
        <f t="shared" ref="KC13" si="1272">KC12*KC10</f>
        <v>4.6058927898448843E-2</v>
      </c>
      <c r="KD13">
        <f t="shared" ref="KD13" si="1273">KD12*KD10</f>
        <v>4.6576439129732541E-2</v>
      </c>
      <c r="KE13">
        <f t="shared" ref="KE13" si="1274">KE12*KE10</f>
        <v>4.7097812367273444E-2</v>
      </c>
      <c r="KF13">
        <f t="shared" ref="KF13" si="1275">KF12*KF10</f>
        <v>4.7623061967972155E-2</v>
      </c>
      <c r="KG13">
        <f t="shared" ref="KG13" si="1276">KG12*KG10</f>
        <v>4.815220228872924E-2</v>
      </c>
      <c r="KH13">
        <f t="shared" ref="KH13" si="1277">KH12*KH10</f>
        <v>4.8685247686445311E-2</v>
      </c>
      <c r="KI13">
        <f t="shared" ref="KI13" si="1278">KI12*KI10</f>
        <v>4.9222212518020926E-2</v>
      </c>
      <c r="KJ13">
        <f t="shared" ref="KJ13" si="1279">KJ12*KJ10</f>
        <v>4.9763111140356669E-2</v>
      </c>
      <c r="KK13">
        <f t="shared" ref="KK13" si="1280">KK12*KK10</f>
        <v>5.0307957910353147E-2</v>
      </c>
      <c r="KL13">
        <f t="shared" ref="KL13" si="1281">KL12*KL10</f>
        <v>5.0856767184910938E-2</v>
      </c>
      <c r="KM13">
        <f t="shared" ref="KM13" si="1282">KM12*KM10</f>
        <v>5.1409553320930612E-2</v>
      </c>
      <c r="KN13">
        <f t="shared" ref="KN13" si="1283">KN12*KN10</f>
        <v>5.1966330675312755E-2</v>
      </c>
      <c r="KO13">
        <f t="shared" ref="KO13" si="1284">KO12*KO10</f>
        <v>5.2527113604957973E-2</v>
      </c>
      <c r="KP13">
        <f t="shared" ref="KP13" si="1285">KP12*KP10</f>
        <v>5.3091916466766823E-2</v>
      </c>
      <c r="KQ13">
        <f t="shared" ref="KQ13" si="1286">KQ12*KQ10</f>
        <v>5.3660753617639917E-2</v>
      </c>
      <c r="KR13">
        <f t="shared" ref="KR13" si="1287">KR12*KR10</f>
        <v>5.4233639414477806E-2</v>
      </c>
      <c r="KS13">
        <f t="shared" ref="KS13" si="1288">KS12*KS10</f>
        <v>5.4810588214181104E-2</v>
      </c>
      <c r="KT13">
        <f t="shared" ref="KT13" si="1289">KT12*KT10</f>
        <v>5.5391614373650387E-2</v>
      </c>
      <c r="KU13">
        <f t="shared" ref="KU13" si="1290">KU12*KU10</f>
        <v>5.5976732249786235E-2</v>
      </c>
      <c r="KV13">
        <f t="shared" ref="KV13" si="1291">KV12*KV10</f>
        <v>5.6565956199489231E-2</v>
      </c>
      <c r="KW13">
        <f t="shared" ref="KW13" si="1292">KW12*KW10</f>
        <v>5.7159300579659976E-2</v>
      </c>
      <c r="KX13">
        <f t="shared" ref="KX13" si="1293">KX12*KX10</f>
        <v>5.7756779747199019E-2</v>
      </c>
      <c r="KY13">
        <f t="shared" ref="KY13" si="1294">KY12*KY10</f>
        <v>5.8358408059006973E-2</v>
      </c>
      <c r="KZ13">
        <f t="shared" ref="KZ13" si="1295">KZ12*KZ10</f>
        <v>5.8964199871984431E-2</v>
      </c>
      <c r="LA13">
        <f t="shared" ref="LA13" si="1296">LA12*LA10</f>
        <v>5.9574169543031963E-2</v>
      </c>
      <c r="LB13">
        <f t="shared" ref="LB13" si="1297">LB12*LB10</f>
        <v>6.0188331429050126E-2</v>
      </c>
      <c r="LC13">
        <f t="shared" ref="LC13" si="1298">LC12*LC10</f>
        <v>6.0806699886939555E-2</v>
      </c>
      <c r="LD13">
        <f t="shared" ref="LD13" si="1299">LD12*LD10</f>
        <v>6.14292892736008E-2</v>
      </c>
      <c r="LE13">
        <f t="shared" ref="LE13" si="1300">LE12*LE10</f>
        <v>6.2056113945934473E-2</v>
      </c>
      <c r="LF13">
        <f t="shared" ref="LF13" si="1301">LF12*LF10</f>
        <v>6.2687188260841131E-2</v>
      </c>
      <c r="LG13">
        <f t="shared" ref="LG13" si="1302">LG12*LG10</f>
        <v>6.3322526575221361E-2</v>
      </c>
      <c r="LH13">
        <f t="shared" ref="LH13" si="1303">LH12*LH10</f>
        <v>6.3962143245975767E-2</v>
      </c>
      <c r="LI13">
        <f t="shared" ref="LI13" si="1304">LI12*LI10</f>
        <v>6.4606052630004907E-2</v>
      </c>
      <c r="LJ13">
        <f t="shared" ref="LJ13" si="1305">LJ12*LJ10</f>
        <v>6.5254269084209407E-2</v>
      </c>
      <c r="LK13">
        <f t="shared" ref="LK13" si="1306">LK12*LK10</f>
        <v>6.5906806965489798E-2</v>
      </c>
      <c r="LL13">
        <f t="shared" ref="LL13" si="1307">LL12*LL10</f>
        <v>6.6563680630746705E-2</v>
      </c>
      <c r="LM13">
        <f t="shared" ref="LM13" si="1308">LM12*LM10</f>
        <v>6.7224904436880714E-2</v>
      </c>
      <c r="LN13">
        <f t="shared" ref="LN13" si="1309">LN12*LN10</f>
        <v>6.7890492740792382E-2</v>
      </c>
      <c r="LO13">
        <f t="shared" ref="LO13" si="1310">LO12*LO10</f>
        <v>6.8560459899382295E-2</v>
      </c>
      <c r="LP13">
        <f t="shared" ref="LP13" si="1311">LP12*LP10</f>
        <v>6.9234820269551064E-2</v>
      </c>
      <c r="LQ13">
        <f t="shared" ref="LQ13" si="1312">LQ12*LQ10</f>
        <v>6.9913588208199234E-2</v>
      </c>
      <c r="LR13">
        <f t="shared" ref="LR13" si="1313">LR12*LR10</f>
        <v>7.0596778072227431E-2</v>
      </c>
      <c r="LS13">
        <f t="shared" ref="LS13" si="1314">LS12*LS10</f>
        <v>7.128440421853624E-2</v>
      </c>
      <c r="LT13">
        <f t="shared" ref="LT13" si="1315">LT12*LT10</f>
        <v>7.1976481004026205E-2</v>
      </c>
      <c r="LU13">
        <f t="shared" ref="LU13" si="1316">LU12*LU10</f>
        <v>7.2673022785597938E-2</v>
      </c>
      <c r="LV13">
        <f t="shared" ref="LV13" si="1317">LV12*LV10</f>
        <v>7.337404392015201E-2</v>
      </c>
      <c r="LW13">
        <f t="shared" ref="LW13" si="1318">LW12*LW10</f>
        <v>7.4079558764589007E-2</v>
      </c>
      <c r="LX13">
        <f t="shared" ref="LX13" si="1319">LX12*LX10</f>
        <v>7.4789581675809527E-2</v>
      </c>
      <c r="LY13">
        <f t="shared" ref="LY13" si="1320">LY12*LY10</f>
        <v>7.550412701071417E-2</v>
      </c>
      <c r="LZ13">
        <f t="shared" ref="LZ13" si="1321">LZ12*LZ10</f>
        <v>7.6223209126203478E-2</v>
      </c>
      <c r="MA13">
        <f t="shared" ref="MA13" si="1322">MA12*MA10</f>
        <v>7.6946842379178051E-2</v>
      </c>
      <c r="MB13">
        <f t="shared" ref="MB13" si="1323">MB12*MB10</f>
        <v>7.7675041126538488E-2</v>
      </c>
      <c r="MC13">
        <f t="shared" ref="MC13" si="1324">MC12*MC10</f>
        <v>7.8407819725185374E-2</v>
      </c>
      <c r="MD13">
        <f t="shared" ref="MD13" si="1325">MD12*MD10</f>
        <v>7.9145192532019251E-2</v>
      </c>
      <c r="ME13">
        <f t="shared" ref="ME13" si="1326">ME12*ME10</f>
        <v>7.9887173903940761E-2</v>
      </c>
      <c r="MF13">
        <f t="shared" ref="MF13" si="1327">MF12*MF10</f>
        <v>8.0633778197850448E-2</v>
      </c>
      <c r="MG13">
        <f t="shared" ref="MG13" si="1328">MG12*MG10</f>
        <v>8.1385019770648923E-2</v>
      </c>
      <c r="MH13">
        <f t="shared" ref="MH13" si="1329">MH12*MH10</f>
        <v>8.2140912979236758E-2</v>
      </c>
      <c r="MI13">
        <f t="shared" ref="MI13" si="1330">MI12*MI10</f>
        <v>8.290147218051451E-2</v>
      </c>
      <c r="MJ13">
        <f t="shared" ref="MJ13" si="1331">MJ12*MJ10</f>
        <v>8.366671173138282E-2</v>
      </c>
      <c r="MK13">
        <f t="shared" ref="MK13" si="1332">MK12*MK10</f>
        <v>8.4436645988742259E-2</v>
      </c>
      <c r="ML13">
        <f t="shared" ref="ML13" si="1333">ML12*ML10</f>
        <v>8.5211289309493357E-2</v>
      </c>
      <c r="MM13">
        <f t="shared" ref="MM13" si="1334">MM12*MM10</f>
        <v>8.5990656050536768E-2</v>
      </c>
      <c r="MN13">
        <f t="shared" ref="MN13" si="1335">MN12*MN10</f>
        <v>8.6774760568773021E-2</v>
      </c>
      <c r="MO13">
        <f t="shared" ref="MO13" si="1336">MO12*MO10</f>
        <v>8.7563617221102744E-2</v>
      </c>
      <c r="MP13">
        <f t="shared" ref="MP13" si="1337">MP12*MP10</f>
        <v>8.8357240364426493E-2</v>
      </c>
      <c r="MQ13">
        <f t="shared" ref="MQ13" si="1338">MQ12*MQ10</f>
        <v>8.9155644355644853E-2</v>
      </c>
      <c r="MR13">
        <f t="shared" ref="MR13" si="1339">MR12*MR10</f>
        <v>8.9958843551658438E-2</v>
      </c>
      <c r="MS13">
        <f t="shared" ref="MS13" si="1340">MS12*MS10</f>
        <v>9.0766852309367804E-2</v>
      </c>
      <c r="MT13">
        <f t="shared" ref="MT13" si="1341">MT12*MT10</f>
        <v>9.1579684985673565E-2</v>
      </c>
      <c r="MU13">
        <f t="shared" ref="MU13" si="1342">MU12*MU10</f>
        <v>9.239735593747625E-2</v>
      </c>
      <c r="MV13">
        <f t="shared" ref="MV13" si="1343">MV12*MV10</f>
        <v>9.3219879521676499E-2</v>
      </c>
      <c r="MW13">
        <f t="shared" ref="MW13" si="1344">MW12*MW10</f>
        <v>9.4047270095174884E-2</v>
      </c>
      <c r="MX13">
        <f t="shared" ref="MX13" si="1345">MX12*MX10</f>
        <v>9.4879542014871948E-2</v>
      </c>
      <c r="MY13">
        <f t="shared" ref="MY13" si="1346">MY12*MY10</f>
        <v>9.5716709637668332E-2</v>
      </c>
      <c r="MZ13">
        <f t="shared" ref="MZ13" si="1347">MZ12*MZ10</f>
        <v>9.6558787320464592E-2</v>
      </c>
      <c r="NA13">
        <f t="shared" ref="NA13" si="1348">NA12*NA10</f>
        <v>9.7405789420161329E-2</v>
      </c>
      <c r="NB13">
        <f t="shared" ref="NB13" si="1349">NB12*NB10</f>
        <v>9.8257730293659071E-2</v>
      </c>
      <c r="NC13">
        <f t="shared" ref="NC13" si="1350">NC12*NC10</f>
        <v>9.9114624297858486E-2</v>
      </c>
      <c r="ND13">
        <f t="shared" ref="ND13" si="1351">ND12*ND10</f>
        <v>9.9976485789660091E-2</v>
      </c>
      <c r="NE13">
        <f t="shared" ref="NE13" si="1352">NE12*NE10</f>
        <v>0.10084332912596454</v>
      </c>
      <c r="NF13">
        <f t="shared" ref="NF13" si="1353">NF12*NF10</f>
        <v>0.10171516866367235</v>
      </c>
      <c r="NG13">
        <f t="shared" ref="NG13" si="1354">NG12*NG10</f>
        <v>0.10259201875968413</v>
      </c>
      <c r="NH13">
        <f t="shared" ref="NH13" si="1355">NH12*NH10</f>
        <v>0.10347389377090048</v>
      </c>
      <c r="NI13">
        <f t="shared" ref="NI13" si="1356">NI12*NI10</f>
        <v>0.10436080805422195</v>
      </c>
      <c r="NJ13">
        <f t="shared" ref="NJ13" si="1357">NJ12*NJ10</f>
        <v>0.10525277596654917</v>
      </c>
      <c r="NK13">
        <f t="shared" ref="NK13" si="1358">NK12*NK10</f>
        <v>0.10614981186478269</v>
      </c>
      <c r="NL13">
        <f t="shared" ref="NL13" si="1359">NL12*NL10</f>
        <v>0.10705193010582309</v>
      </c>
      <c r="NM13">
        <f t="shared" ref="NM13" si="1360">NM12*NM10</f>
        <v>0.10795914504657096</v>
      </c>
      <c r="NN13">
        <f t="shared" ref="NN13" si="1361">NN12*NN10</f>
        <v>0.10887147104392692</v>
      </c>
      <c r="NO13">
        <f t="shared" ref="NO13" si="1362">NO12*NO10</f>
        <v>0.10978892245479155</v>
      </c>
      <c r="NP13">
        <f t="shared" ref="NP13" si="1363">NP12*NP10</f>
        <v>0.11071151363606536</v>
      </c>
      <c r="NQ13">
        <f t="shared" ref="NQ13" si="1364">NQ12*NQ10</f>
        <v>0.11163925894464899</v>
      </c>
      <c r="NR13">
        <f t="shared" ref="NR13" si="1365">NR12*NR10</f>
        <v>0.11257217273744305</v>
      </c>
      <c r="NS13">
        <f t="shared" ref="NS13" si="1366">NS12*NS10</f>
        <v>0.11351026937134809</v>
      </c>
      <c r="NT13">
        <f t="shared" ref="NT13" si="1367">NT12*NT10</f>
        <v>0.11445356320326468</v>
      </c>
      <c r="NU13">
        <f t="shared" ref="NU13" si="1368">NU12*NU10</f>
        <v>0.11540206859009344</v>
      </c>
      <c r="NV13">
        <f t="shared" ref="NV13" si="1369">NV12*NV10</f>
        <v>0.11635579988873493</v>
      </c>
      <c r="NW13">
        <f t="shared" ref="NW13" si="1370">NW12*NW10</f>
        <v>0.11731477145608973</v>
      </c>
      <c r="NX13">
        <f t="shared" ref="NX13" si="1371">NX12*NX10</f>
        <v>0.11827899764905846</v>
      </c>
      <c r="NY13">
        <f t="shared" ref="NY13" si="1372">NY12*NY10</f>
        <v>0.11924849282454167</v>
      </c>
      <c r="NZ13">
        <f t="shared" ref="NZ13" si="1373">NZ12*NZ10</f>
        <v>0.12022327133943997</v>
      </c>
      <c r="OA13">
        <f t="shared" ref="OA13" si="1374">OA12*OA10</f>
        <v>0.12120334755065393</v>
      </c>
      <c r="OB13">
        <f t="shared" ref="OB13" si="1375">OB12*OB10</f>
        <v>0.12218873581508412</v>
      </c>
      <c r="OC13">
        <f t="shared" ref="OC13" si="1376">OC12*OC10</f>
        <v>0.12317945048963114</v>
      </c>
      <c r="OD13">
        <f t="shared" ref="OD13" si="1377">OD12*OD10</f>
        <v>0.12417550593119557</v>
      </c>
      <c r="OE13">
        <f t="shared" ref="OE13" si="1378">OE12*OE10</f>
        <v>0.125176916496678</v>
      </c>
      <c r="OF13">
        <f t="shared" ref="OF13" si="1379">OF12*OF10</f>
        <v>0.12618369654297903</v>
      </c>
      <c r="OG13">
        <f t="shared" ref="OG13" si="1380">OG12*OG10</f>
        <v>0.12719586042699921</v>
      </c>
      <c r="OH13">
        <f t="shared" ref="OH13" si="1381">OH12*OH10</f>
        <v>0.12821342250563914</v>
      </c>
      <c r="OI13">
        <f t="shared" ref="OI13" si="1382">OI12*OI10</f>
        <v>0.12923639713579943</v>
      </c>
      <c r="OJ13">
        <f t="shared" ref="OJ13" si="1383">OJ12*OJ10</f>
        <v>0.13026479867438062</v>
      </c>
      <c r="OK13">
        <f t="shared" ref="OK13" si="1384">OK12*OK10</f>
        <v>0.13129864147828332</v>
      </c>
      <c r="OL13">
        <f t="shared" ref="OL13" si="1385">OL12*OL10</f>
        <v>0.13233793990440812</v>
      </c>
      <c r="OM13">
        <f t="shared" ref="OM13" si="1386">OM12*OM10</f>
        <v>0.1333827083096556</v>
      </c>
      <c r="ON13">
        <f t="shared" ref="ON13" si="1387">ON12*ON10</f>
        <v>0.13443296105092628</v>
      </c>
      <c r="OO13">
        <f t="shared" ref="OO13" si="1388">OO12*OO10</f>
        <v>0.13548871248512087</v>
      </c>
      <c r="OP13">
        <f t="shared" ref="OP13" si="1389">OP12*OP10</f>
        <v>0.13654997696913987</v>
      </c>
      <c r="OQ13">
        <f t="shared" ref="OQ13" si="1390">OQ12*OQ10</f>
        <v>0.13761676885988386</v>
      </c>
      <c r="OR13">
        <f t="shared" ref="OR13" si="1391">OR12*OR10</f>
        <v>0.13868910251425348</v>
      </c>
      <c r="OS13">
        <f t="shared" ref="OS13" si="1392">OS12*OS10</f>
        <v>0.13976699228914924</v>
      </c>
      <c r="OT13">
        <f t="shared" ref="OT13" si="1393">OT12*OT10</f>
        <v>0.14085045254147183</v>
      </c>
      <c r="OU13">
        <f t="shared" ref="OU13" si="1394">OU12*OU10</f>
        <v>0.14193949762812169</v>
      </c>
      <c r="OV13">
        <f t="shared" ref="OV13" si="1395">OV12*OV10</f>
        <v>0.1430341419059995</v>
      </c>
      <c r="OW13">
        <f t="shared" ref="OW13" si="1396">OW12*OW10</f>
        <v>0.14413439973200587</v>
      </c>
      <c r="OX13">
        <f t="shared" ref="OX13" si="1397">OX12*OX10</f>
        <v>0.14524028546304132</v>
      </c>
      <c r="OY13">
        <f t="shared" ref="OY13" si="1398">OY12*OY10</f>
        <v>0.14635181345600645</v>
      </c>
      <c r="OZ13">
        <f t="shared" ref="OZ13" si="1399">OZ12*OZ10</f>
        <v>0.14746899806780187</v>
      </c>
      <c r="PA13">
        <f t="shared" ref="PA13" si="1400">PA12*PA10</f>
        <v>0.14859185365532812</v>
      </c>
      <c r="PB13">
        <f t="shared" ref="PB13" si="1401">PB12*PB10</f>
        <v>0.1497203945754858</v>
      </c>
      <c r="PC13">
        <f t="shared" ref="PC13" si="1402">PC12*PC10</f>
        <v>0.15085463518517556</v>
      </c>
      <c r="PD13">
        <f t="shared" ref="PD13" si="1403">PD12*PD10</f>
        <v>0.15199458984129791</v>
      </c>
      <c r="PE13">
        <f t="shared" ref="PE13" si="1404">PE12*PE10</f>
        <v>0.15314027290075344</v>
      </c>
      <c r="PF13">
        <f t="shared" ref="PF13" si="1405">PF12*PF10</f>
        <v>0.15429169872044277</v>
      </c>
      <c r="PG13">
        <f t="shared" ref="PG13" si="1406">PG12*PG10</f>
        <v>0.15544888165726642</v>
      </c>
      <c r="PH13">
        <f t="shared" ref="PH13" si="1407">PH12*PH10</f>
        <v>0.15661183606812507</v>
      </c>
      <c r="PI13">
        <f t="shared" ref="PI13" si="1408">PI12*PI10</f>
        <v>0.15778057630991918</v>
      </c>
      <c r="PJ13">
        <f t="shared" ref="PJ13" si="1409">PJ12*PJ10</f>
        <v>0.15895511673954946</v>
      </c>
      <c r="PK13">
        <f t="shared" ref="PK13" si="1410">PK12*PK10</f>
        <v>0.16013547171391643</v>
      </c>
      <c r="PL13">
        <f t="shared" ref="PL13" si="1411">PL12*PL10</f>
        <v>0.16132165558992068</v>
      </c>
      <c r="PM13">
        <f t="shared" ref="PM13" si="1412">PM12*PM10</f>
        <v>0.16251368272446282</v>
      </c>
      <c r="PN13">
        <f t="shared" ref="PN13" si="1413">PN12*PN10</f>
        <v>0.16371156747444338</v>
      </c>
      <c r="PO13">
        <f t="shared" ref="PO13" si="1414">PO12*PO10</f>
        <v>0.16491532419676302</v>
      </c>
      <c r="PP13">
        <f t="shared" ref="PP13" si="1415">PP12*PP10</f>
        <v>0.16612496724832224</v>
      </c>
      <c r="PQ13">
        <f t="shared" ref="PQ13" si="1416">PQ12*PQ10</f>
        <v>0.16734051098602171</v>
      </c>
      <c r="PR13">
        <f t="shared" ref="PR13" si="1417">PR12*PR10</f>
        <v>0.16856196976676194</v>
      </c>
      <c r="PS13">
        <f t="shared" ref="PS13" si="1418">PS12*PS10</f>
        <v>0.16978935794744354</v>
      </c>
      <c r="PT13">
        <f t="shared" ref="PT13" si="1419">PT12*PT10</f>
        <v>0.17102268988496713</v>
      </c>
      <c r="PU13">
        <f t="shared" ref="PU13" si="1420">PU12*PU10</f>
        <v>0.17226197993623324</v>
      </c>
      <c r="PV13">
        <f t="shared" ref="PV13" si="1421">PV12*PV10</f>
        <v>0.1735072424581425</v>
      </c>
      <c r="PW13">
        <f t="shared" ref="PW13" si="1422">PW12*PW10</f>
        <v>0.17475849180759545</v>
      </c>
      <c r="PX13">
        <f t="shared" ref="PX13" si="1423">PX12*PX10</f>
        <v>0.1760157423414927</v>
      </c>
      <c r="PY13">
        <f t="shared" ref="PY13" si="1424">PY12*PY10</f>
        <v>0.17727900841673486</v>
      </c>
      <c r="PZ13">
        <f t="shared" ref="PZ13" si="1425">PZ12*PZ10</f>
        <v>0.17854830439022246</v>
      </c>
      <c r="QA13">
        <f t="shared" ref="QA13" si="1426">QA12*QA10</f>
        <v>0.17982364461885614</v>
      </c>
      <c r="QB13">
        <f t="shared" ref="QB13" si="1427">QB12*QB10</f>
        <v>0.1811050434595364</v>
      </c>
      <c r="QC13">
        <f t="shared" ref="QC13" si="1428">QC12*QC10</f>
        <v>0.18239251526916392</v>
      </c>
      <c r="QD13">
        <f t="shared" ref="QD13" si="1429">QD12*QD10</f>
        <v>0.18368607440463927</v>
      </c>
      <c r="QE13">
        <f t="shared" ref="QE13" si="1430">QE12*QE10</f>
        <v>0.18498573522286302</v>
      </c>
      <c r="QF13">
        <f t="shared" ref="QF13" si="1431">QF12*QF10</f>
        <v>0.18629151208073569</v>
      </c>
      <c r="QG13">
        <f t="shared" ref="QG13" si="1432">QG12*QG10</f>
        <v>0.18760341933515792</v>
      </c>
      <c r="QH13">
        <f t="shared" ref="QH13" si="1433">QH12*QH10</f>
        <v>0.18892147134303033</v>
      </c>
      <c r="QI13">
        <f t="shared" ref="QI13" si="1434">QI12*QI10</f>
        <v>0.19024568246125345</v>
      </c>
      <c r="QJ13">
        <f t="shared" ref="QJ13" si="1435">QJ12*QJ10</f>
        <v>0.19157606704672783</v>
      </c>
      <c r="QK13">
        <f t="shared" ref="QK13" si="1436">QK12*QK10</f>
        <v>0.19291263945635423</v>
      </c>
      <c r="QL13">
        <f t="shared" ref="QL13" si="1437">QL12*QL10</f>
        <v>0.19425541404703303</v>
      </c>
      <c r="QM13">
        <f t="shared" ref="QM13" si="1438">QM12*QM10</f>
        <v>0.19560440517566485</v>
      </c>
      <c r="QN13">
        <f t="shared" ref="QN13" si="1439">QN12*QN10</f>
        <v>0.19695962719915039</v>
      </c>
      <c r="QO13">
        <f t="shared" ref="QO13" si="1440">QO12*QO10</f>
        <v>0.19832109447439014</v>
      </c>
      <c r="QP13">
        <f t="shared" ref="QP13" si="1441">QP12*QP10</f>
        <v>0.1996888213582847</v>
      </c>
      <c r="QQ13">
        <f t="shared" ref="QQ13" si="1442">QQ12*QQ10</f>
        <v>0.20106282220773472</v>
      </c>
      <c r="QR13">
        <f t="shared" ref="QR13" si="1443">QR12*QR10</f>
        <v>0.20244311137964063</v>
      </c>
      <c r="QS13">
        <f t="shared" ref="QS13" si="1444">QS12*QS10</f>
        <v>0.20382970323090321</v>
      </c>
      <c r="QT13">
        <f t="shared" ref="QT13" si="1445">QT12*QT10</f>
        <v>0.20522261211842285</v>
      </c>
      <c r="QU13">
        <f t="shared" ref="QU13" si="1446">QU12*QU10</f>
        <v>0.2066218523991003</v>
      </c>
      <c r="QV13">
        <f t="shared" ref="QV13" si="1447">QV12*QV10</f>
        <v>0.20802743842983606</v>
      </c>
      <c r="QW13">
        <f t="shared" ref="QW13" si="1448">QW12*QW10</f>
        <v>0.20943938456753072</v>
      </c>
      <c r="QX13">
        <f t="shared" ref="QX13" si="1449">QX12*QX10</f>
        <v>0.21085770516908489</v>
      </c>
      <c r="QY13">
        <f t="shared" ref="QY13" si="1450">QY12*QY10</f>
        <v>0.21228241459139913</v>
      </c>
      <c r="QZ13">
        <f t="shared" ref="QZ13" si="1451">QZ12*QZ10</f>
        <v>0.21371352719137404</v>
      </c>
      <c r="RA13">
        <f t="shared" ref="RA13" si="1452">RA12*RA10</f>
        <v>0.21515105732591019</v>
      </c>
      <c r="RB13">
        <f t="shared" ref="RB13" si="1453">RB12*RB10</f>
        <v>0.21659501935190814</v>
      </c>
      <c r="RC13">
        <f t="shared" ref="RC13" si="1454">RC12*RC10</f>
        <v>0.21804542762626855</v>
      </c>
      <c r="RD13">
        <f t="shared" ref="RD13" si="1455">RD12*RD10</f>
        <v>0.21950229650589195</v>
      </c>
      <c r="RE13">
        <f t="shared" ref="RE13" si="1456">RE12*RE10</f>
        <v>0.2209656403476789</v>
      </c>
      <c r="RF13">
        <f t="shared" ref="RF13" si="1457">RF12*RF10</f>
        <v>0.22243547350853005</v>
      </c>
      <c r="RG13">
        <f t="shared" ref="RG13" si="1458">RG12*RG10</f>
        <v>0.22391181034534599</v>
      </c>
      <c r="RH13">
        <f t="shared" ref="RH13" si="1459">RH12*RH10</f>
        <v>0.22539466521502721</v>
      </c>
      <c r="RI13">
        <f t="shared" ref="RI13" si="1460">RI12*RI10</f>
        <v>0.22688405247447441</v>
      </c>
      <c r="RJ13">
        <f t="shared" ref="RJ13" si="1461">RJ12*RJ10</f>
        <v>0.22837998648058808</v>
      </c>
      <c r="RK13">
        <f t="shared" ref="RK13" si="1462">RK12*RK10</f>
        <v>0.22988248159026886</v>
      </c>
      <c r="RL13">
        <f t="shared" ref="RL13" si="1463">RL12*RL10</f>
        <v>0.23139155216041724</v>
      </c>
      <c r="RM13">
        <f t="shared" ref="RM13" si="1464">RM12*RM10</f>
        <v>0.23290721254793403</v>
      </c>
      <c r="RN13">
        <f t="shared" ref="RN13" si="1465">RN12*RN10</f>
        <v>0.23442947710971954</v>
      </c>
      <c r="RO13">
        <f t="shared" ref="RO13" si="1466">RO12*RO10</f>
        <v>0.23595836020267449</v>
      </c>
      <c r="RP13">
        <f t="shared" ref="RP13" si="1467">RP12*RP10</f>
        <v>0.23749387618369952</v>
      </c>
      <c r="RQ13">
        <f t="shared" ref="RQ13" si="1468">RQ12*RQ10</f>
        <v>0.23903603940969506</v>
      </c>
      <c r="RR13">
        <f t="shared" ref="RR13" si="1469">RR12*RR10</f>
        <v>0.2405848642375619</v>
      </c>
      <c r="RS13">
        <f t="shared" ref="RS13" si="1470">RS12*RS10</f>
        <v>0.24214036502420047</v>
      </c>
      <c r="RT13">
        <f t="shared" ref="RT13" si="1471">RT12*RT10</f>
        <v>0.24370255612651129</v>
      </c>
      <c r="RU13">
        <f t="shared" ref="RU13" si="1472">RU12*RU10</f>
        <v>0.24527145190139513</v>
      </c>
      <c r="RV13">
        <f t="shared" ref="RV13" si="1473">RV12*RV10</f>
        <v>0.24684706670575252</v>
      </c>
      <c r="RW13">
        <f t="shared" ref="RW13" si="1474">RW12*RW10</f>
        <v>0.2484294148964839</v>
      </c>
      <c r="RX13">
        <f t="shared" ref="RX13" si="1475">RX12*RX10</f>
        <v>0.25001851083049009</v>
      </c>
      <c r="RY13">
        <f t="shared" ref="RY13" si="1476">RY12*RY10</f>
        <v>0.25161436886467148</v>
      </c>
      <c r="RZ13">
        <f t="shared" ref="RZ13" si="1477">RZ12*RZ10</f>
        <v>0.25321700335592878</v>
      </c>
      <c r="SA13">
        <f t="shared" ref="SA13" si="1478">SA12*SA10</f>
        <v>0.25482642866116251</v>
      </c>
      <c r="SB13">
        <f t="shared" ref="SB13" si="1479">SB12*SB10</f>
        <v>0.25644265913727321</v>
      </c>
      <c r="SC13">
        <f t="shared" ref="SC13" si="1480">SC12*SC10</f>
        <v>0.25806570914116161</v>
      </c>
      <c r="SD13">
        <f t="shared" ref="SD13" si="1481">SD12*SD10</f>
        <v>0.25969559302972817</v>
      </c>
      <c r="SE13">
        <f t="shared" ref="SE13" si="1482">SE12*SE10</f>
        <v>0.26133232515987348</v>
      </c>
      <c r="SF13">
        <f t="shared" ref="SF13" si="1483">SF12*SF10</f>
        <v>0.26297591988849817</v>
      </c>
      <c r="SG13">
        <f t="shared" ref="SG13" si="1484">SG12*SG10</f>
        <v>0.26462639157250284</v>
      </c>
      <c r="SH13">
        <f t="shared" ref="SH13" si="1485">SH12*SH10</f>
        <v>0.266283754568788</v>
      </c>
      <c r="SI13">
        <f t="shared" ref="SI13" si="1486">SI12*SI10</f>
        <v>0.26794802323425426</v>
      </c>
      <c r="SJ13">
        <f t="shared" ref="SJ13" si="1487">SJ12*SJ10</f>
        <v>0.26961921192580229</v>
      </c>
      <c r="SK13">
        <f t="shared" ref="SK13" si="1488">SK12*SK10</f>
        <v>0.2712973350003326</v>
      </c>
      <c r="SL13">
        <f t="shared" ref="SL13" si="1489">SL12*SL10</f>
        <v>0.27298240681474578</v>
      </c>
      <c r="SM13">
        <f t="shared" ref="SM13" si="1490">SM12*SM10</f>
        <v>0.27467444172594235</v>
      </c>
      <c r="SN13">
        <f t="shared" ref="SN13" si="1491">SN12*SN10</f>
        <v>0.27637345409082303</v>
      </c>
      <c r="SO13">
        <f t="shared" ref="SO13" si="1492">SO12*SO10</f>
        <v>0.27807945826628838</v>
      </c>
      <c r="SP13">
        <f t="shared" ref="SP13" si="1493">SP12*SP10</f>
        <v>0.27979246860923879</v>
      </c>
      <c r="SQ13">
        <f t="shared" ref="SQ13" si="1494">SQ12*SQ10</f>
        <v>0.28151249947657508</v>
      </c>
      <c r="SR13">
        <f t="shared" ref="SR13" si="1495">SR12*SR10</f>
        <v>0.28323956522519778</v>
      </c>
      <c r="SS13">
        <f t="shared" ref="SS13" si="1496">SS12*SS10</f>
        <v>0.28497368021200736</v>
      </c>
      <c r="ST13">
        <f t="shared" ref="ST13" si="1497">ST12*ST10</f>
        <v>0.28671485879390457</v>
      </c>
      <c r="SU13">
        <f t="shared" ref="SU13" si="1498">SU12*SU10</f>
        <v>0.2884631153277899</v>
      </c>
      <c r="SV13">
        <f t="shared" ref="SV13" si="1499">SV12*SV10</f>
        <v>0.29021846417056391</v>
      </c>
      <c r="SW13">
        <f t="shared" ref="SW13" si="1500">SW12*SW10</f>
        <v>0.29198091967912726</v>
      </c>
      <c r="SX13">
        <f t="shared" ref="SX13" si="1501">SX12*SX10</f>
        <v>0.29375049621038046</v>
      </c>
      <c r="SY13">
        <f t="shared" ref="SY13" si="1502">SY12*SY10</f>
        <v>0.29552720812122418</v>
      </c>
      <c r="SZ13">
        <f t="shared" ref="SZ13" si="1503">SZ12*SZ10</f>
        <v>0.29731106976855892</v>
      </c>
      <c r="TA13">
        <f t="shared" ref="TA13" si="1504">TA12*TA10</f>
        <v>0.29910209550928524</v>
      </c>
    </row>
    <row r="14" spans="1:521" x14ac:dyDescent="0.3">
      <c r="A14" s="4"/>
      <c r="B14" s="17"/>
      <c r="C14" s="17"/>
      <c r="E14" s="4"/>
      <c r="F14" s="17"/>
      <c r="G14" s="17"/>
      <c r="I14" s="4" t="s">
        <v>315</v>
      </c>
      <c r="J14" s="17">
        <v>20</v>
      </c>
      <c r="K14" s="17">
        <v>5</v>
      </c>
    </row>
    <row r="15" spans="1:521" x14ac:dyDescent="0.3">
      <c r="A15" s="4"/>
      <c r="B15" s="17"/>
      <c r="C15" s="17"/>
      <c r="E15" s="4"/>
      <c r="F15" s="17"/>
      <c r="G15" s="17"/>
      <c r="I15" s="4"/>
      <c r="J15" s="17"/>
      <c r="K15" s="17"/>
      <c r="T15">
        <f>T13/W5</f>
        <v>0.75074925074925691</v>
      </c>
    </row>
    <row r="16" spans="1:521" ht="3.6" customHeight="1" x14ac:dyDescent="0.3">
      <c r="A16" s="51"/>
      <c r="B16" s="51"/>
      <c r="C16" s="43"/>
      <c r="D16" s="43"/>
      <c r="E16" s="43"/>
      <c r="F16" s="43"/>
      <c r="G16" s="43"/>
      <c r="H16" s="43"/>
      <c r="I16" s="51"/>
      <c r="J16" s="43"/>
      <c r="K16" s="43"/>
      <c r="L16" s="43"/>
    </row>
    <row r="17" spans="1:12" x14ac:dyDescent="0.3">
      <c r="A17" s="4" t="s">
        <v>275</v>
      </c>
      <c r="B17" s="4">
        <v>360.17</v>
      </c>
      <c r="C17" t="s">
        <v>259</v>
      </c>
      <c r="E17" s="4" t="s">
        <v>275</v>
      </c>
      <c r="F17">
        <v>1052.96</v>
      </c>
      <c r="G17" t="s">
        <v>259</v>
      </c>
      <c r="I17" s="4" t="s">
        <v>275</v>
      </c>
      <c r="J17" s="4">
        <v>296.39999999999998</v>
      </c>
      <c r="K17" t="s">
        <v>259</v>
      </c>
    </row>
    <row r="18" spans="1:12" x14ac:dyDescent="0.3">
      <c r="A18" s="4" t="s">
        <v>276</v>
      </c>
      <c r="B18" s="45">
        <v>94697</v>
      </c>
      <c r="C18" t="s">
        <v>301</v>
      </c>
      <c r="E18" s="4" t="s">
        <v>276</v>
      </c>
      <c r="F18">
        <v>402194</v>
      </c>
      <c r="G18" t="s">
        <v>297</v>
      </c>
      <c r="I18" s="4" t="s">
        <v>276</v>
      </c>
      <c r="J18" s="4">
        <v>488719</v>
      </c>
      <c r="K18" t="s">
        <v>295</v>
      </c>
    </row>
    <row r="19" spans="1:12" x14ac:dyDescent="0.3">
      <c r="A19" s="4" t="s">
        <v>277</v>
      </c>
      <c r="B19">
        <f>Biomass_Input_To_BP</f>
        <v>4864.8999999999996</v>
      </c>
      <c r="C19" t="s">
        <v>8</v>
      </c>
      <c r="E19" s="4" t="s">
        <v>296</v>
      </c>
      <c r="F19" s="6">
        <f>SUM('Process Model'!H21:H24)</f>
        <v>23798.214763842781</v>
      </c>
      <c r="G19" t="s">
        <v>8</v>
      </c>
      <c r="I19" s="4" t="s">
        <v>316</v>
      </c>
      <c r="J19" s="46">
        <f>Hydrolysate_Post_EH</f>
        <v>22995.402898818487</v>
      </c>
      <c r="K19" t="s">
        <v>8</v>
      </c>
    </row>
    <row r="20" spans="1:12" x14ac:dyDescent="0.3">
      <c r="A20" s="4" t="s">
        <v>282</v>
      </c>
      <c r="B20">
        <f>B17/B18</f>
        <v>3.8033939829139256E-3</v>
      </c>
      <c r="C20" t="s">
        <v>302</v>
      </c>
      <c r="E20" s="4" t="s">
        <v>318</v>
      </c>
      <c r="F20">
        <f>kW_Subtotal_300/Mass_Served_300</f>
        <v>2.6180400503239732E-3</v>
      </c>
      <c r="G20" t="s">
        <v>298</v>
      </c>
      <c r="I20" s="4" t="s">
        <v>317</v>
      </c>
      <c r="J20" s="4">
        <f>kW_Subtotal_400/Mass_Served_400</f>
        <v>6.0648348028212527E-4</v>
      </c>
      <c r="K20" t="s">
        <v>319</v>
      </c>
    </row>
    <row r="21" spans="1:12" x14ac:dyDescent="0.3">
      <c r="A21" s="4" t="s">
        <v>283</v>
      </c>
      <c r="B21" s="11">
        <f>B19*B20</f>
        <v>18.503131387477953</v>
      </c>
      <c r="C21" t="s">
        <v>278</v>
      </c>
      <c r="E21" s="4" t="s">
        <v>294</v>
      </c>
      <c r="F21" s="6">
        <f>kWh_per_kg_phydr_300*pHydrol_per_ha_300</f>
        <v>62.304679377951679</v>
      </c>
      <c r="G21" t="s">
        <v>278</v>
      </c>
      <c r="I21" s="4" t="s">
        <v>294</v>
      </c>
      <c r="J21" s="45">
        <f>kWh_Per_kg_hydr_400*Hydr_Per_ha_400</f>
        <v>13.946331980565109</v>
      </c>
      <c r="K21" t="s">
        <v>278</v>
      </c>
    </row>
    <row r="22" spans="1:12" x14ac:dyDescent="0.3">
      <c r="A22" s="4" t="s">
        <v>284</v>
      </c>
      <c r="B22" s="40">
        <f>B21*'Conversions Page'!D16</f>
        <v>66.61127299492064</v>
      </c>
      <c r="C22" t="s">
        <v>115</v>
      </c>
      <c r="E22" s="4" t="s">
        <v>299</v>
      </c>
      <c r="F22" s="40">
        <f>kWh_per_ha_300*'Conversions Page'!D16</f>
        <v>224.29684576062604</v>
      </c>
      <c r="G22" t="s">
        <v>115</v>
      </c>
      <c r="I22" s="4" t="s">
        <v>299</v>
      </c>
      <c r="J22" s="47">
        <f>kWh_Per_ha_400*'Conversions Page'!D16</f>
        <v>50.206795130034394</v>
      </c>
      <c r="K22" t="s">
        <v>115</v>
      </c>
    </row>
    <row r="23" spans="1:12" ht="4.2" customHeight="1" x14ac:dyDescent="0.3">
      <c r="A23" s="43"/>
      <c r="B23" s="43"/>
      <c r="C23" s="43"/>
      <c r="D23" s="43"/>
      <c r="E23" s="51"/>
      <c r="F23" s="43"/>
      <c r="G23" s="43"/>
      <c r="H23" s="43"/>
      <c r="I23" s="43"/>
      <c r="J23" s="43"/>
      <c r="K23" s="43"/>
      <c r="L23" s="43"/>
    </row>
    <row r="25" spans="1:12" x14ac:dyDescent="0.3">
      <c r="A25" s="292" t="s">
        <v>320</v>
      </c>
      <c r="B25" s="292"/>
      <c r="C25" s="292"/>
    </row>
    <row r="26" spans="1:12" x14ac:dyDescent="0.3">
      <c r="B26" s="36" t="s">
        <v>260</v>
      </c>
    </row>
    <row r="27" spans="1:12" x14ac:dyDescent="0.3">
      <c r="A27" s="4" t="s">
        <v>271</v>
      </c>
      <c r="B27" s="17" t="s">
        <v>272</v>
      </c>
      <c r="C27" s="17" t="s">
        <v>273</v>
      </c>
    </row>
    <row r="28" spans="1:12" x14ac:dyDescent="0.3">
      <c r="A28" s="4" t="s">
        <v>321</v>
      </c>
      <c r="B28" s="17">
        <v>7.5</v>
      </c>
      <c r="C28" s="17">
        <v>1</v>
      </c>
    </row>
    <row r="29" spans="1:12" x14ac:dyDescent="0.3">
      <c r="A29" s="4" t="s">
        <v>322</v>
      </c>
      <c r="B29" s="17">
        <v>10</v>
      </c>
      <c r="C29" s="17">
        <v>1</v>
      </c>
      <c r="E29" s="6"/>
    </row>
    <row r="30" spans="1:12" x14ac:dyDescent="0.3">
      <c r="A30" s="4" t="s">
        <v>323</v>
      </c>
      <c r="B30" s="17">
        <v>15</v>
      </c>
      <c r="C30" s="17">
        <v>1</v>
      </c>
      <c r="E30" s="6"/>
    </row>
    <row r="31" spans="1:12" x14ac:dyDescent="0.3">
      <c r="A31" s="4" t="s">
        <v>324</v>
      </c>
      <c r="B31" s="17">
        <v>150</v>
      </c>
      <c r="C31" s="17">
        <v>1</v>
      </c>
      <c r="E31" s="6"/>
    </row>
    <row r="32" spans="1:12" x14ac:dyDescent="0.3">
      <c r="A32" s="4" t="s">
        <v>325</v>
      </c>
      <c r="B32" s="17">
        <v>700</v>
      </c>
      <c r="C32" s="17">
        <v>2</v>
      </c>
      <c r="E32" s="6"/>
    </row>
    <row r="33" spans="1:5" x14ac:dyDescent="0.3">
      <c r="A33" s="4" t="s">
        <v>326</v>
      </c>
      <c r="B33" s="17">
        <v>200</v>
      </c>
      <c r="C33" s="17">
        <v>1</v>
      </c>
      <c r="E33" s="6"/>
    </row>
    <row r="34" spans="1:5" x14ac:dyDescent="0.3">
      <c r="A34" s="4" t="s">
        <v>328</v>
      </c>
      <c r="B34" s="17">
        <v>50</v>
      </c>
      <c r="C34" s="17">
        <v>1</v>
      </c>
      <c r="E34" s="6"/>
    </row>
    <row r="35" spans="1:5" x14ac:dyDescent="0.3">
      <c r="A35" s="4" t="s">
        <v>327</v>
      </c>
      <c r="B35" s="17">
        <v>75</v>
      </c>
      <c r="C35" s="17">
        <v>1</v>
      </c>
      <c r="E35" s="6"/>
    </row>
    <row r="36" spans="1:5" x14ac:dyDescent="0.3">
      <c r="A36" s="4" t="s">
        <v>329</v>
      </c>
      <c r="B36" s="17">
        <v>100</v>
      </c>
      <c r="C36" s="17">
        <v>1</v>
      </c>
      <c r="E36" s="6"/>
    </row>
    <row r="37" spans="1:5" x14ac:dyDescent="0.3">
      <c r="A37" s="4" t="s">
        <v>330</v>
      </c>
      <c r="B37" s="17">
        <v>100</v>
      </c>
      <c r="C37" s="17">
        <v>1</v>
      </c>
    </row>
    <row r="38" spans="1:5" x14ac:dyDescent="0.3">
      <c r="A38" s="4" t="s">
        <v>331</v>
      </c>
      <c r="B38" s="17">
        <v>150</v>
      </c>
      <c r="C38" s="17">
        <v>1</v>
      </c>
    </row>
    <row r="39" spans="1:5" x14ac:dyDescent="0.3">
      <c r="A39" s="4" t="s">
        <v>332</v>
      </c>
      <c r="B39" s="17">
        <v>75</v>
      </c>
      <c r="C39" s="17">
        <v>1</v>
      </c>
    </row>
    <row r="41" spans="1:5" x14ac:dyDescent="0.3">
      <c r="A41" s="4" t="s">
        <v>275</v>
      </c>
      <c r="B41" s="4">
        <v>1217.355</v>
      </c>
      <c r="C41" t="s">
        <v>259</v>
      </c>
    </row>
    <row r="42" spans="1:5" x14ac:dyDescent="0.3">
      <c r="A42" s="4" t="s">
        <v>276</v>
      </c>
      <c r="B42" s="4">
        <v>30379</v>
      </c>
      <c r="C42" t="s">
        <v>293</v>
      </c>
    </row>
    <row r="43" spans="1:5" x14ac:dyDescent="0.3">
      <c r="A43" s="4" t="s">
        <v>296</v>
      </c>
      <c r="B43" s="45">
        <f>Corn_beer_Input_to_DD</f>
        <v>22995.402898818487</v>
      </c>
      <c r="C43" t="s">
        <v>334</v>
      </c>
    </row>
    <row r="44" spans="1:5" x14ac:dyDescent="0.3">
      <c r="A44" s="4" t="s">
        <v>333</v>
      </c>
      <c r="B44" s="4">
        <f>kW_Subtotal_700/Mass_Served_700</f>
        <v>4.0072253859574046E-2</v>
      </c>
      <c r="C44" t="s">
        <v>335</v>
      </c>
    </row>
    <row r="45" spans="1:5" x14ac:dyDescent="0.3">
      <c r="A45" s="4" t="s">
        <v>294</v>
      </c>
      <c r="B45" s="45">
        <f>kWh_per_kg_CornBeer_700*CornBeer_Per_ha_700</f>
        <v>921.47762256463932</v>
      </c>
      <c r="C45" t="s">
        <v>278</v>
      </c>
    </row>
    <row r="46" spans="1:5" x14ac:dyDescent="0.3">
      <c r="A46" s="4" t="s">
        <v>299</v>
      </c>
      <c r="B46" s="47">
        <f>kWh_Per_ha_700*'Conversions Page'!D16</f>
        <v>3317.3194412327016</v>
      </c>
      <c r="C46" t="s">
        <v>115</v>
      </c>
    </row>
    <row r="64" spans="4:4" x14ac:dyDescent="0.3">
      <c r="D64" s="48"/>
    </row>
    <row r="66" spans="4:4" x14ac:dyDescent="0.3">
      <c r="D66" s="49"/>
    </row>
    <row r="67" spans="4:4" x14ac:dyDescent="0.3">
      <c r="D67" s="49"/>
    </row>
    <row r="68" spans="4:4" x14ac:dyDescent="0.3">
      <c r="D68" s="49"/>
    </row>
    <row r="69" spans="4:4" x14ac:dyDescent="0.3">
      <c r="D69" s="49"/>
    </row>
    <row r="70" spans="4:4" x14ac:dyDescent="0.3">
      <c r="D70" s="49"/>
    </row>
    <row r="71" spans="4:4" x14ac:dyDescent="0.3">
      <c r="D71" s="49"/>
    </row>
    <row r="72" spans="4:4" x14ac:dyDescent="0.3">
      <c r="D72" s="49"/>
    </row>
    <row r="73" spans="4:4" x14ac:dyDescent="0.3">
      <c r="D73" s="49"/>
    </row>
    <row r="74" spans="4:4" x14ac:dyDescent="0.3">
      <c r="D74" s="49"/>
    </row>
    <row r="75" spans="4:4" x14ac:dyDescent="0.3">
      <c r="D75" s="49"/>
    </row>
    <row r="76" spans="4:4" x14ac:dyDescent="0.3">
      <c r="D76" s="49"/>
    </row>
    <row r="77" spans="4:4" x14ac:dyDescent="0.3">
      <c r="D77" s="49"/>
    </row>
    <row r="78" spans="4:4" x14ac:dyDescent="0.3">
      <c r="D78" s="49"/>
    </row>
  </sheetData>
  <mergeCells count="5">
    <mergeCell ref="I1:K1"/>
    <mergeCell ref="A25:C25"/>
    <mergeCell ref="A1:C1"/>
    <mergeCell ref="E1:G1"/>
    <mergeCell ref="V3:W3"/>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214</vt:i4>
      </vt:variant>
    </vt:vector>
  </HeadingPairs>
  <TitlesOfParts>
    <vt:vector size="222" baseType="lpstr">
      <vt:lpstr>Control Panel</vt:lpstr>
      <vt:lpstr>Inputs</vt:lpstr>
      <vt:lpstr>Outputs</vt:lpstr>
      <vt:lpstr>Process Model</vt:lpstr>
      <vt:lpstr>LCA</vt:lpstr>
      <vt:lpstr>TEA</vt:lpstr>
      <vt:lpstr>Conversions Page</vt:lpstr>
      <vt:lpstr>Mat'l &amp; Handl Enrgy</vt:lpstr>
      <vt:lpstr>Acid_Per_ha</vt:lpstr>
      <vt:lpstr>Acre_Ft_Irr_Input</vt:lpstr>
      <vt:lpstr>Acre_Ft_Irr_Inut</vt:lpstr>
      <vt:lpstr>Ammon_DAH_I</vt:lpstr>
      <vt:lpstr>Ammon_EP_I</vt:lpstr>
      <vt:lpstr>Ammon_Sulfate_EP</vt:lpstr>
      <vt:lpstr>Annual_Loan_Payment</vt:lpstr>
      <vt:lpstr>Approx_Gal_Diesel_Per_Acre</vt:lpstr>
      <vt:lpstr>Approx_Stover_Per_ha</vt:lpstr>
      <vt:lpstr>Ash_After_DAH</vt:lpstr>
      <vt:lpstr>Ash_After_EH</vt:lpstr>
      <vt:lpstr>Ash_DAH</vt:lpstr>
      <vt:lpstr>Ash_Ratio</vt:lpstr>
      <vt:lpstr>Avg_km_To_Biorefinery</vt:lpstr>
      <vt:lpstr>Avg_Miles_To_Biorefinery</vt:lpstr>
      <vt:lpstr>Base_Per_ha</vt:lpstr>
      <vt:lpstr>Biomass_Input_To_BP</vt:lpstr>
      <vt:lpstr>Biomass_Input_To_DAH</vt:lpstr>
      <vt:lpstr>Bu_Per_Acre_Yield</vt:lpstr>
      <vt:lpstr>Burnable_BM_kgs</vt:lpstr>
      <vt:lpstr>C_P_H2so4</vt:lpstr>
      <vt:lpstr>C_P_Slurry</vt:lpstr>
      <vt:lpstr>C_P_Stover</vt:lpstr>
      <vt:lpstr>C_P_Stover_</vt:lpstr>
      <vt:lpstr>C_P_Water</vt:lpstr>
      <vt:lpstr>Carbon_in_BM_kg</vt:lpstr>
      <vt:lpstr>Cellulase_Density</vt:lpstr>
      <vt:lpstr>Cellulase_Produced</vt:lpstr>
      <vt:lpstr>Cellulase_Required_For_EH</vt:lpstr>
      <vt:lpstr>Cellulose_After_DAH</vt:lpstr>
      <vt:lpstr>Cellulose_After_EH</vt:lpstr>
      <vt:lpstr>Cellulose_Ratio</vt:lpstr>
      <vt:lpstr>Cellulose_Unconverted</vt:lpstr>
      <vt:lpstr>CO_2_Output_Vent</vt:lpstr>
      <vt:lpstr>CO2_O</vt:lpstr>
      <vt:lpstr>CO2_Reqd_For_BM_kg</vt:lpstr>
      <vt:lpstr>Corn_beer_Input_to_DD</vt:lpstr>
      <vt:lpstr>Corn_Oil_EP_I</vt:lpstr>
      <vt:lpstr>CornBeer_Per_ha_700</vt:lpstr>
      <vt:lpstr>CSL_EP_I</vt:lpstr>
      <vt:lpstr>DAH_Dilution_Water_I</vt:lpstr>
      <vt:lpstr>DAH_Stover_Content</vt:lpstr>
      <vt:lpstr>Diesel_Use_Crop_Input</vt:lpstr>
      <vt:lpstr>Dilution_Water_Added</vt:lpstr>
      <vt:lpstr>EH_Dilution_Water_Input</vt:lpstr>
      <vt:lpstr>Elec_Enz_Prod</vt:lpstr>
      <vt:lpstr>Elec_EP_I</vt:lpstr>
      <vt:lpstr>Elec_Handling_BM_Input</vt:lpstr>
      <vt:lpstr>Elec_Reqd_Comminution</vt:lpstr>
      <vt:lpstr>Elect_DD_I</vt:lpstr>
      <vt:lpstr>Electricity_Per_kg_Cell</vt:lpstr>
      <vt:lpstr>Equity</vt:lpstr>
      <vt:lpstr>Est_Lime_Per_Acre</vt:lpstr>
      <vt:lpstr>Ethanol_Per_kg_BM</vt:lpstr>
      <vt:lpstr>Extract_After_DAH</vt:lpstr>
      <vt:lpstr>Extractives_After_EH</vt:lpstr>
      <vt:lpstr>Extractives_DAH</vt:lpstr>
      <vt:lpstr>Extractives_Ratio</vt:lpstr>
      <vt:lpstr>FCI</vt:lpstr>
      <vt:lpstr>FCI_Restate</vt:lpstr>
      <vt:lpstr>Fertilizer_Use_Input</vt:lpstr>
      <vt:lpstr>Final_Anhydrous_Eth_Mass</vt:lpstr>
      <vt:lpstr>Final_Gal_EtOH</vt:lpstr>
      <vt:lpstr>Final_Slurry_temp_ForEH</vt:lpstr>
      <vt:lpstr>Final_Temp</vt:lpstr>
      <vt:lpstr>Fixed_OPEX_Total</vt:lpstr>
      <vt:lpstr>Full_Prod_Rate</vt:lpstr>
      <vt:lpstr>Gal_Diesel_Per_ha</vt:lpstr>
      <vt:lpstr>Gas_Denaturant</vt:lpstr>
      <vt:lpstr>General_Plant_Cost</vt:lpstr>
      <vt:lpstr>Gluc_per_ha</vt:lpstr>
      <vt:lpstr>Glucose_After_DAH</vt:lpstr>
      <vt:lpstr>Glucose_After_EH</vt:lpstr>
      <vt:lpstr>Glucose_DAH</vt:lpstr>
      <vt:lpstr>Glucose_EP_I</vt:lpstr>
      <vt:lpstr>Glucose_Proportion</vt:lpstr>
      <vt:lpstr>Glucose_Reqd_Per_kg_Cellulase</vt:lpstr>
      <vt:lpstr>Glucose_To_Ethanol_Conv</vt:lpstr>
      <vt:lpstr>H2O_Evap_Drying_kg</vt:lpstr>
      <vt:lpstr>H2O_Removed_Distillation_kg</vt:lpstr>
      <vt:lpstr>H2O_Reqd_BM_kg</vt:lpstr>
      <vt:lpstr>ha_Seeded_Lan</vt:lpstr>
      <vt:lpstr>ha_Seeded_Land</vt:lpstr>
      <vt:lpstr>Heat_Energy_DAH_I</vt:lpstr>
      <vt:lpstr>Heat_energy_EH_I</vt:lpstr>
      <vt:lpstr>Heat_Power_DD_I</vt:lpstr>
      <vt:lpstr>Helpful_name</vt:lpstr>
      <vt:lpstr>HemiCell_After_DAH</vt:lpstr>
      <vt:lpstr>HemiCell_After_EH</vt:lpstr>
      <vt:lpstr>Hemicellulose_Ratio</vt:lpstr>
      <vt:lpstr>Hemicellulose_Unconverted</vt:lpstr>
      <vt:lpstr>Hours_Labor_Per_Acre</vt:lpstr>
      <vt:lpstr>Hydr_Per_ha_400</vt:lpstr>
      <vt:lpstr>Hydrolysate</vt:lpstr>
      <vt:lpstr>Hydrolysate_Post_EH</vt:lpstr>
      <vt:lpstr>Inital_Slurry_temp_PostDAH</vt:lpstr>
      <vt:lpstr>Initial_Temp</vt:lpstr>
      <vt:lpstr>Input_Acres</vt:lpstr>
      <vt:lpstr>Input_Hectares</vt:lpstr>
      <vt:lpstr>IRR</vt:lpstr>
      <vt:lpstr>kg_Atrazine_Per_Acre</vt:lpstr>
      <vt:lpstr>kg_Corn_Beer</vt:lpstr>
      <vt:lpstr>kg_eth_to_L_eth</vt:lpstr>
      <vt:lpstr>Kg_Ethanol_Per_ha</vt:lpstr>
      <vt:lpstr>kg_Fertilizer_Per_ha</vt:lpstr>
      <vt:lpstr>kg_Lignin_Per_ha</vt:lpstr>
      <vt:lpstr>kW_Sub_For_200_mat</vt:lpstr>
      <vt:lpstr>kW_Subtotal_300</vt:lpstr>
      <vt:lpstr>kW_Subtotal_400</vt:lpstr>
      <vt:lpstr>kW_Subtotal_700</vt:lpstr>
      <vt:lpstr>kWh_Elec_Per_tonne_stover</vt:lpstr>
      <vt:lpstr>kWh_Per_ha_200</vt:lpstr>
      <vt:lpstr>kWh_per_ha_300</vt:lpstr>
      <vt:lpstr>kWh_Per_ha_400</vt:lpstr>
      <vt:lpstr>kWh_Per_ha_700</vt:lpstr>
      <vt:lpstr>kWh_per_kg_CornBeer_700</vt:lpstr>
      <vt:lpstr>kWh_Per_kg_hydr_400</vt:lpstr>
      <vt:lpstr>kWh_per_kg_phydr_300</vt:lpstr>
      <vt:lpstr>kWh_Per_kgBM_200</vt:lpstr>
      <vt:lpstr>L_eth_Per_kWh_Elec</vt:lpstr>
      <vt:lpstr>L_Fuel_Eth_Prod_O</vt:lpstr>
      <vt:lpstr>Labor_h_Input</vt:lpstr>
      <vt:lpstr>Land_Cap</vt:lpstr>
      <vt:lpstr>Land_Cap_Restate</vt:lpstr>
      <vt:lpstr>Lbs_Fert_Per_Acre</vt:lpstr>
      <vt:lpstr>Lbs_Fertilizer_Per_Acre</vt:lpstr>
      <vt:lpstr>Lignin_After_DAH</vt:lpstr>
      <vt:lpstr>Lignin_After_EH</vt:lpstr>
      <vt:lpstr>Lignin_DAH</vt:lpstr>
      <vt:lpstr>Lignin_O</vt:lpstr>
      <vt:lpstr>Lignin_Per_ha_coprod</vt:lpstr>
      <vt:lpstr>Lignin_Ratio</vt:lpstr>
      <vt:lpstr>Lime_Treat_Input</vt:lpstr>
      <vt:lpstr>Loan_Interest</vt:lpstr>
      <vt:lpstr>Loan_Term</vt:lpstr>
      <vt:lpstr>Mass_Moved_by_BPP</vt:lpstr>
      <vt:lpstr>Mass_Passthrough_DAH</vt:lpstr>
      <vt:lpstr>Mass_Served_300</vt:lpstr>
      <vt:lpstr>Mass_Served_400</vt:lpstr>
      <vt:lpstr>Mass_Served_700</vt:lpstr>
      <vt:lpstr>Mass_Stover_per_ha</vt:lpstr>
      <vt:lpstr>Matl_handl_Size_Red_I</vt:lpstr>
      <vt:lpstr>Matl_Handling_Energy_EH_I</vt:lpstr>
      <vt:lpstr>MESP</vt:lpstr>
      <vt:lpstr>Mg_Sulfate_EP_I</vt:lpstr>
      <vt:lpstr>MJ_DAH_Per_ha</vt:lpstr>
      <vt:lpstr>MJ_Elec_Per_ha</vt:lpstr>
      <vt:lpstr>MJ_Elec_Per_kg_Stover</vt:lpstr>
      <vt:lpstr>MJ_Heat_Per_ha</vt:lpstr>
      <vt:lpstr>MJ_Per_ha_200</vt:lpstr>
      <vt:lpstr>MJ_per_ha_300</vt:lpstr>
      <vt:lpstr>MJ_Per_ha_400</vt:lpstr>
      <vt:lpstr>MJ_per_ha_700</vt:lpstr>
      <vt:lpstr>MJ_Per_ha_EnzymeProd</vt:lpstr>
      <vt:lpstr>MJ_Per_L_Eth_Prod</vt:lpstr>
      <vt:lpstr>Molar_mass_h2so4</vt:lpstr>
      <vt:lpstr>Molar_Mass_nh3</vt:lpstr>
      <vt:lpstr>O_Content_BM_kg</vt:lpstr>
      <vt:lpstr>O2_Emiss_kg</vt:lpstr>
      <vt:lpstr>OPEX</vt:lpstr>
      <vt:lpstr>Per_Gal_Var_OPEX</vt:lpstr>
      <vt:lpstr>Percen_To_Hammer_Mill</vt:lpstr>
      <vt:lpstr>Percent_Acid_By_Weight</vt:lpstr>
      <vt:lpstr>Percent_Conversion_Glucose_EH</vt:lpstr>
      <vt:lpstr>Percent_Stover_Harvested</vt:lpstr>
      <vt:lpstr>pHydrol_per_ha_300</vt:lpstr>
      <vt:lpstr>Potass_Phosph_EP_I</vt:lpstr>
      <vt:lpstr>PreHydrolysate_Post_DAH</vt:lpstr>
      <vt:lpstr>PreHydrolysate_Slurry</vt:lpstr>
      <vt:lpstr>Q_Required_Cooling_EH</vt:lpstr>
      <vt:lpstr>Ratio_Cellulase_To_Cellulose</vt:lpstr>
      <vt:lpstr>Ratio_Water_To_Prehydrolysate</vt:lpstr>
      <vt:lpstr>Ratio_Water_To_Stover</vt:lpstr>
      <vt:lpstr>Scaled_General_Plant</vt:lpstr>
      <vt:lpstr>Scaled_Steam_Plant</vt:lpstr>
      <vt:lpstr>Seeds_Per_Acre</vt:lpstr>
      <vt:lpstr>Seeds_Per_Acre_Input</vt:lpstr>
      <vt:lpstr>Seeds_Per_ha</vt:lpstr>
      <vt:lpstr>Size_Red_Elect_Input</vt:lpstr>
      <vt:lpstr>Size_Reduced_Biomass</vt:lpstr>
      <vt:lpstr>SO2_EP_I</vt:lpstr>
      <vt:lpstr>Start_Up_Time</vt:lpstr>
      <vt:lpstr>StartUp_Percentage</vt:lpstr>
      <vt:lpstr>Steam_Plant_Cost</vt:lpstr>
      <vt:lpstr>Stover_Biomass_From_Agr</vt:lpstr>
      <vt:lpstr>Stover_Delivered_To_BP</vt:lpstr>
      <vt:lpstr>Stover_Fermentation_Input</vt:lpstr>
      <vt:lpstr>Stover_Post_EH</vt:lpstr>
      <vt:lpstr>Stover_PostDAH</vt:lpstr>
      <vt:lpstr>Sulf_Acid_DAH_I</vt:lpstr>
      <vt:lpstr>Tax_Rate</vt:lpstr>
      <vt:lpstr>Tonne_Cap_Trucks</vt:lpstr>
      <vt:lpstr>Total_Cellulase_Required</vt:lpstr>
      <vt:lpstr>Total_Gal_EtOH</vt:lpstr>
      <vt:lpstr>Total_Mass_In_Ag</vt:lpstr>
      <vt:lpstr>Total_Mass_Out_Ag</vt:lpstr>
      <vt:lpstr>Total_wet_BM_kg</vt:lpstr>
      <vt:lpstr>Trucks_Reqd</vt:lpstr>
      <vt:lpstr>Unconverted_Cellulose</vt:lpstr>
      <vt:lpstr>Upgrd_Elec_Power_In</vt:lpstr>
      <vt:lpstr>Upgrd_Heat_Power_In</vt:lpstr>
      <vt:lpstr>Variable_OPEX_Total</vt:lpstr>
      <vt:lpstr>Waste_Water_DAH</vt:lpstr>
      <vt:lpstr>Water_O</vt:lpstr>
      <vt:lpstr>Working_Cap</vt:lpstr>
      <vt:lpstr>Working_Cap_Restate</vt:lpstr>
      <vt:lpstr>Xylose_After_DAH</vt:lpstr>
      <vt:lpstr>Xylose_After_EH</vt:lpstr>
      <vt:lpstr>Xylose_DAH</vt:lpstr>
      <vt:lpstr>Xylose_Proportion</vt:lpstr>
      <vt:lpstr>Xylose_To_Ethanol_Conv</vt:lpstr>
      <vt:lpstr>Year_0_Work</vt:lpstr>
      <vt:lpstr>Year_Minus_1_Work</vt:lpstr>
      <vt:lpstr>Year_Minus_2_Work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Jacks074</dc:creator>
  <cp:lastModifiedBy>Jacks074</cp:lastModifiedBy>
  <dcterms:created xsi:type="dcterms:W3CDTF">2020-06-26T20:15:52Z</dcterms:created>
  <dcterms:modified xsi:type="dcterms:W3CDTF">2020-07-27T19:59:52Z</dcterms:modified>
</cp:coreProperties>
</file>